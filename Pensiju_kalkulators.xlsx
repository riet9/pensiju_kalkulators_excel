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filterPrivacy="1"/>
  <xr:revisionPtr revIDLastSave="0" documentId="13_ncr:1_{2C936E69-FECC-439F-A3B4-B8E6F3CB2BFA}" xr6:coauthVersionLast="47" xr6:coauthVersionMax="47" xr10:uidLastSave="{00000000-0000-0000-0000-000000000000}"/>
  <bookViews>
    <workbookView xWindow="-120" yWindow="-120" windowWidth="38640" windowHeight="21120" activeTab="4" xr2:uid="{00000000-000D-0000-FFFF-FFFF00000000}"/>
  </bookViews>
  <sheets>
    <sheet name="Dalu_Cenas" sheetId="1" r:id="rId1"/>
    <sheet name="Izmainas" sheetId="2" r:id="rId2"/>
    <sheet name="KIK" sheetId="3" r:id="rId3"/>
    <sheet name="Mani_Dati" sheetId="4" r:id="rId4"/>
    <sheet name="Kalkulators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P53" i="5" l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1253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D1266" i="1"/>
  <c r="D1267" i="1"/>
  <c r="D1268" i="1"/>
  <c r="D1269" i="1"/>
  <c r="D1270" i="1"/>
  <c r="D1271" i="1"/>
  <c r="D1272" i="1"/>
  <c r="D1273" i="1"/>
  <c r="D1274" i="1"/>
  <c r="D1275" i="1"/>
  <c r="D1276" i="1"/>
  <c r="D1277" i="1"/>
  <c r="D1278" i="1"/>
  <c r="D1279" i="1"/>
  <c r="D1280" i="1"/>
  <c r="D1281" i="1"/>
  <c r="D1282" i="1"/>
  <c r="D1283" i="1"/>
  <c r="D1284" i="1"/>
  <c r="D1285" i="1"/>
  <c r="D1286" i="1"/>
  <c r="D1287" i="1"/>
  <c r="D1288" i="1"/>
  <c r="D1289" i="1"/>
  <c r="D1290" i="1"/>
  <c r="D1291" i="1"/>
  <c r="D1292" i="1"/>
  <c r="D1293" i="1"/>
  <c r="D1294" i="1"/>
  <c r="D1295" i="1"/>
  <c r="D1296" i="1"/>
  <c r="D1297" i="1"/>
  <c r="D1298" i="1"/>
  <c r="D1299" i="1"/>
  <c r="D1300" i="1"/>
  <c r="D1301" i="1"/>
  <c r="D1302" i="1"/>
  <c r="D1303" i="1"/>
  <c r="D1304" i="1"/>
  <c r="D1305" i="1"/>
  <c r="D1306" i="1"/>
  <c r="D1307" i="1"/>
  <c r="D1308" i="1"/>
  <c r="D1309" i="1"/>
  <c r="D1310" i="1"/>
  <c r="D1311" i="1"/>
  <c r="D1312" i="1"/>
  <c r="D1313" i="1"/>
  <c r="D1314" i="1"/>
  <c r="D1315" i="1"/>
  <c r="D1316" i="1"/>
  <c r="D1317" i="1"/>
  <c r="D1318" i="1"/>
  <c r="D1319" i="1"/>
  <c r="D1320" i="1"/>
  <c r="D1321" i="1"/>
  <c r="D1322" i="1"/>
  <c r="D1323" i="1"/>
  <c r="D1324" i="1"/>
  <c r="D1325" i="1"/>
  <c r="D1326" i="1"/>
  <c r="D1327" i="1"/>
  <c r="D1328" i="1"/>
  <c r="D1329" i="1"/>
  <c r="D1330" i="1"/>
  <c r="D1331" i="1"/>
  <c r="D1332" i="1"/>
  <c r="D1333" i="1"/>
  <c r="D1334" i="1"/>
  <c r="D1335" i="1"/>
  <c r="D1336" i="1"/>
  <c r="D1337" i="1"/>
  <c r="D1338" i="1"/>
  <c r="D1339" i="1"/>
  <c r="D1340" i="1"/>
  <c r="D1341" i="1"/>
  <c r="D1342" i="1"/>
  <c r="D1343" i="1"/>
  <c r="D1344" i="1"/>
  <c r="D1345" i="1"/>
  <c r="D1346" i="1"/>
  <c r="D1347" i="1"/>
  <c r="D1348" i="1"/>
  <c r="D1349" i="1"/>
  <c r="D1350" i="1"/>
  <c r="D1351" i="1"/>
  <c r="D1352" i="1"/>
  <c r="D1353" i="1"/>
  <c r="D1354" i="1"/>
  <c r="D1355" i="1"/>
  <c r="D1356" i="1"/>
  <c r="D1357" i="1"/>
  <c r="D1358" i="1"/>
  <c r="D1359" i="1"/>
  <c r="D1360" i="1"/>
  <c r="D1361" i="1"/>
  <c r="D1362" i="1"/>
  <c r="D1363" i="1"/>
  <c r="D1364" i="1"/>
  <c r="D1365" i="1"/>
  <c r="D1366" i="1"/>
  <c r="D1367" i="1"/>
  <c r="D1368" i="1"/>
  <c r="D1369" i="1"/>
  <c r="D1370" i="1"/>
  <c r="D1371" i="1"/>
  <c r="D1372" i="1"/>
  <c r="D1373" i="1"/>
  <c r="D1374" i="1"/>
  <c r="D1375" i="1"/>
  <c r="D1376" i="1"/>
  <c r="D1377" i="1"/>
  <c r="D1378" i="1"/>
  <c r="D1379" i="1"/>
  <c r="D1380" i="1"/>
  <c r="D1381" i="1"/>
  <c r="D1382" i="1"/>
  <c r="D1383" i="1"/>
  <c r="D1384" i="1"/>
  <c r="D1385" i="1"/>
  <c r="D1386" i="1"/>
  <c r="D1387" i="1"/>
  <c r="D1388" i="1"/>
  <c r="D1389" i="1"/>
  <c r="D1390" i="1"/>
  <c r="D1391" i="1"/>
  <c r="D1392" i="1"/>
  <c r="D1393" i="1"/>
  <c r="D1394" i="1"/>
  <c r="D1395" i="1"/>
  <c r="D1396" i="1"/>
  <c r="D1397" i="1"/>
  <c r="D1398" i="1"/>
  <c r="D1399" i="1"/>
  <c r="D1400" i="1"/>
  <c r="D1401" i="1"/>
  <c r="D1402" i="1"/>
  <c r="D1403" i="1"/>
  <c r="D1404" i="1"/>
  <c r="D1405" i="1"/>
  <c r="D1406" i="1"/>
  <c r="D1407" i="1"/>
  <c r="D1408" i="1"/>
  <c r="D1409" i="1"/>
  <c r="D1410" i="1"/>
  <c r="D1411" i="1"/>
  <c r="D1412" i="1"/>
  <c r="D1413" i="1"/>
  <c r="D1414" i="1"/>
  <c r="D1415" i="1"/>
  <c r="D1416" i="1"/>
  <c r="D1417" i="1"/>
  <c r="D1418" i="1"/>
  <c r="D1419" i="1"/>
  <c r="D1420" i="1"/>
  <c r="D1421" i="1"/>
  <c r="D1422" i="1"/>
  <c r="D1423" i="1"/>
  <c r="D1424" i="1"/>
  <c r="D1425" i="1"/>
  <c r="D1426" i="1"/>
  <c r="D1427" i="1"/>
  <c r="D1428" i="1"/>
  <c r="D1429" i="1"/>
  <c r="D1430" i="1"/>
  <c r="D1431" i="1"/>
  <c r="D1432" i="1"/>
  <c r="D1433" i="1"/>
  <c r="D1434" i="1"/>
  <c r="D1435" i="1"/>
  <c r="D1436" i="1"/>
  <c r="D1437" i="1"/>
  <c r="D1438" i="1"/>
  <c r="D1439" i="1"/>
  <c r="D1440" i="1"/>
  <c r="D1441" i="1"/>
  <c r="D1442" i="1"/>
  <c r="D1443" i="1"/>
  <c r="D1444" i="1"/>
  <c r="D1445" i="1"/>
  <c r="D1446" i="1"/>
  <c r="D1447" i="1"/>
  <c r="D1448" i="1"/>
  <c r="D1449" i="1"/>
  <c r="D1450" i="1"/>
  <c r="D1451" i="1"/>
  <c r="D1452" i="1"/>
  <c r="D1453" i="1"/>
  <c r="D1454" i="1"/>
  <c r="D1455" i="1"/>
  <c r="D1456" i="1"/>
  <c r="D1457" i="1"/>
  <c r="D1458" i="1"/>
  <c r="D1459" i="1"/>
  <c r="D1460" i="1"/>
  <c r="D1461" i="1"/>
  <c r="D1462" i="1"/>
  <c r="D1463" i="1"/>
  <c r="D1464" i="1"/>
  <c r="D1465" i="1"/>
  <c r="D1466" i="1"/>
  <c r="D1467" i="1"/>
  <c r="D1468" i="1"/>
  <c r="D1469" i="1"/>
  <c r="D1470" i="1"/>
  <c r="D1471" i="1"/>
  <c r="D1472" i="1"/>
  <c r="D1473" i="1"/>
  <c r="D1474" i="1"/>
  <c r="D1475" i="1"/>
  <c r="D1476" i="1"/>
  <c r="D1477" i="1"/>
  <c r="D1478" i="1"/>
  <c r="D1479" i="1"/>
  <c r="D1480" i="1"/>
  <c r="D1481" i="1"/>
  <c r="D1482" i="1"/>
  <c r="D1483" i="1"/>
  <c r="D1484" i="1"/>
  <c r="D1485" i="1"/>
  <c r="D1486" i="1"/>
  <c r="D1487" i="1"/>
  <c r="D1488" i="1"/>
  <c r="D1489" i="1"/>
  <c r="D1490" i="1"/>
  <c r="D1491" i="1"/>
  <c r="D1492" i="1"/>
  <c r="D1493" i="1"/>
  <c r="D1494" i="1"/>
  <c r="D1495" i="1"/>
  <c r="D1496" i="1"/>
  <c r="D1497" i="1"/>
  <c r="D1498" i="1"/>
  <c r="D1499" i="1"/>
  <c r="D1500" i="1"/>
  <c r="D1501" i="1"/>
  <c r="D1502" i="1"/>
  <c r="D1503" i="1"/>
  <c r="D1504" i="1"/>
  <c r="D1505" i="1"/>
  <c r="D1506" i="1"/>
  <c r="D1507" i="1"/>
  <c r="D1508" i="1"/>
  <c r="D1509" i="1"/>
  <c r="D1510" i="1"/>
  <c r="D1511" i="1"/>
  <c r="D1512" i="1"/>
  <c r="D1513" i="1"/>
  <c r="D1514" i="1"/>
  <c r="D1515" i="1"/>
  <c r="D1516" i="1"/>
  <c r="D1517" i="1"/>
  <c r="D1518" i="1"/>
  <c r="D1519" i="1"/>
  <c r="D1520" i="1"/>
  <c r="D1521" i="1"/>
  <c r="D1522" i="1"/>
  <c r="D1523" i="1"/>
  <c r="D1524" i="1"/>
  <c r="D1525" i="1"/>
  <c r="D1526" i="1"/>
  <c r="D1527" i="1"/>
  <c r="D1528" i="1"/>
  <c r="D1529" i="1"/>
  <c r="D1530" i="1"/>
  <c r="D1531" i="1"/>
  <c r="D1532" i="1"/>
  <c r="D1533" i="1"/>
  <c r="D1534" i="1"/>
  <c r="D1535" i="1"/>
  <c r="D1536" i="1"/>
  <c r="D1537" i="1"/>
  <c r="D1538" i="1"/>
  <c r="D1539" i="1"/>
  <c r="D1540" i="1"/>
  <c r="D1541" i="1"/>
  <c r="D1542" i="1"/>
  <c r="D1543" i="1"/>
  <c r="D1544" i="1"/>
  <c r="D1545" i="1"/>
  <c r="D1546" i="1"/>
  <c r="D1547" i="1"/>
  <c r="D1548" i="1"/>
  <c r="D1549" i="1"/>
  <c r="D1550" i="1"/>
  <c r="D1551" i="1"/>
  <c r="D1552" i="1"/>
  <c r="D1553" i="1"/>
  <c r="D1554" i="1"/>
  <c r="D1555" i="1"/>
  <c r="D1556" i="1"/>
  <c r="D1557" i="1"/>
  <c r="D1558" i="1"/>
  <c r="D1559" i="1"/>
  <c r="D1560" i="1"/>
  <c r="D1561" i="1"/>
  <c r="D1562" i="1"/>
  <c r="D1563" i="1"/>
  <c r="D1564" i="1"/>
  <c r="D1565" i="1"/>
  <c r="D1566" i="1"/>
  <c r="D1567" i="1"/>
  <c r="D1568" i="1"/>
  <c r="D1569" i="1"/>
  <c r="D1570" i="1"/>
  <c r="D1571" i="1"/>
  <c r="D1572" i="1"/>
  <c r="D1573" i="1"/>
  <c r="D1574" i="1"/>
  <c r="D1575" i="1"/>
  <c r="D1576" i="1"/>
  <c r="D1577" i="1"/>
  <c r="D1578" i="1"/>
  <c r="D1579" i="1"/>
  <c r="D1580" i="1"/>
  <c r="D1581" i="1"/>
  <c r="D1582" i="1"/>
  <c r="D1583" i="1"/>
  <c r="D1584" i="1"/>
  <c r="D1585" i="1"/>
  <c r="D1586" i="1"/>
  <c r="D1587" i="1"/>
  <c r="D1588" i="1"/>
  <c r="D1589" i="1"/>
  <c r="D1590" i="1"/>
  <c r="D1591" i="1"/>
  <c r="D1592" i="1"/>
  <c r="D1593" i="1"/>
  <c r="D1594" i="1"/>
  <c r="D1595" i="1"/>
  <c r="D1596" i="1"/>
  <c r="D1597" i="1"/>
  <c r="D1598" i="1"/>
  <c r="D1599" i="1"/>
  <c r="D1600" i="1"/>
  <c r="D1601" i="1"/>
  <c r="D1602" i="1"/>
  <c r="D1603" i="1"/>
  <c r="D1604" i="1"/>
  <c r="D1605" i="1"/>
  <c r="D1606" i="1"/>
  <c r="D1607" i="1"/>
  <c r="D1608" i="1"/>
  <c r="D1609" i="1"/>
  <c r="D1610" i="1"/>
  <c r="D1611" i="1"/>
  <c r="D1612" i="1"/>
  <c r="D1613" i="1"/>
  <c r="D1614" i="1"/>
  <c r="D1615" i="1"/>
  <c r="D1616" i="1"/>
  <c r="D1617" i="1"/>
  <c r="D1618" i="1"/>
  <c r="D1619" i="1"/>
  <c r="D1620" i="1"/>
  <c r="D1621" i="1"/>
  <c r="D1622" i="1"/>
  <c r="D1623" i="1"/>
  <c r="D1624" i="1"/>
  <c r="D1625" i="1"/>
  <c r="D1626" i="1"/>
  <c r="D1627" i="1"/>
  <c r="D1628" i="1"/>
  <c r="D1629" i="1"/>
  <c r="D1630" i="1"/>
  <c r="D1631" i="1"/>
  <c r="D1632" i="1"/>
  <c r="D1633" i="1"/>
  <c r="D1634" i="1"/>
  <c r="D1635" i="1"/>
  <c r="D1636" i="1"/>
  <c r="D1637" i="1"/>
  <c r="D1638" i="1"/>
  <c r="D1639" i="1"/>
  <c r="D1640" i="1"/>
  <c r="D1641" i="1"/>
  <c r="D1642" i="1"/>
  <c r="D1643" i="1"/>
  <c r="D1644" i="1"/>
  <c r="D1645" i="1"/>
  <c r="D1646" i="1"/>
  <c r="D1647" i="1"/>
  <c r="D1648" i="1"/>
  <c r="D1649" i="1"/>
  <c r="D1650" i="1"/>
  <c r="D1651" i="1"/>
  <c r="D1652" i="1"/>
  <c r="D1653" i="1"/>
  <c r="D1654" i="1"/>
  <c r="D1655" i="1"/>
  <c r="D1656" i="1"/>
  <c r="D1657" i="1"/>
  <c r="D1658" i="1"/>
  <c r="D1659" i="1"/>
  <c r="D1660" i="1"/>
  <c r="D1661" i="1"/>
  <c r="D1662" i="1"/>
  <c r="D1663" i="1"/>
  <c r="D1664" i="1"/>
  <c r="D1665" i="1"/>
  <c r="D1666" i="1"/>
  <c r="D1667" i="1"/>
  <c r="D1668" i="1"/>
  <c r="D1669" i="1"/>
  <c r="D1670" i="1"/>
  <c r="D1671" i="1"/>
  <c r="D1672" i="1"/>
  <c r="D1673" i="1"/>
  <c r="D1674" i="1"/>
  <c r="D1675" i="1"/>
  <c r="D1676" i="1"/>
  <c r="D1677" i="1"/>
  <c r="D1678" i="1"/>
  <c r="D1679" i="1"/>
  <c r="D1680" i="1"/>
  <c r="D1681" i="1"/>
  <c r="D1682" i="1"/>
  <c r="D1683" i="1"/>
  <c r="D1684" i="1"/>
  <c r="D1685" i="1"/>
  <c r="D1686" i="1"/>
  <c r="D1687" i="1"/>
  <c r="D1688" i="1"/>
  <c r="D1689" i="1"/>
  <c r="D1690" i="1"/>
  <c r="D1691" i="1"/>
  <c r="D1692" i="1"/>
  <c r="D1693" i="1"/>
  <c r="D1694" i="1"/>
  <c r="D1695" i="1"/>
  <c r="D1696" i="1"/>
  <c r="D1697" i="1"/>
  <c r="D1698" i="1"/>
  <c r="D1699" i="1"/>
  <c r="D1700" i="1"/>
  <c r="D1701" i="1"/>
  <c r="D1702" i="1"/>
  <c r="D1703" i="1"/>
  <c r="D1704" i="1"/>
  <c r="D1705" i="1"/>
  <c r="D1706" i="1"/>
  <c r="D1707" i="1"/>
  <c r="D1708" i="1"/>
  <c r="D1709" i="1"/>
  <c r="D1710" i="1"/>
  <c r="D1711" i="1"/>
  <c r="D1712" i="1"/>
  <c r="D1713" i="1"/>
  <c r="D1714" i="1"/>
  <c r="D1715" i="1"/>
  <c r="D1716" i="1"/>
  <c r="D1717" i="1"/>
  <c r="D1718" i="1"/>
  <c r="D1719" i="1"/>
  <c r="D1720" i="1"/>
  <c r="D1721" i="1"/>
  <c r="D1722" i="1"/>
  <c r="D1723" i="1"/>
  <c r="D1724" i="1"/>
  <c r="D1725" i="1"/>
  <c r="D1726" i="1"/>
  <c r="D1727" i="1"/>
  <c r="D1728" i="1"/>
  <c r="D1729" i="1"/>
  <c r="D1730" i="1"/>
  <c r="D1731" i="1"/>
  <c r="D1732" i="1"/>
  <c r="D1733" i="1"/>
  <c r="D1734" i="1"/>
  <c r="D1735" i="1"/>
  <c r="D1736" i="1"/>
  <c r="D1737" i="1"/>
  <c r="D1738" i="1"/>
  <c r="D1739" i="1"/>
  <c r="D1740" i="1"/>
  <c r="D1741" i="1"/>
  <c r="D1742" i="1"/>
  <c r="D1743" i="1"/>
  <c r="D1744" i="1"/>
  <c r="D1745" i="1"/>
  <c r="D1746" i="1"/>
  <c r="D1747" i="1"/>
  <c r="D1748" i="1"/>
  <c r="D1749" i="1"/>
  <c r="D1750" i="1"/>
  <c r="D1751" i="1"/>
  <c r="D1752" i="1"/>
  <c r="D1753" i="1"/>
  <c r="D1754" i="1"/>
  <c r="D1755" i="1"/>
  <c r="D1756" i="1"/>
  <c r="D1757" i="1"/>
  <c r="D1758" i="1"/>
  <c r="D1759" i="1"/>
  <c r="D1760" i="1"/>
  <c r="D1761" i="1"/>
  <c r="D1762" i="1"/>
  <c r="D1763" i="1"/>
  <c r="D1764" i="1"/>
  <c r="D1765" i="1"/>
  <c r="D1766" i="1"/>
  <c r="D1767" i="1"/>
  <c r="D1768" i="1"/>
  <c r="D1769" i="1"/>
  <c r="D1770" i="1"/>
  <c r="D1771" i="1"/>
  <c r="D1772" i="1"/>
  <c r="D1773" i="1"/>
  <c r="D1774" i="1"/>
  <c r="D1775" i="1"/>
  <c r="D1776" i="1"/>
  <c r="D1777" i="1"/>
  <c r="D1778" i="1"/>
  <c r="D1779" i="1"/>
  <c r="D1780" i="1"/>
  <c r="D1781" i="1"/>
  <c r="D1782" i="1"/>
  <c r="D1783" i="1"/>
  <c r="D1784" i="1"/>
  <c r="D1785" i="1"/>
  <c r="D1786" i="1"/>
  <c r="D1787" i="1"/>
  <c r="D1788" i="1"/>
  <c r="D1789" i="1"/>
  <c r="D1790" i="1"/>
  <c r="D1791" i="1"/>
  <c r="D1792" i="1"/>
  <c r="D1793" i="1"/>
  <c r="D1794" i="1"/>
  <c r="D1795" i="1"/>
  <c r="D1796" i="1"/>
  <c r="D1797" i="1"/>
  <c r="D1798" i="1"/>
  <c r="D1799" i="1"/>
  <c r="D1800" i="1"/>
  <c r="D1801" i="1"/>
  <c r="D1802" i="1"/>
  <c r="D1803" i="1"/>
  <c r="D1804" i="1"/>
  <c r="D1805" i="1"/>
  <c r="D1806" i="1"/>
  <c r="D1807" i="1"/>
  <c r="D1808" i="1"/>
  <c r="D1809" i="1"/>
  <c r="D1810" i="1"/>
  <c r="D1811" i="1"/>
  <c r="D1812" i="1"/>
  <c r="D1813" i="1"/>
  <c r="D1814" i="1"/>
  <c r="D1815" i="1"/>
  <c r="D1816" i="1"/>
  <c r="D1817" i="1"/>
  <c r="D1818" i="1"/>
  <c r="D1819" i="1"/>
  <c r="D1820" i="1"/>
  <c r="D1821" i="1"/>
  <c r="D1822" i="1"/>
  <c r="D1823" i="1"/>
  <c r="D1824" i="1"/>
  <c r="D1825" i="1"/>
  <c r="D1826" i="1"/>
  <c r="D1827" i="1"/>
  <c r="D1828" i="1"/>
  <c r="D1829" i="1"/>
  <c r="D1830" i="1"/>
  <c r="D1831" i="1"/>
  <c r="D1832" i="1"/>
  <c r="D1833" i="1"/>
  <c r="D1834" i="1"/>
  <c r="D1835" i="1"/>
  <c r="D1836" i="1"/>
  <c r="D1837" i="1"/>
  <c r="D1838" i="1"/>
  <c r="D1839" i="1"/>
  <c r="D1840" i="1"/>
  <c r="D1841" i="1"/>
  <c r="D1842" i="1"/>
  <c r="D1843" i="1"/>
  <c r="D1844" i="1"/>
  <c r="D1845" i="1"/>
  <c r="D1846" i="1"/>
  <c r="D1847" i="1"/>
  <c r="D1848" i="1"/>
  <c r="D1849" i="1"/>
  <c r="D1850" i="1"/>
  <c r="D1851" i="1"/>
  <c r="D1852" i="1"/>
  <c r="D1853" i="1"/>
  <c r="D1854" i="1"/>
  <c r="D1855" i="1"/>
  <c r="D1856" i="1"/>
  <c r="D1857" i="1"/>
  <c r="D1858" i="1"/>
  <c r="D1859" i="1"/>
  <c r="D1860" i="1"/>
  <c r="D1861" i="1"/>
  <c r="D1862" i="1"/>
  <c r="D1863" i="1"/>
  <c r="D1864" i="1"/>
  <c r="D1865" i="1"/>
  <c r="D1866" i="1"/>
  <c r="D1867" i="1"/>
  <c r="D1868" i="1"/>
  <c r="D1869" i="1"/>
  <c r="D1870" i="1"/>
  <c r="D1871" i="1"/>
  <c r="D1872" i="1"/>
  <c r="D1873" i="1"/>
  <c r="D1874" i="1"/>
  <c r="D1875" i="1"/>
  <c r="D1876" i="1"/>
  <c r="D1877" i="1"/>
  <c r="D1878" i="1"/>
  <c r="D1879" i="1"/>
  <c r="D1880" i="1"/>
  <c r="D1881" i="1"/>
  <c r="D1882" i="1"/>
  <c r="D1883" i="1"/>
  <c r="D1884" i="1"/>
  <c r="D1885" i="1"/>
  <c r="D1886" i="1"/>
  <c r="D1887" i="1"/>
  <c r="D1888" i="1"/>
  <c r="D1889" i="1"/>
  <c r="D1890" i="1"/>
  <c r="D1891" i="1"/>
  <c r="D1892" i="1"/>
  <c r="D1893" i="1"/>
  <c r="D1894" i="1"/>
  <c r="D1895" i="1"/>
  <c r="D1896" i="1"/>
  <c r="D1897" i="1"/>
  <c r="D1898" i="1"/>
  <c r="D1899" i="1"/>
  <c r="D1900" i="1"/>
  <c r="D1901" i="1"/>
  <c r="D1902" i="1"/>
  <c r="D1903" i="1"/>
  <c r="D1904" i="1"/>
  <c r="D1905" i="1"/>
  <c r="D1906" i="1"/>
  <c r="D1907" i="1"/>
  <c r="D1908" i="1"/>
  <c r="D1909" i="1"/>
  <c r="D1910" i="1"/>
  <c r="D1911" i="1"/>
  <c r="D1912" i="1"/>
  <c r="D1913" i="1"/>
  <c r="D1914" i="1"/>
  <c r="D1915" i="1"/>
  <c r="D1916" i="1"/>
  <c r="D1917" i="1"/>
  <c r="D1918" i="1"/>
  <c r="D1919" i="1"/>
  <c r="D1920" i="1"/>
  <c r="D1921" i="1"/>
  <c r="D1922" i="1"/>
  <c r="D1923" i="1"/>
  <c r="D1924" i="1"/>
  <c r="D1925" i="1"/>
  <c r="D1926" i="1"/>
  <c r="D1927" i="1"/>
  <c r="D1928" i="1"/>
  <c r="D1929" i="1"/>
  <c r="D1930" i="1"/>
  <c r="D1931" i="1"/>
  <c r="D1932" i="1"/>
  <c r="D1933" i="1"/>
  <c r="D1934" i="1"/>
  <c r="D1935" i="1"/>
  <c r="D1936" i="1"/>
  <c r="D1937" i="1"/>
  <c r="D1938" i="1"/>
  <c r="D1939" i="1"/>
  <c r="D1940" i="1"/>
  <c r="D1941" i="1"/>
  <c r="D1942" i="1"/>
  <c r="D1943" i="1"/>
  <c r="D1944" i="1"/>
  <c r="D1945" i="1"/>
  <c r="D1946" i="1"/>
  <c r="D1947" i="1"/>
  <c r="D1948" i="1"/>
  <c r="D1949" i="1"/>
  <c r="D1950" i="1"/>
  <c r="D1951" i="1"/>
  <c r="D1952" i="1"/>
  <c r="D1953" i="1"/>
  <c r="D1954" i="1"/>
  <c r="D1955" i="1"/>
  <c r="D1956" i="1"/>
  <c r="D1957" i="1"/>
  <c r="D1958" i="1"/>
  <c r="D1959" i="1"/>
  <c r="D1960" i="1"/>
  <c r="D1961" i="1"/>
  <c r="D1962" i="1"/>
  <c r="D1963" i="1"/>
  <c r="D1964" i="1"/>
  <c r="D1965" i="1"/>
  <c r="D1966" i="1"/>
  <c r="D1967" i="1"/>
  <c r="D1968" i="1"/>
  <c r="D1969" i="1"/>
  <c r="D1970" i="1"/>
  <c r="D1971" i="1"/>
  <c r="D1972" i="1"/>
  <c r="D1973" i="1"/>
  <c r="D1974" i="1"/>
  <c r="D1975" i="1"/>
  <c r="D1976" i="1"/>
  <c r="D1977" i="1"/>
  <c r="D1978" i="1"/>
  <c r="D1979" i="1"/>
  <c r="D1980" i="1"/>
  <c r="D1981" i="1"/>
  <c r="D1982" i="1"/>
  <c r="D1983" i="1"/>
  <c r="D1984" i="1"/>
  <c r="D1985" i="1"/>
  <c r="D1986" i="1"/>
  <c r="D1987" i="1"/>
  <c r="D1988" i="1"/>
  <c r="D1989" i="1"/>
  <c r="D1990" i="1"/>
  <c r="D1991" i="1"/>
  <c r="D1992" i="1"/>
  <c r="D1993" i="1"/>
  <c r="D1994" i="1"/>
  <c r="D1995" i="1"/>
  <c r="D1996" i="1"/>
  <c r="D1997" i="1"/>
  <c r="D1998" i="1"/>
  <c r="D1999" i="1"/>
  <c r="D2000" i="1"/>
  <c r="D2001" i="1"/>
  <c r="D2002" i="1"/>
  <c r="D2003" i="1"/>
  <c r="D2004" i="1"/>
  <c r="D2005" i="1"/>
  <c r="D2006" i="1"/>
  <c r="D2007" i="1"/>
  <c r="D2008" i="1"/>
  <c r="D2009" i="1"/>
  <c r="D2010" i="1"/>
  <c r="D2011" i="1"/>
  <c r="D2012" i="1"/>
  <c r="D2013" i="1"/>
  <c r="D2014" i="1"/>
  <c r="D2015" i="1"/>
  <c r="D2016" i="1"/>
  <c r="D2017" i="1"/>
  <c r="D2018" i="1"/>
  <c r="D2019" i="1"/>
  <c r="D2020" i="1"/>
  <c r="D2021" i="1"/>
  <c r="D2022" i="1"/>
  <c r="D2023" i="1"/>
  <c r="D2024" i="1"/>
  <c r="D2025" i="1"/>
  <c r="D2026" i="1"/>
  <c r="D2027" i="1"/>
  <c r="D2028" i="1"/>
  <c r="D2029" i="1"/>
  <c r="D2030" i="1"/>
  <c r="D2031" i="1"/>
  <c r="D2032" i="1"/>
  <c r="D2033" i="1"/>
  <c r="D2034" i="1"/>
  <c r="D2035" i="1"/>
  <c r="D2036" i="1"/>
  <c r="D2037" i="1"/>
  <c r="D2038" i="1"/>
  <c r="D2039" i="1"/>
  <c r="D2040" i="1"/>
  <c r="D2041" i="1"/>
  <c r="D2042" i="1"/>
  <c r="D2043" i="1"/>
  <c r="D2044" i="1"/>
  <c r="D2045" i="1"/>
  <c r="D2046" i="1"/>
  <c r="D2047" i="1"/>
  <c r="D2048" i="1"/>
  <c r="D2049" i="1"/>
  <c r="D2050" i="1"/>
  <c r="D2051" i="1"/>
  <c r="D2052" i="1"/>
  <c r="D2053" i="1"/>
  <c r="D2054" i="1"/>
  <c r="D2055" i="1"/>
  <c r="D2056" i="1"/>
  <c r="D2057" i="1"/>
  <c r="D2058" i="1"/>
  <c r="D2059" i="1"/>
  <c r="D2060" i="1"/>
  <c r="D2061" i="1"/>
  <c r="D2062" i="1"/>
  <c r="D2063" i="1"/>
  <c r="D2064" i="1"/>
  <c r="D2065" i="1"/>
  <c r="D2066" i="1"/>
  <c r="D2067" i="1"/>
  <c r="D2068" i="1"/>
  <c r="D2069" i="1"/>
  <c r="D2070" i="1"/>
  <c r="D2071" i="1"/>
  <c r="D2072" i="1"/>
  <c r="D2073" i="1"/>
  <c r="D2074" i="1"/>
  <c r="D2075" i="1"/>
  <c r="D2076" i="1"/>
  <c r="D2077" i="1"/>
  <c r="D2078" i="1"/>
  <c r="D2079" i="1"/>
  <c r="D2080" i="1"/>
  <c r="D2081" i="1"/>
  <c r="D2082" i="1"/>
  <c r="D2083" i="1"/>
  <c r="D2084" i="1"/>
  <c r="D2085" i="1"/>
  <c r="D2086" i="1"/>
  <c r="D2087" i="1"/>
  <c r="D2088" i="1"/>
  <c r="D2089" i="1"/>
  <c r="D2090" i="1"/>
  <c r="D2091" i="1"/>
  <c r="D2092" i="1"/>
  <c r="D2093" i="1"/>
  <c r="D2094" i="1"/>
  <c r="D2095" i="1"/>
  <c r="D2096" i="1"/>
  <c r="D2097" i="1"/>
  <c r="D2098" i="1"/>
  <c r="D2099" i="1"/>
  <c r="D2100" i="1"/>
  <c r="D2101" i="1"/>
  <c r="D2102" i="1"/>
  <c r="D2103" i="1"/>
  <c r="D2104" i="1"/>
  <c r="D2105" i="1"/>
  <c r="D2106" i="1"/>
  <c r="D2107" i="1"/>
  <c r="D2108" i="1"/>
  <c r="D2109" i="1"/>
  <c r="D2110" i="1"/>
  <c r="D2111" i="1"/>
  <c r="D2112" i="1"/>
  <c r="D2113" i="1"/>
  <c r="D2114" i="1"/>
  <c r="D2115" i="1"/>
  <c r="D2116" i="1"/>
  <c r="D2117" i="1"/>
  <c r="D2118" i="1"/>
  <c r="D2119" i="1"/>
  <c r="D2120" i="1"/>
  <c r="D2121" i="1"/>
  <c r="D2122" i="1"/>
  <c r="D2123" i="1"/>
  <c r="D2124" i="1"/>
  <c r="D2125" i="1"/>
  <c r="D2126" i="1"/>
  <c r="D2127" i="1"/>
  <c r="D2128" i="1"/>
  <c r="D2129" i="1"/>
  <c r="D2130" i="1"/>
  <c r="D2131" i="1"/>
  <c r="D2132" i="1"/>
  <c r="D2133" i="1"/>
  <c r="D2134" i="1"/>
  <c r="D2135" i="1"/>
  <c r="D2136" i="1"/>
  <c r="D2137" i="1"/>
  <c r="D2138" i="1"/>
  <c r="D2139" i="1"/>
  <c r="D2140" i="1"/>
  <c r="D2141" i="1"/>
  <c r="D2142" i="1"/>
  <c r="D2143" i="1"/>
  <c r="D2144" i="1"/>
  <c r="D2145" i="1"/>
  <c r="D2146" i="1"/>
  <c r="D2147" i="1"/>
  <c r="D2148" i="1"/>
  <c r="D2149" i="1"/>
  <c r="D2150" i="1"/>
  <c r="D2151" i="1"/>
  <c r="D2152" i="1"/>
  <c r="D2153" i="1"/>
  <c r="D2154" i="1"/>
  <c r="D2155" i="1"/>
  <c r="D2156" i="1"/>
  <c r="D2157" i="1"/>
  <c r="D2158" i="1"/>
  <c r="D2159" i="1"/>
  <c r="D2160" i="1"/>
  <c r="D2161" i="1"/>
  <c r="D2162" i="1"/>
  <c r="D2163" i="1"/>
  <c r="D2164" i="1"/>
  <c r="D2165" i="1"/>
  <c r="D2166" i="1"/>
  <c r="D2167" i="1"/>
  <c r="D2168" i="1"/>
  <c r="D2169" i="1"/>
  <c r="D2170" i="1"/>
  <c r="D2171" i="1"/>
  <c r="D2172" i="1"/>
  <c r="D2173" i="1"/>
  <c r="D2174" i="1"/>
  <c r="D2175" i="1"/>
  <c r="D2176" i="1"/>
  <c r="D2177" i="1"/>
  <c r="D2178" i="1"/>
  <c r="D2179" i="1"/>
  <c r="D2180" i="1"/>
  <c r="D2181" i="1"/>
  <c r="D2182" i="1"/>
  <c r="D2183" i="1"/>
  <c r="D2184" i="1"/>
  <c r="D2185" i="1"/>
  <c r="D2186" i="1"/>
  <c r="D2187" i="1"/>
  <c r="D2188" i="1"/>
  <c r="D2189" i="1"/>
  <c r="D2190" i="1"/>
  <c r="D2191" i="1"/>
  <c r="D2192" i="1"/>
  <c r="D2193" i="1"/>
  <c r="D2194" i="1"/>
  <c r="D2195" i="1"/>
  <c r="D2196" i="1"/>
  <c r="D2197" i="1"/>
  <c r="D2198" i="1"/>
  <c r="D2199" i="1"/>
  <c r="D2200" i="1"/>
  <c r="D2201" i="1"/>
  <c r="D2202" i="1"/>
  <c r="D2203" i="1"/>
  <c r="D2204" i="1"/>
  <c r="D2205" i="1"/>
  <c r="D2206" i="1"/>
  <c r="D2207" i="1"/>
  <c r="D2208" i="1"/>
  <c r="D2209" i="1"/>
  <c r="D2210" i="1"/>
  <c r="D2211" i="1"/>
  <c r="D2212" i="1"/>
  <c r="D2213" i="1"/>
  <c r="D2214" i="1"/>
  <c r="D2215" i="1"/>
  <c r="D2216" i="1"/>
  <c r="D2217" i="1"/>
  <c r="D2218" i="1"/>
  <c r="D2219" i="1"/>
  <c r="D2220" i="1"/>
  <c r="D2221" i="1"/>
  <c r="D2222" i="1"/>
  <c r="D2223" i="1"/>
  <c r="D2224" i="1"/>
  <c r="D2225" i="1"/>
  <c r="D2226" i="1"/>
  <c r="D2227" i="1"/>
  <c r="D2228" i="1"/>
  <c r="D2229" i="1"/>
  <c r="D2230" i="1"/>
  <c r="D2231" i="1"/>
  <c r="D2232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15" i="1"/>
  <c r="A133" i="5" l="1"/>
  <c r="B75" i="5"/>
  <c r="A75" i="5"/>
  <c r="A76" i="5" s="1"/>
  <c r="A77" i="5" s="1"/>
  <c r="A78" i="5" s="1"/>
  <c r="A79" i="5" s="1"/>
  <c r="A80" i="5" s="1"/>
  <c r="A81" i="5" s="1"/>
  <c r="A82" i="5" s="1"/>
  <c r="A83" i="5" s="1"/>
  <c r="A84" i="5" s="1"/>
  <c r="A85" i="5" s="1"/>
  <c r="A86" i="5" s="1"/>
  <c r="A87" i="5" s="1"/>
  <c r="A88" i="5" s="1"/>
  <c r="A89" i="5" s="1"/>
  <c r="A90" i="5" s="1"/>
  <c r="A91" i="5" s="1"/>
  <c r="A92" i="5" s="1"/>
  <c r="A93" i="5" s="1"/>
  <c r="A94" i="5" s="1"/>
  <c r="A95" i="5" s="1"/>
  <c r="A96" i="5" s="1"/>
  <c r="A97" i="5" s="1"/>
  <c r="A98" i="5" s="1"/>
  <c r="A99" i="5" s="1"/>
  <c r="A100" i="5" s="1"/>
  <c r="A101" i="5" s="1"/>
  <c r="A102" i="5" s="1"/>
  <c r="A103" i="5" s="1"/>
  <c r="A104" i="5" s="1"/>
  <c r="A105" i="5" s="1"/>
  <c r="A106" i="5" s="1"/>
  <c r="A107" i="5" s="1"/>
  <c r="A108" i="5" s="1"/>
  <c r="A109" i="5" s="1"/>
  <c r="A110" i="5" s="1"/>
  <c r="A111" i="5" s="1"/>
  <c r="A112" i="5" s="1"/>
  <c r="A113" i="5" s="1"/>
  <c r="A114" i="5" s="1"/>
  <c r="A115" i="5" s="1"/>
  <c r="A116" i="5" s="1"/>
  <c r="A117" i="5" s="1"/>
  <c r="A118" i="5" s="1"/>
  <c r="A119" i="5" s="1"/>
  <c r="A120" i="5" s="1"/>
  <c r="A121" i="5" s="1"/>
  <c r="A122" i="5" s="1"/>
  <c r="A123" i="5" s="1"/>
  <c r="A124" i="5" s="1"/>
  <c r="A125" i="5" s="1"/>
  <c r="A126" i="5" s="1"/>
  <c r="A127" i="5" s="1"/>
  <c r="A128" i="5" s="1"/>
  <c r="A129" i="5" s="1"/>
  <c r="A130" i="5" s="1"/>
  <c r="A131" i="5" s="1"/>
  <c r="A132" i="5" s="1"/>
  <c r="B123" i="5"/>
  <c r="B124" i="5"/>
  <c r="B125" i="5"/>
  <c r="B126" i="5"/>
  <c r="B127" i="5"/>
  <c r="B128" i="5"/>
  <c r="B129" i="5"/>
  <c r="B130" i="5"/>
  <c r="B131" i="5"/>
  <c r="B132" i="5"/>
  <c r="B99" i="5"/>
  <c r="B100" i="5"/>
  <c r="B101" i="5"/>
  <c r="B102" i="5"/>
  <c r="B103" i="5"/>
  <c r="B104" i="5"/>
  <c r="B105" i="5"/>
  <c r="B106" i="5"/>
  <c r="B107" i="5"/>
  <c r="B108" i="5"/>
  <c r="B109" i="5"/>
  <c r="B110" i="5"/>
  <c r="B111" i="5"/>
  <c r="B112" i="5"/>
  <c r="B113" i="5"/>
  <c r="B114" i="5"/>
  <c r="B115" i="5"/>
  <c r="B116" i="5"/>
  <c r="B117" i="5"/>
  <c r="B118" i="5"/>
  <c r="B119" i="5"/>
  <c r="B120" i="5"/>
  <c r="B121" i="5"/>
  <c r="B122" i="5"/>
  <c r="B85" i="5"/>
  <c r="B86" i="5"/>
  <c r="B87" i="5"/>
  <c r="B88" i="5"/>
  <c r="B89" i="5"/>
  <c r="B90" i="5"/>
  <c r="B91" i="5"/>
  <c r="B92" i="5"/>
  <c r="B93" i="5"/>
  <c r="B94" i="5"/>
  <c r="B95" i="5"/>
  <c r="B96" i="5"/>
  <c r="B97" i="5"/>
  <c r="B98" i="5"/>
  <c r="B77" i="5"/>
  <c r="B78" i="5"/>
  <c r="B79" i="5"/>
  <c r="B80" i="5"/>
  <c r="B81" i="5"/>
  <c r="B82" i="5"/>
  <c r="B83" i="5"/>
  <c r="B84" i="5"/>
  <c r="B76" i="5"/>
  <c r="O51" i="5"/>
  <c r="N53" i="5"/>
  <c r="M51" i="5"/>
  <c r="N51" i="5"/>
  <c r="A61" i="5"/>
  <c r="A60" i="5"/>
  <c r="B60" i="5" s="1" a="1"/>
  <c r="B60" i="5" s="1"/>
  <c r="C60" i="5" s="1"/>
  <c r="A57" i="5"/>
  <c r="B57" i="5" s="1" a="1"/>
  <c r="B57" i="5" s="1"/>
  <c r="C57" i="5" s="1"/>
  <c r="A33" i="5"/>
  <c r="B33" i="5" s="1" a="1"/>
  <c r="B33" i="5" s="1"/>
  <c r="C33" i="5" s="1"/>
  <c r="A34" i="5"/>
  <c r="D34" i="5" s="1"/>
  <c r="B34" i="5" a="1"/>
  <c r="B34" i="5" s="1"/>
  <c r="C34" i="5" s="1"/>
  <c r="A35" i="5"/>
  <c r="D35" i="5" s="1"/>
  <c r="D11" i="5"/>
  <c r="D12" i="5"/>
  <c r="D13" i="5"/>
  <c r="D14" i="5"/>
  <c r="D15" i="5"/>
  <c r="D16" i="5"/>
  <c r="D17" i="5"/>
  <c r="D18" i="5"/>
  <c r="D19" i="5"/>
  <c r="D20" i="5"/>
  <c r="D21" i="5"/>
  <c r="D22" i="5"/>
  <c r="D23" i="5"/>
  <c r="D24" i="5"/>
  <c r="D25" i="5"/>
  <c r="D26" i="5"/>
  <c r="D27" i="5"/>
  <c r="D28" i="5"/>
  <c r="D29" i="5"/>
  <c r="D30" i="5"/>
  <c r="D31" i="5"/>
  <c r="D32" i="5"/>
  <c r="D8" i="5"/>
  <c r="D9" i="5"/>
  <c r="D10" i="5"/>
  <c r="D6" i="5"/>
  <c r="D7" i="5"/>
  <c r="D4" i="5"/>
  <c r="D5" i="5"/>
  <c r="D3" i="5"/>
  <c r="D1" i="5" s="1"/>
  <c r="C1" i="5"/>
  <c r="B8" i="4"/>
  <c r="G1" i="5" s="1"/>
  <c r="B5" i="4"/>
  <c r="A5" i="4"/>
  <c r="B4" i="4"/>
  <c r="A4" i="4"/>
  <c r="B3" i="4"/>
  <c r="A3" i="4"/>
  <c r="A3" i="5"/>
  <c r="E34" i="5" l="1"/>
  <c r="E1" i="5"/>
  <c r="D60" i="5"/>
  <c r="E60" i="5" s="1"/>
  <c r="A58" i="5"/>
  <c r="D57" i="5"/>
  <c r="E57" i="5" s="1"/>
  <c r="B35" i="5" a="1"/>
  <c r="B35" i="5" s="1"/>
  <c r="C35" i="5" s="1"/>
  <c r="E35" i="5" s="1"/>
  <c r="A36" i="5"/>
  <c r="D33" i="5"/>
  <c r="E33" i="5" s="1"/>
  <c r="B3" i="5" a="1"/>
  <c r="B3" i="5" s="1"/>
  <c r="A4" i="5"/>
  <c r="B9" i="4" a="1"/>
  <c r="B9" i="4" s="1"/>
  <c r="C3" i="5" l="1"/>
  <c r="F1" i="5"/>
  <c r="D58" i="5"/>
  <c r="B58" i="5" a="1"/>
  <c r="B58" i="5" s="1"/>
  <c r="C58" i="5" s="1"/>
  <c r="A59" i="5"/>
  <c r="A37" i="5"/>
  <c r="B36" i="5" a="1"/>
  <c r="B36" i="5" s="1"/>
  <c r="C36" i="5" s="1"/>
  <c r="D36" i="5"/>
  <c r="A5" i="5"/>
  <c r="B4" i="5" a="1"/>
  <c r="B4" i="5" s="1"/>
  <c r="C4" i="5" s="1"/>
  <c r="E4" i="5" s="1"/>
  <c r="E36" i="5" l="1"/>
  <c r="E58" i="5"/>
  <c r="E3" i="5"/>
  <c r="F3" i="5" s="1"/>
  <c r="G3" i="5" s="1"/>
  <c r="B59" i="5" a="1"/>
  <c r="B59" i="5" s="1"/>
  <c r="C59" i="5" s="1"/>
  <c r="D59" i="5"/>
  <c r="A38" i="5"/>
  <c r="B37" i="5" a="1"/>
  <c r="B37" i="5" s="1"/>
  <c r="C37" i="5" s="1"/>
  <c r="D37" i="5"/>
  <c r="A6" i="5"/>
  <c r="B5" i="5" a="1"/>
  <c r="B5" i="5" s="1"/>
  <c r="C5" i="5" s="1"/>
  <c r="E5" i="5" s="1"/>
  <c r="F4" i="5" l="1"/>
  <c r="G4" i="5" s="1"/>
  <c r="H4" i="5" s="1"/>
  <c r="I4" i="5" s="1"/>
  <c r="F5" i="5"/>
  <c r="G5" i="5" s="1"/>
  <c r="H5" i="5" s="1"/>
  <c r="E59" i="5"/>
  <c r="H3" i="5"/>
  <c r="E37" i="5"/>
  <c r="A39" i="5"/>
  <c r="B38" i="5" a="1"/>
  <c r="B38" i="5" s="1"/>
  <c r="C38" i="5" s="1"/>
  <c r="D38" i="5"/>
  <c r="A7" i="5"/>
  <c r="B6" i="5" a="1"/>
  <c r="B6" i="5" s="1"/>
  <c r="C6" i="5" s="1"/>
  <c r="E6" i="5" s="1"/>
  <c r="C76" i="5" l="1"/>
  <c r="I3" i="5"/>
  <c r="C75" i="5"/>
  <c r="I5" i="5"/>
  <c r="C77" i="5"/>
  <c r="F6" i="5"/>
  <c r="G6" i="5" s="1"/>
  <c r="H6" i="5" s="1"/>
  <c r="E38" i="5"/>
  <c r="B39" i="5" a="1"/>
  <c r="B39" i="5" s="1"/>
  <c r="C39" i="5" s="1"/>
  <c r="D39" i="5"/>
  <c r="A40" i="5"/>
  <c r="A8" i="5"/>
  <c r="B7" i="5" a="1"/>
  <c r="B7" i="5" s="1"/>
  <c r="I6" i="5" l="1"/>
  <c r="C78" i="5"/>
  <c r="C7" i="5"/>
  <c r="E39" i="5"/>
  <c r="D40" i="5"/>
  <c r="A41" i="5"/>
  <c r="B40" i="5" a="1"/>
  <c r="B40" i="5" s="1"/>
  <c r="C40" i="5" s="1"/>
  <c r="A9" i="5"/>
  <c r="B8" i="5" a="1"/>
  <c r="B8" i="5" s="1"/>
  <c r="C8" i="5" s="1"/>
  <c r="E8" i="5" s="1"/>
  <c r="E7" i="5" l="1"/>
  <c r="E40" i="5"/>
  <c r="D41" i="5"/>
  <c r="A42" i="5"/>
  <c r="B41" i="5" a="1"/>
  <c r="B41" i="5" s="1"/>
  <c r="C41" i="5" s="1"/>
  <c r="A10" i="5"/>
  <c r="B9" i="5" a="1"/>
  <c r="B9" i="5" s="1"/>
  <c r="C9" i="5" s="1"/>
  <c r="E9" i="5" s="1"/>
  <c r="F7" i="5" l="1"/>
  <c r="G7" i="5" s="1"/>
  <c r="H7" i="5" s="1"/>
  <c r="F8" i="5"/>
  <c r="G8" i="5" s="1"/>
  <c r="H8" i="5" s="1"/>
  <c r="F9" i="5"/>
  <c r="G9" i="5" s="1"/>
  <c r="H9" i="5" s="1"/>
  <c r="E41" i="5"/>
  <c r="A43" i="5"/>
  <c r="B42" i="5" a="1"/>
  <c r="B42" i="5" s="1"/>
  <c r="C42" i="5" s="1"/>
  <c r="D42" i="5"/>
  <c r="A11" i="5"/>
  <c r="B10" i="5" a="1"/>
  <c r="B10" i="5" s="1"/>
  <c r="C10" i="5" s="1"/>
  <c r="E10" i="5" s="1"/>
  <c r="F10" i="5" s="1"/>
  <c r="G10" i="5" s="1"/>
  <c r="H10" i="5" s="1"/>
  <c r="I9" i="5" l="1"/>
  <c r="C81" i="5"/>
  <c r="I8" i="5"/>
  <c r="C80" i="5"/>
  <c r="I10" i="5"/>
  <c r="C82" i="5"/>
  <c r="I7" i="5"/>
  <c r="C79" i="5"/>
  <c r="E42" i="5"/>
  <c r="A44" i="5"/>
  <c r="B43" i="5" a="1"/>
  <c r="B43" i="5" s="1"/>
  <c r="C43" i="5" s="1"/>
  <c r="D43" i="5"/>
  <c r="B11" i="5" a="1"/>
  <c r="B11" i="5" s="1"/>
  <c r="C11" i="5" s="1"/>
  <c r="E11" i="5" s="1"/>
  <c r="A12" i="5"/>
  <c r="F11" i="5" l="1"/>
  <c r="G11" i="5" s="1"/>
  <c r="H11" i="5" s="1"/>
  <c r="E43" i="5"/>
  <c r="A45" i="5"/>
  <c r="B44" i="5" a="1"/>
  <c r="B44" i="5" s="1"/>
  <c r="C44" i="5" s="1"/>
  <c r="D44" i="5"/>
  <c r="A13" i="5"/>
  <c r="B12" i="5" a="1"/>
  <c r="B12" i="5" s="1"/>
  <c r="C12" i="5" s="1"/>
  <c r="E12" i="5" s="1"/>
  <c r="I11" i="5" l="1"/>
  <c r="C83" i="5"/>
  <c r="F12" i="5"/>
  <c r="G12" i="5" s="1"/>
  <c r="H12" i="5" s="1"/>
  <c r="E44" i="5"/>
  <c r="B45" i="5" a="1"/>
  <c r="B45" i="5" s="1"/>
  <c r="C45" i="5" s="1"/>
  <c r="D45" i="5"/>
  <c r="A46" i="5"/>
  <c r="A14" i="5"/>
  <c r="B13" i="5" a="1"/>
  <c r="B13" i="5" s="1"/>
  <c r="C13" i="5" s="1"/>
  <c r="E13" i="5" s="1"/>
  <c r="I12" i="5" l="1"/>
  <c r="C84" i="5"/>
  <c r="F13" i="5"/>
  <c r="G13" i="5" s="1"/>
  <c r="H13" i="5" s="1"/>
  <c r="E45" i="5"/>
  <c r="D46" i="5"/>
  <c r="B46" i="5" a="1"/>
  <c r="B46" i="5" s="1"/>
  <c r="C46" i="5" s="1"/>
  <c r="A47" i="5"/>
  <c r="B14" i="5" a="1"/>
  <c r="B14" i="5" s="1"/>
  <c r="C14" i="5" s="1"/>
  <c r="E14" i="5" s="1"/>
  <c r="A15" i="5"/>
  <c r="I13" i="5" l="1"/>
  <c r="C85" i="5"/>
  <c r="F14" i="5"/>
  <c r="G14" i="5" s="1"/>
  <c r="H14" i="5" s="1"/>
  <c r="E46" i="5"/>
  <c r="D47" i="5"/>
  <c r="A48" i="5"/>
  <c r="B47" i="5" a="1"/>
  <c r="B47" i="5" s="1"/>
  <c r="C47" i="5" s="1"/>
  <c r="A16" i="5"/>
  <c r="B15" i="5" a="1"/>
  <c r="B15" i="5" s="1"/>
  <c r="C15" i="5" s="1"/>
  <c r="E15" i="5" s="1"/>
  <c r="F15" i="5" s="1"/>
  <c r="G15" i="5" s="1"/>
  <c r="H15" i="5" s="1"/>
  <c r="I15" i="5" l="1"/>
  <c r="C87" i="5"/>
  <c r="I14" i="5"/>
  <c r="C86" i="5"/>
  <c r="A49" i="5"/>
  <c r="B48" i="5" a="1"/>
  <c r="B48" i="5" s="1"/>
  <c r="C48" i="5" s="1"/>
  <c r="D48" i="5"/>
  <c r="E47" i="5"/>
  <c r="A17" i="5"/>
  <c r="B16" i="5" a="1"/>
  <c r="B16" i="5" s="1"/>
  <c r="C16" i="5" s="1"/>
  <c r="E16" i="5" s="1"/>
  <c r="F16" i="5" s="1"/>
  <c r="G16" i="5" s="1"/>
  <c r="H16" i="5" s="1"/>
  <c r="I16" i="5" l="1"/>
  <c r="C88" i="5"/>
  <c r="E48" i="5"/>
  <c r="A50" i="5"/>
  <c r="B49" i="5" a="1"/>
  <c r="B49" i="5" s="1"/>
  <c r="C49" i="5" s="1"/>
  <c r="D49" i="5"/>
  <c r="A18" i="5"/>
  <c r="B17" i="5" a="1"/>
  <c r="B17" i="5" s="1"/>
  <c r="C17" i="5" s="1"/>
  <c r="E17" i="5" s="1"/>
  <c r="F17" i="5" s="1"/>
  <c r="G17" i="5" s="1"/>
  <c r="H17" i="5" s="1"/>
  <c r="I17" i="5" l="1"/>
  <c r="C89" i="5"/>
  <c r="E49" i="5"/>
  <c r="A51" i="5"/>
  <c r="B50" i="5" a="1"/>
  <c r="B50" i="5" s="1"/>
  <c r="C50" i="5" s="1"/>
  <c r="D50" i="5"/>
  <c r="A19" i="5"/>
  <c r="B18" i="5" a="1"/>
  <c r="B18" i="5" s="1"/>
  <c r="C18" i="5" s="1"/>
  <c r="E18" i="5" s="1"/>
  <c r="F18" i="5" s="1"/>
  <c r="G18" i="5" s="1"/>
  <c r="H18" i="5" s="1"/>
  <c r="I18" i="5" l="1"/>
  <c r="C90" i="5"/>
  <c r="E50" i="5"/>
  <c r="B51" i="5" a="1"/>
  <c r="B51" i="5" s="1"/>
  <c r="C51" i="5" s="1"/>
  <c r="D51" i="5"/>
  <c r="A52" i="5"/>
  <c r="A20" i="5"/>
  <c r="B19" i="5" a="1"/>
  <c r="B19" i="5" s="1"/>
  <c r="C19" i="5" s="1"/>
  <c r="E19" i="5" s="1"/>
  <c r="F19" i="5" s="1"/>
  <c r="G19" i="5" s="1"/>
  <c r="H19" i="5" s="1"/>
  <c r="I19" i="5" l="1"/>
  <c r="C91" i="5"/>
  <c r="E51" i="5"/>
  <c r="D52" i="5"/>
  <c r="B52" i="5" a="1"/>
  <c r="B52" i="5" s="1"/>
  <c r="C52" i="5" s="1"/>
  <c r="A53" i="5"/>
  <c r="A21" i="5"/>
  <c r="B20" i="5" a="1"/>
  <c r="B20" i="5" s="1"/>
  <c r="C20" i="5" s="1"/>
  <c r="E20" i="5" s="1"/>
  <c r="F20" i="5" s="1"/>
  <c r="G20" i="5" s="1"/>
  <c r="H20" i="5" s="1"/>
  <c r="I20" i="5" l="1"/>
  <c r="C92" i="5"/>
  <c r="E52" i="5"/>
  <c r="D53" i="5"/>
  <c r="A54" i="5"/>
  <c r="B53" i="5" a="1"/>
  <c r="B53" i="5" s="1"/>
  <c r="C53" i="5" s="1"/>
  <c r="A22" i="5"/>
  <c r="B21" i="5" a="1"/>
  <c r="B21" i="5" s="1"/>
  <c r="C21" i="5" s="1"/>
  <c r="E21" i="5" s="1"/>
  <c r="F21" i="5" s="1"/>
  <c r="G21" i="5" s="1"/>
  <c r="H21" i="5" s="1"/>
  <c r="I21" i="5" l="1"/>
  <c r="C93" i="5"/>
  <c r="E53" i="5"/>
  <c r="A55" i="5"/>
  <c r="B54" i="5" a="1"/>
  <c r="B54" i="5" s="1"/>
  <c r="C54" i="5" s="1"/>
  <c r="D54" i="5"/>
  <c r="A23" i="5"/>
  <c r="B22" i="5" a="1"/>
  <c r="B22" i="5" s="1"/>
  <c r="C22" i="5" s="1"/>
  <c r="E22" i="5" s="1"/>
  <c r="F22" i="5" s="1"/>
  <c r="G22" i="5" s="1"/>
  <c r="H22" i="5" s="1"/>
  <c r="I22" i="5" l="1"/>
  <c r="C94" i="5"/>
  <c r="E54" i="5"/>
  <c r="A56" i="5"/>
  <c r="D55" i="5"/>
  <c r="B55" i="5" a="1"/>
  <c r="B55" i="5" s="1"/>
  <c r="C55" i="5" s="1"/>
  <c r="A24" i="5"/>
  <c r="B23" i="5" a="1"/>
  <c r="B23" i="5" s="1"/>
  <c r="C23" i="5" s="1"/>
  <c r="E23" i="5" s="1"/>
  <c r="F23" i="5" s="1"/>
  <c r="G23" i="5" s="1"/>
  <c r="H23" i="5" s="1"/>
  <c r="I23" i="5" l="1"/>
  <c r="C95" i="5"/>
  <c r="B56" i="5" a="1"/>
  <c r="B56" i="5" s="1"/>
  <c r="D56" i="5"/>
  <c r="D61" i="5" s="1"/>
  <c r="E55" i="5"/>
  <c r="A25" i="5"/>
  <c r="B24" i="5" a="1"/>
  <c r="B24" i="5" s="1"/>
  <c r="C24" i="5" s="1"/>
  <c r="E24" i="5" s="1"/>
  <c r="F24" i="5" s="1"/>
  <c r="G24" i="5" s="1"/>
  <c r="H24" i="5" s="1"/>
  <c r="I24" i="5" l="1"/>
  <c r="C96" i="5"/>
  <c r="C56" i="5"/>
  <c r="E56" i="5" s="1"/>
  <c r="A26" i="5"/>
  <c r="B25" i="5" a="1"/>
  <c r="B25" i="5" s="1"/>
  <c r="C25" i="5" s="1"/>
  <c r="E25" i="5" s="1"/>
  <c r="F25" i="5" s="1"/>
  <c r="G25" i="5" s="1"/>
  <c r="H25" i="5" s="1"/>
  <c r="I25" i="5" l="1"/>
  <c r="C97" i="5"/>
  <c r="A27" i="5"/>
  <c r="B26" i="5" a="1"/>
  <c r="B26" i="5" s="1"/>
  <c r="C26" i="5" s="1"/>
  <c r="E26" i="5" s="1"/>
  <c r="F26" i="5" s="1"/>
  <c r="G26" i="5" s="1"/>
  <c r="H26" i="5" s="1"/>
  <c r="I26" i="5" l="1"/>
  <c r="C98" i="5"/>
  <c r="A28" i="5"/>
  <c r="B27" i="5" a="1"/>
  <c r="B27" i="5" s="1"/>
  <c r="C27" i="5" s="1"/>
  <c r="E27" i="5" s="1"/>
  <c r="F27" i="5" s="1"/>
  <c r="G27" i="5" l="1"/>
  <c r="H27" i="5" s="1"/>
  <c r="A29" i="5"/>
  <c r="B28" i="5" a="1"/>
  <c r="B28" i="5" s="1"/>
  <c r="C28" i="5" s="1"/>
  <c r="E28" i="5" s="1"/>
  <c r="F28" i="5" s="1"/>
  <c r="G28" i="5" s="1"/>
  <c r="H28" i="5" s="1"/>
  <c r="I28" i="5" l="1"/>
  <c r="C100" i="5"/>
  <c r="I27" i="5"/>
  <c r="C99" i="5"/>
  <c r="A30" i="5"/>
  <c r="B29" i="5" a="1"/>
  <c r="B29" i="5" s="1"/>
  <c r="C29" i="5" s="1"/>
  <c r="E29" i="5" s="1"/>
  <c r="F29" i="5" s="1"/>
  <c r="G29" i="5" l="1"/>
  <c r="A31" i="5"/>
  <c r="B30" i="5" a="1"/>
  <c r="B30" i="5" s="1"/>
  <c r="C30" i="5" s="1"/>
  <c r="E30" i="5" s="1"/>
  <c r="F30" i="5" s="1"/>
  <c r="G30" i="5" s="1"/>
  <c r="H30" i="5" s="1"/>
  <c r="I30" i="5" l="1"/>
  <c r="C102" i="5"/>
  <c r="H29" i="5"/>
  <c r="A32" i="5"/>
  <c r="B32" i="5" s="1" a="1"/>
  <c r="B32" i="5" s="1"/>
  <c r="B31" i="5" a="1"/>
  <c r="B31" i="5" s="1"/>
  <c r="C31" i="5" s="1"/>
  <c r="E31" i="5" s="1"/>
  <c r="F31" i="5" s="1"/>
  <c r="G31" i="5" s="1"/>
  <c r="H31" i="5" s="1"/>
  <c r="I31" i="5" l="1"/>
  <c r="C103" i="5"/>
  <c r="I29" i="5"/>
  <c r="C101" i="5"/>
  <c r="C32" i="5"/>
  <c r="B61" i="5"/>
  <c r="E32" i="5" l="1"/>
  <c r="C61" i="5"/>
  <c r="F36" i="5" l="1"/>
  <c r="G36" i="5" s="1"/>
  <c r="H36" i="5" s="1"/>
  <c r="F32" i="5"/>
  <c r="G32" i="5" s="1"/>
  <c r="H32" i="5" s="1"/>
  <c r="F35" i="5"/>
  <c r="G35" i="5" s="1"/>
  <c r="H35" i="5" s="1"/>
  <c r="F34" i="5"/>
  <c r="G34" i="5" s="1"/>
  <c r="H34" i="5" s="1"/>
  <c r="F33" i="5"/>
  <c r="G33" i="5" s="1"/>
  <c r="H33" i="5" s="1"/>
  <c r="F39" i="5"/>
  <c r="G39" i="5" s="1"/>
  <c r="H39" i="5" s="1"/>
  <c r="F37" i="5"/>
  <c r="F38" i="5"/>
  <c r="G38" i="5" s="1"/>
  <c r="H38" i="5" s="1"/>
  <c r="F40" i="5"/>
  <c r="F41" i="5"/>
  <c r="F42" i="5"/>
  <c r="F43" i="5"/>
  <c r="G43" i="5" s="1"/>
  <c r="H43" i="5" s="1"/>
  <c r="F44" i="5"/>
  <c r="G44" i="5" s="1"/>
  <c r="H44" i="5" s="1"/>
  <c r="F45" i="5"/>
  <c r="G45" i="5" s="1"/>
  <c r="H45" i="5" s="1"/>
  <c r="F46" i="5"/>
  <c r="G46" i="5" s="1"/>
  <c r="H46" i="5" s="1"/>
  <c r="F47" i="5"/>
  <c r="G47" i="5" s="1"/>
  <c r="H47" i="5" s="1"/>
  <c r="F48" i="5"/>
  <c r="G48" i="5" s="1"/>
  <c r="H48" i="5" s="1"/>
  <c r="F49" i="5"/>
  <c r="G49" i="5" s="1"/>
  <c r="H49" i="5" s="1"/>
  <c r="F50" i="5"/>
  <c r="G50" i="5" s="1"/>
  <c r="H50" i="5" s="1"/>
  <c r="F51" i="5"/>
  <c r="G51" i="5" s="1"/>
  <c r="H51" i="5" s="1"/>
  <c r="F52" i="5"/>
  <c r="G52" i="5" s="1"/>
  <c r="H52" i="5" s="1"/>
  <c r="F53" i="5"/>
  <c r="G53" i="5" s="1"/>
  <c r="H53" i="5" s="1"/>
  <c r="F54" i="5"/>
  <c r="G54" i="5" s="1"/>
  <c r="H54" i="5" s="1"/>
  <c r="F55" i="5"/>
  <c r="G55" i="5" s="1"/>
  <c r="H55" i="5" s="1"/>
  <c r="F58" i="5"/>
  <c r="G58" i="5" s="1"/>
  <c r="H58" i="5" s="1"/>
  <c r="F57" i="5"/>
  <c r="E61" i="5"/>
  <c r="R51" i="5" s="1"/>
  <c r="F56" i="5"/>
  <c r="F60" i="5"/>
  <c r="F59" i="5"/>
  <c r="I54" i="5" l="1"/>
  <c r="C126" i="5"/>
  <c r="I44" i="5"/>
  <c r="C116" i="5"/>
  <c r="I38" i="5"/>
  <c r="C110" i="5"/>
  <c r="I53" i="5"/>
  <c r="C125" i="5"/>
  <c r="I50" i="5"/>
  <c r="C122" i="5"/>
  <c r="I49" i="5"/>
  <c r="C121" i="5"/>
  <c r="I39" i="5"/>
  <c r="C111" i="5"/>
  <c r="I43" i="5"/>
  <c r="C115" i="5"/>
  <c r="I55" i="5"/>
  <c r="C127" i="5"/>
  <c r="I51" i="5"/>
  <c r="C123" i="5"/>
  <c r="I47" i="5"/>
  <c r="C119" i="5"/>
  <c r="I34" i="5"/>
  <c r="C106" i="5"/>
  <c r="I58" i="5"/>
  <c r="C130" i="5"/>
  <c r="I48" i="5"/>
  <c r="C120" i="5"/>
  <c r="I35" i="5"/>
  <c r="C107" i="5"/>
  <c r="I52" i="5"/>
  <c r="C124" i="5"/>
  <c r="I33" i="5"/>
  <c r="C105" i="5"/>
  <c r="I46" i="5"/>
  <c r="C118" i="5"/>
  <c r="I45" i="5"/>
  <c r="C117" i="5"/>
  <c r="I32" i="5"/>
  <c r="C104" i="5"/>
  <c r="I36" i="5"/>
  <c r="C108" i="5"/>
  <c r="G41" i="5"/>
  <c r="H41" i="5" s="1"/>
  <c r="G37" i="5"/>
  <c r="H37" i="5" s="1"/>
  <c r="G42" i="5"/>
  <c r="H42" i="5" s="1"/>
  <c r="G40" i="5"/>
  <c r="H40" i="5" s="1"/>
  <c r="G59" i="5"/>
  <c r="H59" i="5" s="1"/>
  <c r="G56" i="5"/>
  <c r="H56" i="5" s="1"/>
  <c r="G57" i="5"/>
  <c r="H57" i="5" s="1"/>
  <c r="F61" i="5"/>
  <c r="G60" i="5"/>
  <c r="I40" i="5" l="1"/>
  <c r="C112" i="5"/>
  <c r="I41" i="5"/>
  <c r="C113" i="5"/>
  <c r="I42" i="5"/>
  <c r="C114" i="5"/>
  <c r="I37" i="5"/>
  <c r="C109" i="5"/>
  <c r="I57" i="5"/>
  <c r="C129" i="5"/>
  <c r="I56" i="5"/>
  <c r="C128" i="5"/>
  <c r="I59" i="5"/>
  <c r="C131" i="5"/>
  <c r="H60" i="5"/>
  <c r="G61" i="5"/>
  <c r="Q51" i="5" l="1"/>
  <c r="S51" i="5" s="1"/>
  <c r="C132" i="5"/>
  <c r="C133" i="5" s="1"/>
  <c r="P51" i="5"/>
  <c r="I60" i="5"/>
  <c r="H61" i="5"/>
  <c r="I61" i="5" l="1"/>
  <c r="B133" i="5"/>
  <c r="U51" i="5" s="1"/>
  <c r="T51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M51" authorId="0" shapeId="0" xr:uid="{3D143F5B-B25F-4C9D-A4DB-212CD75211C4}">
      <text>
        <r>
          <rPr>
            <b/>
            <sz val="9"/>
            <color indexed="81"/>
            <rFont val="Tahoma"/>
            <family val="2"/>
          </rPr>
          <t>R:</t>
        </r>
        <r>
          <rPr>
            <sz val="9"/>
            <color indexed="81"/>
            <rFont val="Tahoma"/>
            <family val="2"/>
          </rPr>
          <t xml:space="preserve">
Neieskaitot uzkrato kapitalu</t>
        </r>
      </text>
    </comment>
    <comment ref="P51" authorId="0" shapeId="0" xr:uid="{9F3D24FE-EA40-4BBC-9459-9973ACCB9C77}">
      <text>
        <r>
          <rPr>
            <b/>
            <sz val="9"/>
            <color indexed="81"/>
            <rFont val="Tahoma"/>
            <family val="2"/>
          </rPr>
          <t>R:</t>
        </r>
        <r>
          <rPr>
            <sz val="9"/>
            <color indexed="81"/>
            <rFont val="Tahoma"/>
            <family val="2"/>
          </rPr>
          <t xml:space="preserve">
Ja tiek ņemta tikai pedēja mēneša daļas cena</t>
        </r>
      </text>
    </comment>
    <comment ref="P53" authorId="0" shapeId="0" xr:uid="{4E97751A-D646-4543-A14B-CD5E195022E0}">
      <text>
        <r>
          <rPr>
            <b/>
            <sz val="9"/>
            <color indexed="81"/>
            <rFont val="Tahoma"/>
            <family val="2"/>
          </rPr>
          <t>R:</t>
        </r>
        <r>
          <rPr>
            <sz val="9"/>
            <color indexed="81"/>
            <rFont val="Tahoma"/>
            <family val="2"/>
          </rPr>
          <t xml:space="preserve">
Ja tiek skaititi izdevumi ar katra mēneša daļas cenu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<sst xmlns="http://schemas.openxmlformats.org/spreadsheetml/2006/main" count="67" uniqueCount="45">
  <si>
    <t>Datums</t>
  </si>
  <si>
    <t>CBL Aktīvais ieguldījumu plāns</t>
  </si>
  <si>
    <t>CBL Universālais ieguldījumu plāns</t>
  </si>
  <si>
    <t>Ieguldījumu plāns "INDEXO Izaugsme 55-62"</t>
  </si>
  <si>
    <t>Luminor 53-58</t>
  </si>
  <si>
    <t>Luminor 62-65</t>
  </si>
  <si>
    <t>SEB aktīvais plāns</t>
  </si>
  <si>
    <t>SEB konservatīvais plāns</t>
  </si>
  <si>
    <t>Swedbank pensiju ieguldījumu plāns "Dinamika"</t>
  </si>
  <si>
    <t>Pensiju plāns</t>
  </si>
  <si>
    <t>KIK (gadā, %)</t>
  </si>
  <si>
    <t>KIK kā decimāldaļa</t>
  </si>
  <si>
    <t>Personas bruto darba alga vismaz pēdējos 5 gados</t>
  </si>
  <si>
    <t>No</t>
  </si>
  <si>
    <t>Līdz</t>
  </si>
  <si>
    <t>Alga</t>
  </si>
  <si>
    <t>Pensiju fonda nosaukums (izritinošā izvēle)</t>
  </si>
  <si>
    <t>Sākuma datums</t>
  </si>
  <si>
    <t>Uzkrātais kapitāls uz sākuma datumu (EUR)</t>
  </si>
  <si>
    <t>Bruto alga</t>
  </si>
  <si>
    <t>Iemaksa 2. līm. 6%</t>
  </si>
  <si>
    <t>Daļas cena</t>
  </si>
  <si>
    <t>Iegādātās daļas</t>
  </si>
  <si>
    <t>Daļas kopā</t>
  </si>
  <si>
    <t>Pārvaldīšanas izdevumi (KIK%/12)</t>
  </si>
  <si>
    <t>Daļas pēc izdevumiem</t>
  </si>
  <si>
    <t>Uzkrājums (daļas × cena)</t>
  </si>
  <si>
    <t>KIK %</t>
  </si>
  <si>
    <t>Sākuma uzkrājums 01.01.2018</t>
  </si>
  <si>
    <t>KOPĀ</t>
  </si>
  <si>
    <t>Ieskaitot uzkrājumu</t>
  </si>
  <si>
    <t>Izdevumi</t>
  </si>
  <si>
    <t>Ieguvums no pensijas</t>
  </si>
  <si>
    <t>Daļas kopā(ROUGH)</t>
  </si>
  <si>
    <t>Izdevumu daļas</t>
  </si>
  <si>
    <t>Mēnešu skaits</t>
  </si>
  <si>
    <t xml:space="preserve">vai </t>
  </si>
  <si>
    <t xml:space="preserve">Pārvaldītāja atskaitījumi </t>
  </si>
  <si>
    <t>Iemaksas</t>
  </si>
  <si>
    <t>Vidējā mēneša iemaksa</t>
  </si>
  <si>
    <t>Plusma</t>
  </si>
  <si>
    <t>Efektīvā % likme</t>
  </si>
  <si>
    <t>bija salauzti dati</t>
  </si>
  <si>
    <t>&lt;-</t>
  </si>
  <si>
    <t>Made by: riet9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</si>
</sst>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h:mm:ss"/>
    <numFmt numFmtId="165" formatCode="yyyy\-mm\-dd;@"/>
  </numFmts>
  <fonts count="1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2"/>
      <color theme="1"/>
      <name val="Segoe UI"/>
      <family val="2"/>
    </font>
    <font>
      <b/>
      <sz val="11"/>
      <color theme="1"/>
      <name val="Calibri"/>
      <family val="2"/>
      <scheme val="minor"/>
    </font>
    <font>
      <b/>
      <sz val="12"/>
      <color theme="1"/>
      <name val="Segoe UI"/>
      <family val="2"/>
    </font>
    <font>
      <b/>
      <sz val="1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u/>
      <sz val="11"/>
      <color theme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000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DDDDDD"/>
      </left>
      <right style="medium">
        <color rgb="FFDDDDDD"/>
      </right>
      <top/>
      <bottom/>
      <diagonal/>
    </border>
  </borders>
  <cellStyleXfs count="2">
    <xf numFmtId="0" fontId="0" fillId="0" borderId="0"/>
    <xf numFmtId="0" fontId="11" fillId="0" borderId="0" applyNumberFormat="0" applyFill="0" applyBorder="0" applyAlignment="0" applyProtection="0"/>
  </cellStyleXfs>
  <cellXfs count="32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  <xf numFmtId="0" fontId="2" fillId="2" borderId="2" xfId="0" applyFont="1" applyFill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10" fontId="3" fillId="0" borderId="2" xfId="0" applyNumberFormat="1" applyFont="1" applyBorder="1" applyAlignment="1">
      <alignment horizontal="left" vertical="center" wrapText="1"/>
    </xf>
    <xf numFmtId="165" fontId="0" fillId="0" borderId="0" xfId="0" applyNumberFormat="1"/>
    <xf numFmtId="0" fontId="4" fillId="0" borderId="0" xfId="0" applyFont="1"/>
    <xf numFmtId="0" fontId="4" fillId="0" borderId="0" xfId="0" applyFont="1" applyAlignment="1">
      <alignment horizontal="left" vertical="center" wrapText="1" indent="1"/>
    </xf>
    <xf numFmtId="14" fontId="0" fillId="0" borderId="0" xfId="0" applyNumberFormat="1"/>
    <xf numFmtId="10" fontId="0" fillId="0" borderId="0" xfId="0" applyNumberFormat="1"/>
    <xf numFmtId="0" fontId="5" fillId="0" borderId="0" xfId="0" applyFont="1"/>
    <xf numFmtId="14" fontId="1" fillId="0" borderId="1" xfId="0" applyNumberFormat="1" applyFont="1" applyBorder="1" applyAlignment="1">
      <alignment horizontal="center" vertical="top"/>
    </xf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6" fillId="0" borderId="0" xfId="0" applyFont="1"/>
    <xf numFmtId="0" fontId="6" fillId="0" borderId="0" xfId="0" applyFont="1" applyAlignment="1">
      <alignment horizontal="left" vertical="center" wrapText="1" indent="1"/>
    </xf>
    <xf numFmtId="10" fontId="5" fillId="0" borderId="0" xfId="0" applyNumberFormat="1" applyFont="1"/>
    <xf numFmtId="14" fontId="0" fillId="3" borderId="0" xfId="0" applyNumberFormat="1" applyFill="1"/>
    <xf numFmtId="0" fontId="0" fillId="3" borderId="0" xfId="0" applyFill="1"/>
    <xf numFmtId="0" fontId="4" fillId="3" borderId="0" xfId="0" applyFont="1" applyFill="1"/>
    <xf numFmtId="0" fontId="4" fillId="3" borderId="0" xfId="0" applyFont="1" applyFill="1" applyAlignment="1">
      <alignment horizontal="left" vertical="center" wrapText="1" indent="1"/>
    </xf>
    <xf numFmtId="10" fontId="0" fillId="3" borderId="0" xfId="0" applyNumberFormat="1" applyFill="1"/>
    <xf numFmtId="0" fontId="7" fillId="0" borderId="0" xfId="0" applyFont="1"/>
    <xf numFmtId="0" fontId="2" fillId="2" borderId="3" xfId="0" applyFont="1" applyFill="1" applyBorder="1" applyAlignment="1">
      <alignment horizontal="left" vertical="center" wrapText="1"/>
    </xf>
    <xf numFmtId="0" fontId="8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0" fontId="8" fillId="4" borderId="0" xfId="0" applyFont="1" applyFill="1" applyAlignment="1">
      <alignment horizontal="center" vertical="center" wrapText="1"/>
    </xf>
    <xf numFmtId="0" fontId="0" fillId="5" borderId="0" xfId="0" applyFill="1"/>
    <xf numFmtId="0" fontId="1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lv-LV"/>
              <a:t>Mana Pensija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v>Uzkrājums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Kalkulators!$A$3:$A$60</c:f>
              <c:numCache>
                <c:formatCode>m/d/yyyy</c:formatCode>
                <c:ptCount val="58"/>
                <c:pt idx="0">
                  <c:v>43101</c:v>
                </c:pt>
                <c:pt idx="1">
                  <c:v>43132</c:v>
                </c:pt>
                <c:pt idx="2">
                  <c:v>43160</c:v>
                </c:pt>
                <c:pt idx="3">
                  <c:v>43191</c:v>
                </c:pt>
                <c:pt idx="4">
                  <c:v>43221</c:v>
                </c:pt>
                <c:pt idx="5">
                  <c:v>43252</c:v>
                </c:pt>
                <c:pt idx="6">
                  <c:v>43282</c:v>
                </c:pt>
                <c:pt idx="7">
                  <c:v>43313</c:v>
                </c:pt>
                <c:pt idx="8">
                  <c:v>43344</c:v>
                </c:pt>
                <c:pt idx="9">
                  <c:v>43374</c:v>
                </c:pt>
                <c:pt idx="10">
                  <c:v>43405</c:v>
                </c:pt>
                <c:pt idx="11">
                  <c:v>43435</c:v>
                </c:pt>
                <c:pt idx="12">
                  <c:v>43466</c:v>
                </c:pt>
                <c:pt idx="13">
                  <c:v>43497</c:v>
                </c:pt>
                <c:pt idx="14">
                  <c:v>43525</c:v>
                </c:pt>
                <c:pt idx="15">
                  <c:v>43556</c:v>
                </c:pt>
                <c:pt idx="16">
                  <c:v>43586</c:v>
                </c:pt>
                <c:pt idx="17">
                  <c:v>43617</c:v>
                </c:pt>
                <c:pt idx="18">
                  <c:v>43647</c:v>
                </c:pt>
                <c:pt idx="19">
                  <c:v>43678</c:v>
                </c:pt>
                <c:pt idx="20">
                  <c:v>43709</c:v>
                </c:pt>
                <c:pt idx="21">
                  <c:v>43739</c:v>
                </c:pt>
                <c:pt idx="22">
                  <c:v>43770</c:v>
                </c:pt>
                <c:pt idx="23">
                  <c:v>43800</c:v>
                </c:pt>
                <c:pt idx="24">
                  <c:v>43831</c:v>
                </c:pt>
                <c:pt idx="25">
                  <c:v>43862</c:v>
                </c:pt>
                <c:pt idx="26">
                  <c:v>43891</c:v>
                </c:pt>
                <c:pt idx="27">
                  <c:v>43922</c:v>
                </c:pt>
                <c:pt idx="28">
                  <c:v>43952</c:v>
                </c:pt>
                <c:pt idx="29">
                  <c:v>43983</c:v>
                </c:pt>
                <c:pt idx="30">
                  <c:v>44013</c:v>
                </c:pt>
                <c:pt idx="31">
                  <c:v>44044</c:v>
                </c:pt>
                <c:pt idx="32">
                  <c:v>44075</c:v>
                </c:pt>
                <c:pt idx="33">
                  <c:v>44105</c:v>
                </c:pt>
                <c:pt idx="34">
                  <c:v>44136</c:v>
                </c:pt>
                <c:pt idx="35">
                  <c:v>44166</c:v>
                </c:pt>
                <c:pt idx="36">
                  <c:v>44197</c:v>
                </c:pt>
                <c:pt idx="37">
                  <c:v>44228</c:v>
                </c:pt>
                <c:pt idx="38">
                  <c:v>44256</c:v>
                </c:pt>
                <c:pt idx="39">
                  <c:v>44287</c:v>
                </c:pt>
                <c:pt idx="40">
                  <c:v>44317</c:v>
                </c:pt>
                <c:pt idx="41">
                  <c:v>44348</c:v>
                </c:pt>
                <c:pt idx="42">
                  <c:v>44378</c:v>
                </c:pt>
                <c:pt idx="43">
                  <c:v>44409</c:v>
                </c:pt>
                <c:pt idx="44">
                  <c:v>44440</c:v>
                </c:pt>
                <c:pt idx="45">
                  <c:v>44470</c:v>
                </c:pt>
                <c:pt idx="46">
                  <c:v>44501</c:v>
                </c:pt>
                <c:pt idx="47">
                  <c:v>44531</c:v>
                </c:pt>
                <c:pt idx="48">
                  <c:v>44562</c:v>
                </c:pt>
                <c:pt idx="49">
                  <c:v>44593</c:v>
                </c:pt>
                <c:pt idx="50">
                  <c:v>44621</c:v>
                </c:pt>
                <c:pt idx="51">
                  <c:v>44652</c:v>
                </c:pt>
                <c:pt idx="52">
                  <c:v>44682</c:v>
                </c:pt>
                <c:pt idx="53">
                  <c:v>44713</c:v>
                </c:pt>
                <c:pt idx="54">
                  <c:v>44743</c:v>
                </c:pt>
                <c:pt idx="55">
                  <c:v>44774</c:v>
                </c:pt>
                <c:pt idx="56">
                  <c:v>44805</c:v>
                </c:pt>
                <c:pt idx="57">
                  <c:v>44835</c:v>
                </c:pt>
              </c:numCache>
            </c:numRef>
          </c:cat>
          <c:val>
            <c:numRef>
              <c:f>Kalkulators!$I$3:$I$60</c:f>
              <c:numCache>
                <c:formatCode>General</c:formatCode>
                <c:ptCount val="58"/>
                <c:pt idx="0">
                  <c:v>2047.2951466666666</c:v>
                </c:pt>
                <c:pt idx="1">
                  <c:v>2090.5470678906131</c:v>
                </c:pt>
                <c:pt idx="2">
                  <c:v>2125.2182428854644</c:v>
                </c:pt>
                <c:pt idx="3">
                  <c:v>2125.5323699309893</c:v>
                </c:pt>
                <c:pt idx="4">
                  <c:v>2202.9160997809581</c:v>
                </c:pt>
                <c:pt idx="5">
                  <c:v>2322.1008058321549</c:v>
                </c:pt>
                <c:pt idx="6">
                  <c:v>2363.5321843069528</c:v>
                </c:pt>
                <c:pt idx="7">
                  <c:v>2433.9005141967336</c:v>
                </c:pt>
                <c:pt idx="8">
                  <c:v>2505.9850367107661</c:v>
                </c:pt>
                <c:pt idx="9">
                  <c:v>2553.6338850184834</c:v>
                </c:pt>
                <c:pt idx="10">
                  <c:v>2536.503099169774</c:v>
                </c:pt>
                <c:pt idx="11">
                  <c:v>2603.5557907693119</c:v>
                </c:pt>
                <c:pt idx="12">
                  <c:v>2555.1618703298509</c:v>
                </c:pt>
                <c:pt idx="13">
                  <c:v>2698.1705400511396</c:v>
                </c:pt>
                <c:pt idx="14">
                  <c:v>2807.6502610563907</c:v>
                </c:pt>
                <c:pt idx="15">
                  <c:v>2906.7435876430577</c:v>
                </c:pt>
                <c:pt idx="16">
                  <c:v>3018.5599246682764</c:v>
                </c:pt>
                <c:pt idx="17">
                  <c:v>3010.5910106273718</c:v>
                </c:pt>
                <c:pt idx="18">
                  <c:v>3121.3488738718743</c:v>
                </c:pt>
                <c:pt idx="19">
                  <c:v>3247.7511936591668</c:v>
                </c:pt>
                <c:pt idx="20">
                  <c:v>3328.7029425125688</c:v>
                </c:pt>
                <c:pt idx="21">
                  <c:v>3476.4469938213369</c:v>
                </c:pt>
                <c:pt idx="22">
                  <c:v>3558.3962167111413</c:v>
                </c:pt>
                <c:pt idx="23">
                  <c:v>3722.1967308703715</c:v>
                </c:pt>
                <c:pt idx="24">
                  <c:v>3770.0896733913378</c:v>
                </c:pt>
                <c:pt idx="25">
                  <c:v>3910.7314677108252</c:v>
                </c:pt>
                <c:pt idx="26">
                  <c:v>3906.8233837913517</c:v>
                </c:pt>
                <c:pt idx="27">
                  <c:v>3593.529080253169</c:v>
                </c:pt>
                <c:pt idx="28">
                  <c:v>3848.2510390696875</c:v>
                </c:pt>
                <c:pt idx="29">
                  <c:v>3964.6033217281447</c:v>
                </c:pt>
                <c:pt idx="30">
                  <c:v>4044.7784107453499</c:v>
                </c:pt>
                <c:pt idx="31">
                  <c:v>4131.0532208799514</c:v>
                </c:pt>
                <c:pt idx="32">
                  <c:v>4274.5662984488235</c:v>
                </c:pt>
                <c:pt idx="33">
                  <c:v>4310.6127312094168</c:v>
                </c:pt>
                <c:pt idx="34">
                  <c:v>4336.5385244125018</c:v>
                </c:pt>
                <c:pt idx="35">
                  <c:v>4603.5533985584834</c:v>
                </c:pt>
                <c:pt idx="36">
                  <c:v>4665.9496140927267</c:v>
                </c:pt>
                <c:pt idx="37">
                  <c:v>4761.449298811006</c:v>
                </c:pt>
                <c:pt idx="38">
                  <c:v>4812.0220146374377</c:v>
                </c:pt>
                <c:pt idx="39">
                  <c:v>5024.7658661374235</c:v>
                </c:pt>
                <c:pt idx="40">
                  <c:v>5113.7068676605431</c:v>
                </c:pt>
                <c:pt idx="41">
                  <c:v>5163.8905480627454</c:v>
                </c:pt>
                <c:pt idx="42">
                  <c:v>5352.7926906564635</c:v>
                </c:pt>
                <c:pt idx="43">
                  <c:v>5518.3068896417162</c:v>
                </c:pt>
                <c:pt idx="44">
                  <c:v>5635.9612401103595</c:v>
                </c:pt>
                <c:pt idx="45">
                  <c:v>5626.1653551668442</c:v>
                </c:pt>
                <c:pt idx="46">
                  <c:v>5793.552963563101</c:v>
                </c:pt>
                <c:pt idx="47">
                  <c:v>5933.2531087117022</c:v>
                </c:pt>
                <c:pt idx="48">
                  <c:v>6065.885615933882</c:v>
                </c:pt>
                <c:pt idx="49">
                  <c:v>5937.5707116349622</c:v>
                </c:pt>
                <c:pt idx="50">
                  <c:v>5873.5549104280335</c:v>
                </c:pt>
                <c:pt idx="51">
                  <c:v>6032.3013424741193</c:v>
                </c:pt>
                <c:pt idx="52">
                  <c:v>5961.3011748008503</c:v>
                </c:pt>
                <c:pt idx="53">
                  <c:v>5916.2006838584921</c:v>
                </c:pt>
                <c:pt idx="54">
                  <c:v>5695.2805059203774</c:v>
                </c:pt>
                <c:pt idx="55">
                  <c:v>6151.4943983829162</c:v>
                </c:pt>
                <c:pt idx="56">
                  <c:v>6055.2870047897268</c:v>
                </c:pt>
                <c:pt idx="57">
                  <c:v>5854.6014382095655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058-4421-9879-F1872135FE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630158992"/>
        <c:axId val="594374688"/>
      </c:barChart>
      <c:lineChart>
        <c:grouping val="standard"/>
        <c:varyColors val="0"/>
        <c:ser>
          <c:idx val="0"/>
          <c:order val="0"/>
          <c:tx>
            <c:v>Daļas cena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Kalkulators!$A$3:$A$60</c:f>
              <c:numCache>
                <c:formatCode>m/d/yyyy</c:formatCode>
                <c:ptCount val="58"/>
                <c:pt idx="0">
                  <c:v>43101</c:v>
                </c:pt>
                <c:pt idx="1">
                  <c:v>43132</c:v>
                </c:pt>
                <c:pt idx="2">
                  <c:v>43160</c:v>
                </c:pt>
                <c:pt idx="3">
                  <c:v>43191</c:v>
                </c:pt>
                <c:pt idx="4">
                  <c:v>43221</c:v>
                </c:pt>
                <c:pt idx="5">
                  <c:v>43252</c:v>
                </c:pt>
                <c:pt idx="6">
                  <c:v>43282</c:v>
                </c:pt>
                <c:pt idx="7">
                  <c:v>43313</c:v>
                </c:pt>
                <c:pt idx="8">
                  <c:v>43344</c:v>
                </c:pt>
                <c:pt idx="9">
                  <c:v>43374</c:v>
                </c:pt>
                <c:pt idx="10">
                  <c:v>43405</c:v>
                </c:pt>
                <c:pt idx="11">
                  <c:v>43435</c:v>
                </c:pt>
                <c:pt idx="12">
                  <c:v>43466</c:v>
                </c:pt>
                <c:pt idx="13">
                  <c:v>43497</c:v>
                </c:pt>
                <c:pt idx="14">
                  <c:v>43525</c:v>
                </c:pt>
                <c:pt idx="15">
                  <c:v>43556</c:v>
                </c:pt>
                <c:pt idx="16">
                  <c:v>43586</c:v>
                </c:pt>
                <c:pt idx="17">
                  <c:v>43617</c:v>
                </c:pt>
                <c:pt idx="18">
                  <c:v>43647</c:v>
                </c:pt>
                <c:pt idx="19">
                  <c:v>43678</c:v>
                </c:pt>
                <c:pt idx="20">
                  <c:v>43709</c:v>
                </c:pt>
                <c:pt idx="21">
                  <c:v>43739</c:v>
                </c:pt>
                <c:pt idx="22">
                  <c:v>43770</c:v>
                </c:pt>
                <c:pt idx="23">
                  <c:v>43800</c:v>
                </c:pt>
                <c:pt idx="24">
                  <c:v>43831</c:v>
                </c:pt>
                <c:pt idx="25">
                  <c:v>43862</c:v>
                </c:pt>
                <c:pt idx="26">
                  <c:v>43891</c:v>
                </c:pt>
                <c:pt idx="27">
                  <c:v>43922</c:v>
                </c:pt>
                <c:pt idx="28">
                  <c:v>43952</c:v>
                </c:pt>
                <c:pt idx="29">
                  <c:v>43983</c:v>
                </c:pt>
                <c:pt idx="30">
                  <c:v>44013</c:v>
                </c:pt>
                <c:pt idx="31">
                  <c:v>44044</c:v>
                </c:pt>
                <c:pt idx="32">
                  <c:v>44075</c:v>
                </c:pt>
                <c:pt idx="33">
                  <c:v>44105</c:v>
                </c:pt>
                <c:pt idx="34">
                  <c:v>44136</c:v>
                </c:pt>
                <c:pt idx="35">
                  <c:v>44166</c:v>
                </c:pt>
                <c:pt idx="36">
                  <c:v>44197</c:v>
                </c:pt>
                <c:pt idx="37">
                  <c:v>44228</c:v>
                </c:pt>
                <c:pt idx="38">
                  <c:v>44256</c:v>
                </c:pt>
                <c:pt idx="39">
                  <c:v>44287</c:v>
                </c:pt>
                <c:pt idx="40">
                  <c:v>44317</c:v>
                </c:pt>
                <c:pt idx="41">
                  <c:v>44348</c:v>
                </c:pt>
                <c:pt idx="42">
                  <c:v>44378</c:v>
                </c:pt>
                <c:pt idx="43">
                  <c:v>44409</c:v>
                </c:pt>
                <c:pt idx="44">
                  <c:v>44440</c:v>
                </c:pt>
                <c:pt idx="45">
                  <c:v>44470</c:v>
                </c:pt>
                <c:pt idx="46">
                  <c:v>44501</c:v>
                </c:pt>
                <c:pt idx="47">
                  <c:v>44531</c:v>
                </c:pt>
                <c:pt idx="48">
                  <c:v>44562</c:v>
                </c:pt>
                <c:pt idx="49">
                  <c:v>44593</c:v>
                </c:pt>
                <c:pt idx="50">
                  <c:v>44621</c:v>
                </c:pt>
                <c:pt idx="51">
                  <c:v>44652</c:v>
                </c:pt>
                <c:pt idx="52">
                  <c:v>44682</c:v>
                </c:pt>
                <c:pt idx="53">
                  <c:v>44713</c:v>
                </c:pt>
                <c:pt idx="54">
                  <c:v>44743</c:v>
                </c:pt>
                <c:pt idx="55">
                  <c:v>44774</c:v>
                </c:pt>
                <c:pt idx="56">
                  <c:v>44805</c:v>
                </c:pt>
                <c:pt idx="57">
                  <c:v>44835</c:v>
                </c:pt>
              </c:numCache>
            </c:numRef>
          </c:cat>
          <c:val>
            <c:numRef>
              <c:f>Kalkulators!$D$3:$D$60</c:f>
              <c:numCache>
                <c:formatCode>General</c:formatCode>
                <c:ptCount val="58"/>
                <c:pt idx="0">
                  <c:v>101.682</c:v>
                </c:pt>
                <c:pt idx="1">
                  <c:v>101.447</c:v>
                </c:pt>
                <c:pt idx="2">
                  <c:v>100.801</c:v>
                </c:pt>
                <c:pt idx="3">
                  <c:v>98.54</c:v>
                </c:pt>
                <c:pt idx="4">
                  <c:v>99.902999999999992</c:v>
                </c:pt>
                <c:pt idx="5">
                  <c:v>103.13200000000001</c:v>
                </c:pt>
                <c:pt idx="6">
                  <c:v>102.84099999999999</c:v>
                </c:pt>
                <c:pt idx="7">
                  <c:v>103.815</c:v>
                </c:pt>
                <c:pt idx="8">
                  <c:v>104.843</c:v>
                </c:pt>
                <c:pt idx="9">
                  <c:v>104.82899999999999</c:v>
                </c:pt>
                <c:pt idx="10">
                  <c:v>102.15600000000001</c:v>
                </c:pt>
                <c:pt idx="11">
                  <c:v>102.92400000000001</c:v>
                </c:pt>
                <c:pt idx="12">
                  <c:v>99.114000000000004</c:v>
                </c:pt>
                <c:pt idx="13">
                  <c:v>102.8</c:v>
                </c:pt>
                <c:pt idx="14">
                  <c:v>105.143</c:v>
                </c:pt>
                <c:pt idx="15">
                  <c:v>107.057</c:v>
                </c:pt>
                <c:pt idx="16">
                  <c:v>109.408</c:v>
                </c:pt>
                <c:pt idx="17">
                  <c:v>107.38</c:v>
                </c:pt>
                <c:pt idx="18">
                  <c:v>109.619</c:v>
                </c:pt>
                <c:pt idx="19">
                  <c:v>112.373</c:v>
                </c:pt>
                <c:pt idx="20">
                  <c:v>112.06100000000001</c:v>
                </c:pt>
                <c:pt idx="21">
                  <c:v>114.006</c:v>
                </c:pt>
                <c:pt idx="22">
                  <c:v>113.74299999999999</c:v>
                </c:pt>
                <c:pt idx="23">
                  <c:v>116.10299999999999</c:v>
                </c:pt>
                <c:pt idx="24">
                  <c:v>115.726</c:v>
                </c:pt>
                <c:pt idx="25">
                  <c:v>118.202</c:v>
                </c:pt>
                <c:pt idx="26">
                  <c:v>116.271</c:v>
                </c:pt>
                <c:pt idx="27">
                  <c:v>105.16200000000001</c:v>
                </c:pt>
                <c:pt idx="28">
                  <c:v>110.861</c:v>
                </c:pt>
                <c:pt idx="29">
                  <c:v>112.485</c:v>
                </c:pt>
                <c:pt idx="30">
                  <c:v>113.05800000000001</c:v>
                </c:pt>
                <c:pt idx="31">
                  <c:v>113.79300000000001</c:v>
                </c:pt>
                <c:pt idx="32">
                  <c:v>116.09399999999999</c:v>
                </c:pt>
                <c:pt idx="33">
                  <c:v>115.444</c:v>
                </c:pt>
                <c:pt idx="34">
                  <c:v>114.532</c:v>
                </c:pt>
                <c:pt idx="35">
                  <c:v>120</c:v>
                </c:pt>
                <c:pt idx="36">
                  <c:v>120.063</c:v>
                </c:pt>
                <c:pt idx="37">
                  <c:v>120.977</c:v>
                </c:pt>
                <c:pt idx="38">
                  <c:v>120.738</c:v>
                </c:pt>
                <c:pt idx="39">
                  <c:v>124.571</c:v>
                </c:pt>
                <c:pt idx="40">
                  <c:v>125.289</c:v>
                </c:pt>
                <c:pt idx="41">
                  <c:v>125.04900000000001</c:v>
                </c:pt>
                <c:pt idx="42">
                  <c:v>128.17099999999999</c:v>
                </c:pt>
                <c:pt idx="43">
                  <c:v>130.69800000000001</c:v>
                </c:pt>
                <c:pt idx="44">
                  <c:v>132.06399999999999</c:v>
                </c:pt>
                <c:pt idx="45">
                  <c:v>130.429</c:v>
                </c:pt>
                <c:pt idx="46">
                  <c:v>132.91900000000001</c:v>
                </c:pt>
                <c:pt idx="47">
                  <c:v>134.74799999999999</c:v>
                </c:pt>
                <c:pt idx="48">
                  <c:v>136.398</c:v>
                </c:pt>
                <c:pt idx="49">
                  <c:v>132.16399999999999</c:v>
                </c:pt>
                <c:pt idx="50">
                  <c:v>129.404</c:v>
                </c:pt>
                <c:pt idx="51">
                  <c:v>131.58000000000001</c:v>
                </c:pt>
                <c:pt idx="52">
                  <c:v>128.72300000000001</c:v>
                </c:pt>
                <c:pt idx="53">
                  <c:v>126.45399999999999</c:v>
                </c:pt>
                <c:pt idx="54">
                  <c:v>120.45</c:v>
                </c:pt>
                <c:pt idx="55">
                  <c:v>128.83000000000001</c:v>
                </c:pt>
                <c:pt idx="56">
                  <c:v>125.559</c:v>
                </c:pt>
                <c:pt idx="57">
                  <c:v>120.154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058-4421-9879-F1872135FE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88730112"/>
        <c:axId val="706583984"/>
      </c:lineChart>
      <c:dateAx>
        <c:axId val="588730112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6583984"/>
        <c:crosses val="autoZero"/>
        <c:auto val="0"/>
        <c:lblOffset val="100"/>
        <c:baseTimeUnit val="months"/>
      </c:dateAx>
      <c:valAx>
        <c:axId val="706583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8730112"/>
        <c:crosses val="autoZero"/>
        <c:crossBetween val="between"/>
      </c:valAx>
      <c:valAx>
        <c:axId val="594374688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0158992"/>
        <c:crosses val="max"/>
        <c:crossBetween val="between"/>
      </c:valAx>
      <c:dateAx>
        <c:axId val="630158992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594374688"/>
        <c:crosses val="autoZero"/>
        <c:auto val="1"/>
        <c:lblOffset val="100"/>
        <c:baseTimeUnit val="month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lv-LV"/>
              <a:t>Bruto alga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Kalkulators!$A$3:$A$60</c:f>
              <c:numCache>
                <c:formatCode>m/d/yyyy</c:formatCode>
                <c:ptCount val="58"/>
                <c:pt idx="0">
                  <c:v>43101</c:v>
                </c:pt>
                <c:pt idx="1">
                  <c:v>43132</c:v>
                </c:pt>
                <c:pt idx="2">
                  <c:v>43160</c:v>
                </c:pt>
                <c:pt idx="3">
                  <c:v>43191</c:v>
                </c:pt>
                <c:pt idx="4">
                  <c:v>43221</c:v>
                </c:pt>
                <c:pt idx="5">
                  <c:v>43252</c:v>
                </c:pt>
                <c:pt idx="6">
                  <c:v>43282</c:v>
                </c:pt>
                <c:pt idx="7">
                  <c:v>43313</c:v>
                </c:pt>
                <c:pt idx="8">
                  <c:v>43344</c:v>
                </c:pt>
                <c:pt idx="9">
                  <c:v>43374</c:v>
                </c:pt>
                <c:pt idx="10">
                  <c:v>43405</c:v>
                </c:pt>
                <c:pt idx="11">
                  <c:v>43435</c:v>
                </c:pt>
                <c:pt idx="12">
                  <c:v>43466</c:v>
                </c:pt>
                <c:pt idx="13">
                  <c:v>43497</c:v>
                </c:pt>
                <c:pt idx="14">
                  <c:v>43525</c:v>
                </c:pt>
                <c:pt idx="15">
                  <c:v>43556</c:v>
                </c:pt>
                <c:pt idx="16">
                  <c:v>43586</c:v>
                </c:pt>
                <c:pt idx="17">
                  <c:v>43617</c:v>
                </c:pt>
                <c:pt idx="18">
                  <c:v>43647</c:v>
                </c:pt>
                <c:pt idx="19">
                  <c:v>43678</c:v>
                </c:pt>
                <c:pt idx="20">
                  <c:v>43709</c:v>
                </c:pt>
                <c:pt idx="21">
                  <c:v>43739</c:v>
                </c:pt>
                <c:pt idx="22">
                  <c:v>43770</c:v>
                </c:pt>
                <c:pt idx="23">
                  <c:v>43800</c:v>
                </c:pt>
                <c:pt idx="24">
                  <c:v>43831</c:v>
                </c:pt>
                <c:pt idx="25">
                  <c:v>43862</c:v>
                </c:pt>
                <c:pt idx="26">
                  <c:v>43891</c:v>
                </c:pt>
                <c:pt idx="27">
                  <c:v>43922</c:v>
                </c:pt>
                <c:pt idx="28">
                  <c:v>43952</c:v>
                </c:pt>
                <c:pt idx="29">
                  <c:v>43983</c:v>
                </c:pt>
                <c:pt idx="30">
                  <c:v>44013</c:v>
                </c:pt>
                <c:pt idx="31">
                  <c:v>44044</c:v>
                </c:pt>
                <c:pt idx="32">
                  <c:v>44075</c:v>
                </c:pt>
                <c:pt idx="33">
                  <c:v>44105</c:v>
                </c:pt>
                <c:pt idx="34">
                  <c:v>44136</c:v>
                </c:pt>
                <c:pt idx="35">
                  <c:v>44166</c:v>
                </c:pt>
                <c:pt idx="36">
                  <c:v>44197</c:v>
                </c:pt>
                <c:pt idx="37">
                  <c:v>44228</c:v>
                </c:pt>
                <c:pt idx="38">
                  <c:v>44256</c:v>
                </c:pt>
                <c:pt idx="39">
                  <c:v>44287</c:v>
                </c:pt>
                <c:pt idx="40">
                  <c:v>44317</c:v>
                </c:pt>
                <c:pt idx="41">
                  <c:v>44348</c:v>
                </c:pt>
                <c:pt idx="42">
                  <c:v>44378</c:v>
                </c:pt>
                <c:pt idx="43">
                  <c:v>44409</c:v>
                </c:pt>
                <c:pt idx="44">
                  <c:v>44440</c:v>
                </c:pt>
                <c:pt idx="45">
                  <c:v>44470</c:v>
                </c:pt>
                <c:pt idx="46">
                  <c:v>44501</c:v>
                </c:pt>
                <c:pt idx="47">
                  <c:v>44531</c:v>
                </c:pt>
                <c:pt idx="48">
                  <c:v>44562</c:v>
                </c:pt>
                <c:pt idx="49">
                  <c:v>44593</c:v>
                </c:pt>
                <c:pt idx="50">
                  <c:v>44621</c:v>
                </c:pt>
                <c:pt idx="51">
                  <c:v>44652</c:v>
                </c:pt>
                <c:pt idx="52">
                  <c:v>44682</c:v>
                </c:pt>
                <c:pt idx="53">
                  <c:v>44713</c:v>
                </c:pt>
                <c:pt idx="54">
                  <c:v>44743</c:v>
                </c:pt>
                <c:pt idx="55">
                  <c:v>44774</c:v>
                </c:pt>
                <c:pt idx="56">
                  <c:v>44805</c:v>
                </c:pt>
                <c:pt idx="57">
                  <c:v>44835</c:v>
                </c:pt>
              </c:numCache>
            </c:numRef>
          </c:cat>
          <c:val>
            <c:numRef>
              <c:f>Kalkulators!$B$3:$B$60</c:f>
              <c:numCache>
                <c:formatCode>General</c:formatCode>
                <c:ptCount val="58"/>
                <c:pt idx="0">
                  <c:v>800</c:v>
                </c:pt>
                <c:pt idx="1">
                  <c:v>800</c:v>
                </c:pt>
                <c:pt idx="2">
                  <c:v>800</c:v>
                </c:pt>
                <c:pt idx="3">
                  <c:v>800</c:v>
                </c:pt>
                <c:pt idx="4">
                  <c:v>800</c:v>
                </c:pt>
                <c:pt idx="5">
                  <c:v>800</c:v>
                </c:pt>
                <c:pt idx="6">
                  <c:v>800</c:v>
                </c:pt>
                <c:pt idx="7">
                  <c:v>800</c:v>
                </c:pt>
                <c:pt idx="8">
                  <c:v>800</c:v>
                </c:pt>
                <c:pt idx="9">
                  <c:v>800</c:v>
                </c:pt>
                <c:pt idx="10">
                  <c:v>800</c:v>
                </c:pt>
                <c:pt idx="11">
                  <c:v>800</c:v>
                </c:pt>
                <c:pt idx="12">
                  <c:v>800</c:v>
                </c:pt>
                <c:pt idx="13">
                  <c:v>800</c:v>
                </c:pt>
                <c:pt idx="14">
                  <c:v>800</c:v>
                </c:pt>
                <c:pt idx="15">
                  <c:v>800</c:v>
                </c:pt>
                <c:pt idx="16">
                  <c:v>800</c:v>
                </c:pt>
                <c:pt idx="17">
                  <c:v>800</c:v>
                </c:pt>
                <c:pt idx="18">
                  <c:v>800</c:v>
                </c:pt>
                <c:pt idx="19">
                  <c:v>800</c:v>
                </c:pt>
                <c:pt idx="20">
                  <c:v>1500</c:v>
                </c:pt>
                <c:pt idx="21">
                  <c:v>1500</c:v>
                </c:pt>
                <c:pt idx="22">
                  <c:v>1500</c:v>
                </c:pt>
                <c:pt idx="23">
                  <c:v>1500</c:v>
                </c:pt>
                <c:pt idx="24">
                  <c:v>1000</c:v>
                </c:pt>
                <c:pt idx="25">
                  <c:v>1000</c:v>
                </c:pt>
                <c:pt idx="26">
                  <c:v>1000</c:v>
                </c:pt>
                <c:pt idx="27">
                  <c:v>1000</c:v>
                </c:pt>
                <c:pt idx="28">
                  <c:v>1000</c:v>
                </c:pt>
                <c:pt idx="29">
                  <c:v>1000</c:v>
                </c:pt>
                <c:pt idx="30">
                  <c:v>1000</c:v>
                </c:pt>
                <c:pt idx="31">
                  <c:v>1000</c:v>
                </c:pt>
                <c:pt idx="32">
                  <c:v>1000</c:v>
                </c:pt>
                <c:pt idx="33">
                  <c:v>1000</c:v>
                </c:pt>
                <c:pt idx="34">
                  <c:v>1000</c:v>
                </c:pt>
                <c:pt idx="35">
                  <c:v>1000</c:v>
                </c:pt>
                <c:pt idx="36">
                  <c:v>1000</c:v>
                </c:pt>
                <c:pt idx="37">
                  <c:v>1000</c:v>
                </c:pt>
                <c:pt idx="38">
                  <c:v>1000</c:v>
                </c:pt>
                <c:pt idx="39">
                  <c:v>1000</c:v>
                </c:pt>
                <c:pt idx="40">
                  <c:v>1000</c:v>
                </c:pt>
                <c:pt idx="41">
                  <c:v>1000</c:v>
                </c:pt>
                <c:pt idx="42">
                  <c:v>1000</c:v>
                </c:pt>
                <c:pt idx="43">
                  <c:v>1000</c:v>
                </c:pt>
                <c:pt idx="44">
                  <c:v>1000</c:v>
                </c:pt>
                <c:pt idx="45">
                  <c:v>1000</c:v>
                </c:pt>
                <c:pt idx="46">
                  <c:v>1000</c:v>
                </c:pt>
                <c:pt idx="47">
                  <c:v>1000</c:v>
                </c:pt>
                <c:pt idx="48">
                  <c:v>1000</c:v>
                </c:pt>
                <c:pt idx="49">
                  <c:v>1000</c:v>
                </c:pt>
                <c:pt idx="50">
                  <c:v>1000</c:v>
                </c:pt>
                <c:pt idx="51">
                  <c:v>1000</c:v>
                </c:pt>
                <c:pt idx="52">
                  <c:v>1000</c:v>
                </c:pt>
                <c:pt idx="53">
                  <c:v>1000</c:v>
                </c:pt>
                <c:pt idx="54">
                  <c:v>1000</c:v>
                </c:pt>
                <c:pt idx="55">
                  <c:v>1000</c:v>
                </c:pt>
                <c:pt idx="56">
                  <c:v>1000</c:v>
                </c:pt>
                <c:pt idx="57">
                  <c:v>1000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42D-4376-A2DD-DB0081E1C6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35392"/>
        <c:axId val="143330880"/>
      </c:lineChart>
      <c:dateAx>
        <c:axId val="246335392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330880"/>
        <c:crosses val="autoZero"/>
        <c:auto val="1"/>
        <c:lblOffset val="100"/>
        <c:baseTimeUnit val="months"/>
      </c:dateAx>
      <c:valAx>
        <c:axId val="143330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63353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441513</xdr:colOff>
      <xdr:row>4</xdr:row>
      <xdr:rowOff>219076</xdr:rowOff>
    </xdr:from>
    <xdr:to>
      <xdr:col>18</xdr:col>
      <xdr:colOff>149680</xdr:colOff>
      <xdr:row>25</xdr:row>
      <xdr:rowOff>80683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4AE24E7-6765-44C2-A373-C14BD6DCA5C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459442</xdr:colOff>
      <xdr:row>26</xdr:row>
      <xdr:rowOff>57148</xdr:rowOff>
    </xdr:from>
    <xdr:to>
      <xdr:col>16</xdr:col>
      <xdr:colOff>381000</xdr:colOff>
      <xdr:row>39</xdr:row>
      <xdr:rowOff>201704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66863C6-08FE-4B3E-8072-9BC4ED2D769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232"/>
  <sheetViews>
    <sheetView topLeftCell="A790" workbookViewId="0">
      <selection activeCell="P915" sqref="P915"/>
    </sheetView>
  </sheetViews>
  <sheetFormatPr defaultRowHeight="15" x14ac:dyDescent="0.25"/>
  <cols>
    <col min="1" max="1" width="18.28515625" style="9" bestFit="1" customWidth="1"/>
    <col min="2" max="2" width="28.42578125" bestFit="1" customWidth="1"/>
    <col min="3" max="3" width="32.42578125" bestFit="1" customWidth="1"/>
    <col min="4" max="4" width="41" bestFit="1" customWidth="1"/>
    <col min="7" max="7" width="16.5703125" bestFit="1" customWidth="1"/>
    <col min="8" max="8" width="22.85546875" bestFit="1" customWidth="1"/>
    <col min="9" max="9" width="45.285156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12">
        <v>41579</v>
      </c>
      <c r="B2">
        <v>249.74700000000001</v>
      </c>
      <c r="C2">
        <v>229.834</v>
      </c>
      <c r="E2">
        <v>168.76499999999999</v>
      </c>
      <c r="F2">
        <v>158.09800000000001</v>
      </c>
      <c r="G2">
        <v>218.27099999999999</v>
      </c>
      <c r="H2">
        <v>192.90600000000001</v>
      </c>
      <c r="I2">
        <v>206.07300000000001</v>
      </c>
    </row>
    <row r="3" spans="1:9" x14ac:dyDescent="0.25">
      <c r="A3" s="12">
        <v>41582</v>
      </c>
      <c r="B3">
        <v>249.48500000000001</v>
      </c>
      <c r="C3">
        <v>229.732</v>
      </c>
      <c r="E3">
        <v>169.172</v>
      </c>
      <c r="F3">
        <v>158.279</v>
      </c>
      <c r="G3">
        <v>218.54400000000001</v>
      </c>
      <c r="H3">
        <v>192.97800000000001</v>
      </c>
      <c r="I3">
        <v>206.05</v>
      </c>
    </row>
    <row r="4" spans="1:9" x14ac:dyDescent="0.25">
      <c r="A4" s="12">
        <v>41583</v>
      </c>
      <c r="B4">
        <v>249.58600000000001</v>
      </c>
      <c r="C4">
        <v>229.875</v>
      </c>
      <c r="E4">
        <v>169.238</v>
      </c>
      <c r="F4">
        <v>158.274</v>
      </c>
      <c r="G4">
        <v>218.75800000000001</v>
      </c>
      <c r="H4">
        <v>193.28800000000001</v>
      </c>
      <c r="I4">
        <v>206.31299999999999</v>
      </c>
    </row>
    <row r="5" spans="1:9" x14ac:dyDescent="0.25">
      <c r="A5" s="12">
        <v>41584</v>
      </c>
      <c r="B5">
        <v>249.36099999999999</v>
      </c>
      <c r="C5">
        <v>229.81800000000001</v>
      </c>
      <c r="E5">
        <v>169.45699999999999</v>
      </c>
      <c r="F5">
        <v>158.28899999999999</v>
      </c>
      <c r="G5">
        <v>218.78200000000001</v>
      </c>
      <c r="H5">
        <v>193.34</v>
      </c>
      <c r="I5">
        <v>206.07300000000001</v>
      </c>
    </row>
    <row r="6" spans="1:9" x14ac:dyDescent="0.25">
      <c r="A6" s="12">
        <v>41585</v>
      </c>
      <c r="B6">
        <v>249.14</v>
      </c>
      <c r="C6">
        <v>229.77600000000001</v>
      </c>
      <c r="E6">
        <v>169.161</v>
      </c>
      <c r="F6">
        <v>158.001</v>
      </c>
      <c r="G6">
        <v>218.61500000000001</v>
      </c>
      <c r="H6">
        <v>193.249</v>
      </c>
      <c r="I6">
        <v>206.10599999999999</v>
      </c>
    </row>
    <row r="7" spans="1:9" x14ac:dyDescent="0.25">
      <c r="A7" s="12">
        <v>41586</v>
      </c>
      <c r="B7">
        <v>249.66900000000001</v>
      </c>
      <c r="C7">
        <v>229.85400000000001</v>
      </c>
      <c r="E7">
        <v>169.251</v>
      </c>
      <c r="F7">
        <v>157.95599999999999</v>
      </c>
      <c r="G7">
        <v>218.709</v>
      </c>
      <c r="H7">
        <v>193.15100000000001</v>
      </c>
      <c r="I7">
        <v>206.273</v>
      </c>
    </row>
    <row r="8" spans="1:9" x14ac:dyDescent="0.25">
      <c r="A8" s="12">
        <v>41589</v>
      </c>
      <c r="B8">
        <v>249.44900000000001</v>
      </c>
      <c r="C8">
        <v>229.77600000000001</v>
      </c>
      <c r="E8">
        <v>169.49700000000001</v>
      </c>
      <c r="F8">
        <v>158.333</v>
      </c>
      <c r="G8">
        <v>218.77799999999999</v>
      </c>
      <c r="H8">
        <v>193.08500000000001</v>
      </c>
      <c r="I8">
        <v>205.88499999999999</v>
      </c>
    </row>
    <row r="9" spans="1:9" x14ac:dyDescent="0.25">
      <c r="A9" s="12">
        <v>41590</v>
      </c>
      <c r="B9">
        <v>249.19499999999999</v>
      </c>
      <c r="C9">
        <v>229.85499999999999</v>
      </c>
      <c r="E9">
        <v>169.24299999999999</v>
      </c>
      <c r="F9">
        <v>158.03800000000001</v>
      </c>
      <c r="G9">
        <v>218.54900000000001</v>
      </c>
      <c r="H9">
        <v>193.33600000000001</v>
      </c>
      <c r="I9">
        <v>205.87700000000001</v>
      </c>
    </row>
    <row r="10" spans="1:9" x14ac:dyDescent="0.25">
      <c r="A10" s="12">
        <v>41591</v>
      </c>
      <c r="B10">
        <v>249.17400000000001</v>
      </c>
      <c r="C10">
        <v>229.62200000000001</v>
      </c>
      <c r="E10">
        <v>169.20699999999999</v>
      </c>
      <c r="F10">
        <v>157.863</v>
      </c>
      <c r="G10">
        <v>218.69200000000001</v>
      </c>
      <c r="H10">
        <v>193.23</v>
      </c>
      <c r="I10">
        <v>205.74299999999999</v>
      </c>
    </row>
    <row r="11" spans="1:9" x14ac:dyDescent="0.25">
      <c r="A11" s="12">
        <v>41592</v>
      </c>
      <c r="B11">
        <v>248.923</v>
      </c>
      <c r="C11">
        <v>229.57</v>
      </c>
      <c r="E11">
        <v>168.90799999999999</v>
      </c>
      <c r="F11">
        <v>157.69200000000001</v>
      </c>
      <c r="G11">
        <v>218.32499999999999</v>
      </c>
      <c r="H11">
        <v>193.178</v>
      </c>
      <c r="I11">
        <v>205.601</v>
      </c>
    </row>
    <row r="12" spans="1:9" x14ac:dyDescent="0.25">
      <c r="A12" s="12">
        <v>41593</v>
      </c>
      <c r="B12">
        <v>248.655</v>
      </c>
      <c r="C12">
        <v>229.50700000000001</v>
      </c>
      <c r="E12">
        <v>168.52500000000001</v>
      </c>
      <c r="F12">
        <v>157.744</v>
      </c>
      <c r="G12">
        <v>217.97200000000001</v>
      </c>
      <c r="H12">
        <v>193.054</v>
      </c>
      <c r="I12">
        <v>206.09100000000001</v>
      </c>
    </row>
    <row r="13" spans="1:9" x14ac:dyDescent="0.25">
      <c r="A13" s="12">
        <v>41598</v>
      </c>
      <c r="B13">
        <v>249.905</v>
      </c>
      <c r="C13">
        <v>230.02199999999999</v>
      </c>
      <c r="E13">
        <v>170.12799999999999</v>
      </c>
      <c r="F13">
        <v>158.19900000000001</v>
      </c>
      <c r="G13">
        <v>219.447</v>
      </c>
      <c r="H13">
        <v>193.31800000000001</v>
      </c>
      <c r="I13">
        <v>206.75399999999999</v>
      </c>
    </row>
    <row r="14" spans="1:9" x14ac:dyDescent="0.25">
      <c r="A14" s="12">
        <v>41599</v>
      </c>
      <c r="B14">
        <v>249.56</v>
      </c>
      <c r="C14">
        <v>229.928</v>
      </c>
      <c r="E14">
        <v>169.66</v>
      </c>
      <c r="F14">
        <v>158.12200000000001</v>
      </c>
      <c r="G14">
        <v>219.131</v>
      </c>
      <c r="H14">
        <v>193.291</v>
      </c>
      <c r="I14">
        <v>206.63800000000001</v>
      </c>
    </row>
    <row r="15" spans="1:9" x14ac:dyDescent="0.25">
      <c r="A15" s="12">
        <v>41600</v>
      </c>
      <c r="B15">
        <v>249.30099999999999</v>
      </c>
      <c r="C15">
        <v>229.852</v>
      </c>
      <c r="E15">
        <v>169.78800000000001</v>
      </c>
      <c r="F15">
        <v>158.09899999999999</v>
      </c>
      <c r="G15">
        <v>218.93700000000001</v>
      </c>
      <c r="H15">
        <v>193.25200000000001</v>
      </c>
      <c r="I15">
        <v>206.423</v>
      </c>
    </row>
    <row r="16" spans="1:9" x14ac:dyDescent="0.25">
      <c r="A16" s="12">
        <v>41603</v>
      </c>
      <c r="B16">
        <v>249.05</v>
      </c>
      <c r="C16">
        <v>229.80199999999999</v>
      </c>
      <c r="E16">
        <v>169.494</v>
      </c>
      <c r="F16">
        <v>157.892</v>
      </c>
      <c r="G16">
        <v>218.99100000000001</v>
      </c>
      <c r="H16">
        <v>193.322</v>
      </c>
      <c r="I16">
        <v>206.69399999999999</v>
      </c>
    </row>
    <row r="17" spans="1:9" x14ac:dyDescent="0.25">
      <c r="A17" s="12">
        <v>41604</v>
      </c>
      <c r="B17">
        <v>249.21199999999999</v>
      </c>
      <c r="C17">
        <v>229.80799999999999</v>
      </c>
      <c r="E17">
        <v>169.46600000000001</v>
      </c>
      <c r="F17">
        <v>157.87100000000001</v>
      </c>
      <c r="G17">
        <v>219.01499999999999</v>
      </c>
      <c r="H17">
        <v>193.30600000000001</v>
      </c>
      <c r="I17">
        <v>206.89</v>
      </c>
    </row>
    <row r="18" spans="1:9" x14ac:dyDescent="0.25">
      <c r="A18" s="12">
        <v>41605</v>
      </c>
      <c r="B18">
        <v>249.37799999999999</v>
      </c>
      <c r="C18">
        <v>229.85300000000001</v>
      </c>
      <c r="E18">
        <v>169.78200000000001</v>
      </c>
      <c r="F18">
        <v>158.02199999999999</v>
      </c>
      <c r="G18">
        <v>219.24799999999999</v>
      </c>
      <c r="H18">
        <v>193.19399999999999</v>
      </c>
      <c r="I18">
        <v>206.45699999999999</v>
      </c>
    </row>
    <row r="19" spans="1:9" x14ac:dyDescent="0.25">
      <c r="A19" s="12">
        <v>41606</v>
      </c>
      <c r="B19">
        <v>249.374</v>
      </c>
      <c r="C19">
        <v>229.863</v>
      </c>
      <c r="E19">
        <v>169.375</v>
      </c>
      <c r="F19">
        <v>158.042</v>
      </c>
      <c r="G19">
        <v>218.88300000000001</v>
      </c>
      <c r="H19">
        <v>193.255</v>
      </c>
      <c r="I19">
        <v>206.54599999999999</v>
      </c>
    </row>
    <row r="20" spans="1:9" x14ac:dyDescent="0.25">
      <c r="A20" s="12">
        <v>41607</v>
      </c>
      <c r="B20">
        <v>249.35300000000001</v>
      </c>
      <c r="C20">
        <v>229.8</v>
      </c>
      <c r="E20">
        <v>169.49100000000001</v>
      </c>
      <c r="F20">
        <v>157.91499999999999</v>
      </c>
      <c r="G20">
        <v>218.71299999999999</v>
      </c>
      <c r="H20">
        <v>193.15700000000001</v>
      </c>
      <c r="I20">
        <v>206.501</v>
      </c>
    </row>
    <row r="21" spans="1:9" x14ac:dyDescent="0.25">
      <c r="A21" s="12">
        <v>41610</v>
      </c>
      <c r="B21">
        <v>249.37200000000001</v>
      </c>
      <c r="C21">
        <v>229.81399999999999</v>
      </c>
      <c r="E21">
        <v>169.47200000000001</v>
      </c>
      <c r="F21">
        <v>157.852</v>
      </c>
      <c r="G21">
        <v>218.768</v>
      </c>
      <c r="H21">
        <v>193.11099999999999</v>
      </c>
      <c r="I21">
        <v>206.72399999999999</v>
      </c>
    </row>
    <row r="22" spans="1:9" x14ac:dyDescent="0.25">
      <c r="A22" s="12">
        <v>41611</v>
      </c>
      <c r="B22">
        <v>249.41</v>
      </c>
      <c r="C22">
        <v>229.76900000000001</v>
      </c>
      <c r="E22">
        <v>169.54900000000001</v>
      </c>
      <c r="F22">
        <v>157.83000000000001</v>
      </c>
      <c r="G22">
        <v>218.75</v>
      </c>
      <c r="H22">
        <v>193.11799999999999</v>
      </c>
      <c r="I22">
        <v>206.38499999999999</v>
      </c>
    </row>
    <row r="23" spans="1:9" x14ac:dyDescent="0.25">
      <c r="A23" s="12">
        <v>41612</v>
      </c>
      <c r="B23">
        <v>249.078</v>
      </c>
      <c r="C23">
        <v>229.69800000000001</v>
      </c>
      <c r="E23">
        <v>169.31800000000001</v>
      </c>
      <c r="F23">
        <v>157.75200000000001</v>
      </c>
      <c r="G23">
        <v>218.77500000000001</v>
      </c>
      <c r="H23">
        <v>193.18799999999999</v>
      </c>
      <c r="I23">
        <v>205.964</v>
      </c>
    </row>
    <row r="24" spans="1:9" x14ac:dyDescent="0.25">
      <c r="A24" s="12">
        <v>41613</v>
      </c>
      <c r="B24">
        <v>248.74700000000001</v>
      </c>
      <c r="C24">
        <v>229.63300000000001</v>
      </c>
      <c r="E24">
        <v>168.35400000000001</v>
      </c>
      <c r="F24">
        <v>157.709</v>
      </c>
      <c r="G24">
        <v>218.13499999999999</v>
      </c>
      <c r="H24">
        <v>193.23400000000001</v>
      </c>
      <c r="I24">
        <v>205.59100000000001</v>
      </c>
    </row>
    <row r="25" spans="1:9" x14ac:dyDescent="0.25">
      <c r="A25" s="12">
        <v>41614</v>
      </c>
      <c r="B25">
        <v>248.292</v>
      </c>
      <c r="C25">
        <v>229.447</v>
      </c>
      <c r="E25">
        <v>168</v>
      </c>
      <c r="F25">
        <v>157.43299999999999</v>
      </c>
      <c r="G25">
        <v>217.654</v>
      </c>
      <c r="H25">
        <v>193.131</v>
      </c>
      <c r="I25">
        <v>205.21799999999999</v>
      </c>
    </row>
    <row r="26" spans="1:9" x14ac:dyDescent="0.25">
      <c r="A26" s="12">
        <v>41617</v>
      </c>
      <c r="B26">
        <v>248.05</v>
      </c>
      <c r="C26">
        <v>229.3</v>
      </c>
      <c r="E26">
        <v>167.351</v>
      </c>
      <c r="F26">
        <v>157.24600000000001</v>
      </c>
      <c r="G26">
        <v>217.33699999999999</v>
      </c>
      <c r="H26">
        <v>193.10400000000001</v>
      </c>
      <c r="I26">
        <v>205.39</v>
      </c>
    </row>
    <row r="27" spans="1:9" x14ac:dyDescent="0.25">
      <c r="A27" s="12">
        <v>41618</v>
      </c>
      <c r="B27">
        <v>248.21</v>
      </c>
      <c r="C27">
        <v>229.322</v>
      </c>
      <c r="E27">
        <v>167.91900000000001</v>
      </c>
      <c r="F27">
        <v>157.28899999999999</v>
      </c>
      <c r="G27">
        <v>217.37100000000001</v>
      </c>
      <c r="H27">
        <v>193.08</v>
      </c>
      <c r="I27">
        <v>205.619</v>
      </c>
    </row>
    <row r="28" spans="1:9" x14ac:dyDescent="0.25">
      <c r="A28" s="12">
        <v>41619</v>
      </c>
      <c r="B28">
        <v>248.43799999999999</v>
      </c>
      <c r="C28">
        <v>229.41900000000001</v>
      </c>
      <c r="E28">
        <v>168.077</v>
      </c>
      <c r="F28">
        <v>157.363</v>
      </c>
      <c r="G28">
        <v>217.7</v>
      </c>
      <c r="H28">
        <v>193.078</v>
      </c>
      <c r="I28">
        <v>205.53800000000001</v>
      </c>
    </row>
    <row r="29" spans="1:9" x14ac:dyDescent="0.25">
      <c r="A29" s="12">
        <v>41620</v>
      </c>
      <c r="B29">
        <v>248.428</v>
      </c>
      <c r="C29">
        <v>229.47900000000001</v>
      </c>
      <c r="E29">
        <v>167.68899999999999</v>
      </c>
      <c r="F29">
        <v>157.5</v>
      </c>
      <c r="G29">
        <v>217.56700000000001</v>
      </c>
      <c r="H29">
        <v>193.066</v>
      </c>
      <c r="I29">
        <v>205.26499999999999</v>
      </c>
    </row>
    <row r="30" spans="1:9" x14ac:dyDescent="0.25">
      <c r="A30" s="12">
        <v>41621</v>
      </c>
      <c r="B30">
        <v>248.14500000000001</v>
      </c>
      <c r="C30">
        <v>229.477</v>
      </c>
      <c r="E30">
        <v>167.08500000000001</v>
      </c>
      <c r="F30">
        <v>157.49700000000001</v>
      </c>
      <c r="G30">
        <v>217.29499999999999</v>
      </c>
      <c r="H30">
        <v>193.07400000000001</v>
      </c>
      <c r="I30">
        <v>204.93799999999999</v>
      </c>
    </row>
    <row r="31" spans="1:9" x14ac:dyDescent="0.25">
      <c r="A31" s="12">
        <v>41624</v>
      </c>
      <c r="B31">
        <v>247.739</v>
      </c>
      <c r="C31">
        <v>229.50299999999999</v>
      </c>
      <c r="E31">
        <v>166.54900000000001</v>
      </c>
      <c r="F31">
        <v>157.476</v>
      </c>
      <c r="G31">
        <v>216.72200000000001</v>
      </c>
      <c r="H31">
        <v>193.13300000000001</v>
      </c>
      <c r="I31">
        <v>204.82499999999999</v>
      </c>
    </row>
    <row r="32" spans="1:9" x14ac:dyDescent="0.25">
      <c r="A32" s="12">
        <v>41625</v>
      </c>
      <c r="B32">
        <v>247.67599999999999</v>
      </c>
      <c r="C32">
        <v>229.53100000000001</v>
      </c>
      <c r="E32">
        <v>166.541</v>
      </c>
      <c r="F32">
        <v>157.52500000000001</v>
      </c>
      <c r="G32">
        <v>216.75700000000001</v>
      </c>
      <c r="H32">
        <v>193.167</v>
      </c>
      <c r="I32">
        <v>205.09399999999999</v>
      </c>
    </row>
    <row r="33" spans="1:9" x14ac:dyDescent="0.25">
      <c r="A33" s="12">
        <v>41626</v>
      </c>
      <c r="B33">
        <v>248.15700000000001</v>
      </c>
      <c r="C33">
        <v>229.77699999999999</v>
      </c>
      <c r="E33">
        <v>167.215</v>
      </c>
      <c r="F33">
        <v>157.54499999999999</v>
      </c>
      <c r="G33">
        <v>217.09200000000001</v>
      </c>
      <c r="H33">
        <v>193.25</v>
      </c>
      <c r="I33">
        <v>205.01599999999999</v>
      </c>
    </row>
    <row r="34" spans="1:9" x14ac:dyDescent="0.25">
      <c r="A34" s="12">
        <v>41627</v>
      </c>
      <c r="B34">
        <v>248.315</v>
      </c>
      <c r="C34">
        <v>229.89599999999999</v>
      </c>
      <c r="E34">
        <v>166.78200000000001</v>
      </c>
      <c r="F34">
        <v>157.54499999999999</v>
      </c>
      <c r="G34">
        <v>216.994</v>
      </c>
      <c r="H34">
        <v>193.22900000000001</v>
      </c>
      <c r="I34">
        <v>204.88900000000001</v>
      </c>
    </row>
    <row r="35" spans="1:9" x14ac:dyDescent="0.25">
      <c r="A35" s="12">
        <v>41628</v>
      </c>
      <c r="B35">
        <v>248.77799999999999</v>
      </c>
      <c r="C35">
        <v>230.05600000000001</v>
      </c>
      <c r="E35">
        <v>166.87</v>
      </c>
      <c r="F35">
        <v>157.041</v>
      </c>
      <c r="G35">
        <v>217.28899999999999</v>
      </c>
      <c r="H35">
        <v>193.22900000000001</v>
      </c>
      <c r="I35">
        <v>205.55799999999999</v>
      </c>
    </row>
    <row r="36" spans="1:9" x14ac:dyDescent="0.25">
      <c r="A36" s="12">
        <v>41635</v>
      </c>
      <c r="B36">
        <v>249.12100000000001</v>
      </c>
      <c r="C36">
        <v>230.07499999999999</v>
      </c>
      <c r="E36">
        <v>168.048</v>
      </c>
      <c r="F36">
        <v>157.19300000000001</v>
      </c>
      <c r="G36">
        <v>218.065</v>
      </c>
      <c r="H36">
        <v>193.33199999999999</v>
      </c>
      <c r="I36">
        <v>206.06399999999999</v>
      </c>
    </row>
    <row r="37" spans="1:9" x14ac:dyDescent="0.25">
      <c r="A37" s="12">
        <v>41636</v>
      </c>
      <c r="B37">
        <v>249.58199999999999</v>
      </c>
      <c r="C37">
        <v>230.10599999999999</v>
      </c>
      <c r="E37">
        <v>168.90100000000001</v>
      </c>
      <c r="F37">
        <v>157.24600000000001</v>
      </c>
      <c r="G37">
        <v>218.732</v>
      </c>
      <c r="H37">
        <v>193.40299999999999</v>
      </c>
      <c r="I37">
        <v>206.24799999999999</v>
      </c>
    </row>
    <row r="38" spans="1:9" x14ac:dyDescent="0.25">
      <c r="A38" s="12">
        <v>41639</v>
      </c>
      <c r="B38">
        <v>249.637</v>
      </c>
      <c r="C38">
        <v>230.114</v>
      </c>
      <c r="E38">
        <v>169.24600000000001</v>
      </c>
      <c r="F38">
        <v>157.11500000000001</v>
      </c>
      <c r="G38">
        <v>218.84399999999999</v>
      </c>
      <c r="H38">
        <v>193.42099999999999</v>
      </c>
      <c r="I38">
        <v>206.25</v>
      </c>
    </row>
    <row r="39" spans="1:9" x14ac:dyDescent="0.25">
      <c r="A39" s="12">
        <v>41640</v>
      </c>
      <c r="B39">
        <v>249.637</v>
      </c>
      <c r="C39">
        <v>230.114</v>
      </c>
      <c r="E39">
        <v>169.24600000000001</v>
      </c>
      <c r="F39">
        <v>157.11500000000001</v>
      </c>
      <c r="G39">
        <v>218.84399999999999</v>
      </c>
      <c r="H39">
        <v>193.42099999999999</v>
      </c>
      <c r="I39">
        <v>206.25</v>
      </c>
    </row>
    <row r="40" spans="1:9" x14ac:dyDescent="0.25">
      <c r="A40" s="12">
        <v>41641</v>
      </c>
      <c r="B40">
        <v>249.601</v>
      </c>
      <c r="C40">
        <v>230.06299999999999</v>
      </c>
      <c r="E40">
        <v>169.18</v>
      </c>
      <c r="F40">
        <v>157.042</v>
      </c>
      <c r="G40">
        <v>218.84399999999999</v>
      </c>
      <c r="H40">
        <v>193.42099999999999</v>
      </c>
      <c r="I40">
        <v>206.25</v>
      </c>
    </row>
    <row r="41" spans="1:9" x14ac:dyDescent="0.25">
      <c r="A41" s="12">
        <v>41642</v>
      </c>
      <c r="B41">
        <v>250.32499999999999</v>
      </c>
      <c r="C41">
        <v>230.29300000000001</v>
      </c>
      <c r="E41">
        <v>169.25399999999999</v>
      </c>
      <c r="F41">
        <v>157.11000000000001</v>
      </c>
      <c r="G41">
        <v>218.96199999999999</v>
      </c>
      <c r="H41">
        <v>193.36799999999999</v>
      </c>
      <c r="I41">
        <v>206.59</v>
      </c>
    </row>
    <row r="42" spans="1:9" x14ac:dyDescent="0.25">
      <c r="A42" s="12">
        <v>41645</v>
      </c>
      <c r="B42">
        <v>250.18700000000001</v>
      </c>
      <c r="C42">
        <v>230.39</v>
      </c>
      <c r="E42">
        <v>169.078</v>
      </c>
      <c r="F42">
        <v>157.22900000000001</v>
      </c>
      <c r="G42">
        <v>219.07599999999999</v>
      </c>
      <c r="H42">
        <v>193.273</v>
      </c>
      <c r="I42">
        <v>206.505</v>
      </c>
    </row>
    <row r="43" spans="1:9" x14ac:dyDescent="0.25">
      <c r="A43" s="12">
        <v>41646</v>
      </c>
      <c r="B43">
        <v>250.16300000000001</v>
      </c>
      <c r="C43">
        <v>230.494</v>
      </c>
      <c r="E43">
        <v>169.24600000000001</v>
      </c>
      <c r="F43">
        <v>157.34800000000001</v>
      </c>
      <c r="G43">
        <v>219.08699999999999</v>
      </c>
      <c r="H43">
        <v>193.33099999999999</v>
      </c>
      <c r="I43">
        <v>206.602</v>
      </c>
    </row>
    <row r="44" spans="1:9" x14ac:dyDescent="0.25">
      <c r="A44" s="12">
        <v>41647</v>
      </c>
      <c r="B44">
        <v>250.27199999999999</v>
      </c>
      <c r="C44">
        <v>230.691</v>
      </c>
      <c r="E44">
        <v>168.89099999999999</v>
      </c>
      <c r="F44">
        <v>157.399</v>
      </c>
      <c r="G44">
        <v>218.84299999999999</v>
      </c>
      <c r="H44">
        <v>193.33500000000001</v>
      </c>
      <c r="I44">
        <v>206.71700000000001</v>
      </c>
    </row>
    <row r="45" spans="1:9" x14ac:dyDescent="0.25">
      <c r="A45" s="12">
        <v>41648</v>
      </c>
      <c r="B45">
        <v>250.45400000000001</v>
      </c>
      <c r="C45">
        <v>230.77099999999999</v>
      </c>
      <c r="E45">
        <v>169.53100000000001</v>
      </c>
      <c r="F45">
        <v>157.62799999999999</v>
      </c>
      <c r="G45">
        <v>218.905</v>
      </c>
      <c r="H45">
        <v>193.369</v>
      </c>
      <c r="I45">
        <v>206.74</v>
      </c>
    </row>
    <row r="46" spans="1:9" x14ac:dyDescent="0.25">
      <c r="A46" s="12">
        <v>41649</v>
      </c>
      <c r="B46">
        <v>250.44800000000001</v>
      </c>
      <c r="C46">
        <v>230.762</v>
      </c>
      <c r="E46">
        <v>169.56200000000001</v>
      </c>
      <c r="F46">
        <v>157.55099999999999</v>
      </c>
      <c r="G46">
        <v>218.922</v>
      </c>
      <c r="H46">
        <v>193.22800000000001</v>
      </c>
      <c r="I46">
        <v>206.65100000000001</v>
      </c>
    </row>
    <row r="47" spans="1:9" x14ac:dyDescent="0.25">
      <c r="A47" s="12">
        <v>41652</v>
      </c>
      <c r="B47">
        <v>250.54599999999999</v>
      </c>
      <c r="C47">
        <v>230.84899999999999</v>
      </c>
      <c r="E47">
        <v>169.34</v>
      </c>
      <c r="F47">
        <v>157.83500000000001</v>
      </c>
      <c r="G47">
        <v>218.73400000000001</v>
      </c>
      <c r="H47">
        <v>193.23400000000001</v>
      </c>
      <c r="I47">
        <v>206.71</v>
      </c>
    </row>
    <row r="48" spans="1:9" x14ac:dyDescent="0.25">
      <c r="A48" s="12">
        <v>41653</v>
      </c>
      <c r="B48">
        <v>250.82599999999999</v>
      </c>
      <c r="C48">
        <v>230.97900000000001</v>
      </c>
      <c r="E48">
        <v>169.571</v>
      </c>
      <c r="F48">
        <v>158.102</v>
      </c>
      <c r="G48">
        <v>218.73099999999999</v>
      </c>
      <c r="H48">
        <v>193.23599999999999</v>
      </c>
      <c r="I48">
        <v>206.892</v>
      </c>
    </row>
    <row r="49" spans="1:9" x14ac:dyDescent="0.25">
      <c r="A49" s="12">
        <v>41654</v>
      </c>
      <c r="B49">
        <v>250.99600000000001</v>
      </c>
      <c r="C49">
        <v>231.137</v>
      </c>
      <c r="E49">
        <v>169.86</v>
      </c>
      <c r="F49">
        <v>158.27099999999999</v>
      </c>
      <c r="G49">
        <v>218.946</v>
      </c>
      <c r="H49">
        <v>193.25399999999999</v>
      </c>
      <c r="I49">
        <v>206.655</v>
      </c>
    </row>
    <row r="50" spans="1:9" x14ac:dyDescent="0.25">
      <c r="A50" s="12">
        <v>41655</v>
      </c>
      <c r="B50">
        <v>251.119</v>
      </c>
      <c r="C50">
        <v>231.33199999999999</v>
      </c>
      <c r="E50">
        <v>169.595</v>
      </c>
      <c r="F50">
        <v>158.239</v>
      </c>
      <c r="G50">
        <v>218.83600000000001</v>
      </c>
      <c r="H50">
        <v>193.40700000000001</v>
      </c>
      <c r="I50">
        <v>207.155</v>
      </c>
    </row>
    <row r="51" spans="1:9" x14ac:dyDescent="0.25">
      <c r="A51" s="12">
        <v>41656</v>
      </c>
      <c r="B51">
        <v>251.37899999999999</v>
      </c>
      <c r="C51">
        <v>231.38399999999999</v>
      </c>
      <c r="E51">
        <v>170.386</v>
      </c>
      <c r="F51">
        <v>158.173</v>
      </c>
      <c r="G51">
        <v>219.54599999999999</v>
      </c>
      <c r="H51">
        <v>193.48500000000001</v>
      </c>
      <c r="I51">
        <v>207.28399999999999</v>
      </c>
    </row>
    <row r="52" spans="1:9" x14ac:dyDescent="0.25">
      <c r="A52" s="12">
        <v>41659</v>
      </c>
      <c r="B52">
        <v>251.57900000000001</v>
      </c>
      <c r="C52">
        <v>231.51300000000001</v>
      </c>
      <c r="E52">
        <v>170.286</v>
      </c>
      <c r="F52">
        <v>158.35599999999999</v>
      </c>
      <c r="G52">
        <v>219.667</v>
      </c>
      <c r="H52">
        <v>193.55199999999999</v>
      </c>
      <c r="I52">
        <v>207.435</v>
      </c>
    </row>
    <row r="53" spans="1:9" x14ac:dyDescent="0.25">
      <c r="A53" s="12">
        <v>41660</v>
      </c>
      <c r="B53">
        <v>251.79300000000001</v>
      </c>
      <c r="C53">
        <v>231.61699999999999</v>
      </c>
      <c r="E53">
        <v>170.59299999999999</v>
      </c>
      <c r="F53">
        <v>158.51900000000001</v>
      </c>
      <c r="G53">
        <v>219.827</v>
      </c>
      <c r="H53">
        <v>193.59700000000001</v>
      </c>
      <c r="I53">
        <v>207.44800000000001</v>
      </c>
    </row>
    <row r="54" spans="1:9" x14ac:dyDescent="0.25">
      <c r="A54" s="12">
        <v>41661</v>
      </c>
      <c r="B54">
        <v>251.88399999999999</v>
      </c>
      <c r="C54">
        <v>231.72399999999999</v>
      </c>
      <c r="E54">
        <v>170.54400000000001</v>
      </c>
      <c r="F54">
        <v>158.554</v>
      </c>
      <c r="G54">
        <v>219.78800000000001</v>
      </c>
      <c r="H54">
        <v>193.66</v>
      </c>
      <c r="I54">
        <v>207.49700000000001</v>
      </c>
    </row>
    <row r="55" spans="1:9" x14ac:dyDescent="0.25">
      <c r="A55" s="12">
        <v>41662</v>
      </c>
      <c r="B55">
        <v>251.899</v>
      </c>
      <c r="C55">
        <v>231.67699999999999</v>
      </c>
      <c r="E55">
        <v>170.45</v>
      </c>
      <c r="F55">
        <v>158.53800000000001</v>
      </c>
      <c r="G55">
        <v>219.79400000000001</v>
      </c>
      <c r="H55">
        <v>193.60400000000001</v>
      </c>
      <c r="I55">
        <v>207.52799999999999</v>
      </c>
    </row>
    <row r="56" spans="1:9" x14ac:dyDescent="0.25">
      <c r="A56" s="12">
        <v>41663</v>
      </c>
      <c r="B56">
        <v>251.358</v>
      </c>
      <c r="C56">
        <v>231.08699999999999</v>
      </c>
      <c r="E56">
        <v>170.547</v>
      </c>
      <c r="F56">
        <v>158.50700000000001</v>
      </c>
      <c r="G56">
        <v>219.762</v>
      </c>
      <c r="H56">
        <v>193.47900000000001</v>
      </c>
      <c r="I56">
        <v>207.13900000000001</v>
      </c>
    </row>
    <row r="57" spans="1:9" x14ac:dyDescent="0.25">
      <c r="A57" s="12">
        <v>41666</v>
      </c>
      <c r="B57">
        <v>250.935</v>
      </c>
      <c r="C57">
        <v>230.886</v>
      </c>
      <c r="E57">
        <v>169.46199999999999</v>
      </c>
      <c r="F57">
        <v>158.357</v>
      </c>
      <c r="G57">
        <v>219.042</v>
      </c>
      <c r="H57">
        <v>193.489</v>
      </c>
      <c r="I57">
        <v>206.255</v>
      </c>
    </row>
    <row r="58" spans="1:9" x14ac:dyDescent="0.25">
      <c r="A58" s="12">
        <v>41667</v>
      </c>
      <c r="B58">
        <v>250.18100000000001</v>
      </c>
      <c r="C58">
        <v>230.76400000000001</v>
      </c>
      <c r="E58">
        <v>167.97800000000001</v>
      </c>
      <c r="F58">
        <v>158.298</v>
      </c>
      <c r="G58">
        <v>217.8</v>
      </c>
      <c r="H58">
        <v>193.51</v>
      </c>
      <c r="I58">
        <v>205.477</v>
      </c>
    </row>
    <row r="59" spans="1:9" x14ac:dyDescent="0.25">
      <c r="A59" s="12">
        <v>41668</v>
      </c>
      <c r="B59">
        <v>249.54499999999999</v>
      </c>
      <c r="C59">
        <v>230.61699999999999</v>
      </c>
      <c r="E59">
        <v>167.16800000000001</v>
      </c>
      <c r="F59">
        <v>158.07</v>
      </c>
      <c r="G59">
        <v>216.73</v>
      </c>
      <c r="H59">
        <v>193.37100000000001</v>
      </c>
      <c r="I59">
        <v>205.404</v>
      </c>
    </row>
    <row r="60" spans="1:9" x14ac:dyDescent="0.25">
      <c r="A60" s="12">
        <v>41669</v>
      </c>
      <c r="B60">
        <v>249.57599999999999</v>
      </c>
      <c r="C60">
        <v>230.58099999999999</v>
      </c>
      <c r="E60">
        <v>167.49600000000001</v>
      </c>
      <c r="F60">
        <v>158.119</v>
      </c>
      <c r="G60">
        <v>216.833</v>
      </c>
      <c r="H60">
        <v>193.50700000000001</v>
      </c>
      <c r="I60">
        <v>205.251</v>
      </c>
    </row>
    <row r="61" spans="1:9" x14ac:dyDescent="0.25">
      <c r="A61" s="12">
        <v>41670</v>
      </c>
      <c r="B61">
        <v>249.16499999999999</v>
      </c>
      <c r="C61">
        <v>230.34100000000001</v>
      </c>
      <c r="E61">
        <v>167.20099999999999</v>
      </c>
      <c r="F61">
        <v>158.136</v>
      </c>
      <c r="G61">
        <v>216.876</v>
      </c>
      <c r="H61">
        <v>193.51599999999999</v>
      </c>
      <c r="I61">
        <v>205.37299999999999</v>
      </c>
    </row>
    <row r="62" spans="1:9" x14ac:dyDescent="0.25">
      <c r="A62" s="12">
        <v>41673</v>
      </c>
      <c r="B62">
        <v>248.89699999999999</v>
      </c>
      <c r="C62">
        <v>230.25899999999999</v>
      </c>
      <c r="E62">
        <v>167.70500000000001</v>
      </c>
      <c r="F62">
        <v>158.22900000000001</v>
      </c>
      <c r="G62">
        <v>216.83099999999999</v>
      </c>
      <c r="H62">
        <v>193.53</v>
      </c>
      <c r="I62">
        <v>205.053</v>
      </c>
    </row>
    <row r="63" spans="1:9" x14ac:dyDescent="0.25">
      <c r="A63" s="12">
        <v>41674</v>
      </c>
      <c r="B63">
        <v>248.79499999999999</v>
      </c>
      <c r="C63">
        <v>230.19900000000001</v>
      </c>
      <c r="E63">
        <v>167.53700000000001</v>
      </c>
      <c r="F63">
        <v>158.38</v>
      </c>
      <c r="G63">
        <v>216.68799999999999</v>
      </c>
      <c r="H63">
        <v>193.316</v>
      </c>
      <c r="I63">
        <v>205.03700000000001</v>
      </c>
    </row>
    <row r="64" spans="1:9" x14ac:dyDescent="0.25">
      <c r="A64" s="12">
        <v>41675</v>
      </c>
      <c r="B64">
        <v>248.70099999999999</v>
      </c>
      <c r="C64">
        <v>230.13399999999999</v>
      </c>
      <c r="E64">
        <v>166.57</v>
      </c>
      <c r="F64">
        <v>158.40700000000001</v>
      </c>
      <c r="G64">
        <v>216.42</v>
      </c>
      <c r="H64">
        <v>193.422</v>
      </c>
      <c r="I64">
        <v>204.77799999999999</v>
      </c>
    </row>
    <row r="65" spans="1:9" x14ac:dyDescent="0.25">
      <c r="A65" s="12">
        <v>41676</v>
      </c>
      <c r="B65">
        <v>248.45500000000001</v>
      </c>
      <c r="C65">
        <v>230.39699999999999</v>
      </c>
      <c r="E65">
        <v>166.642</v>
      </c>
      <c r="F65">
        <v>158.47399999999999</v>
      </c>
      <c r="G65">
        <v>216.041</v>
      </c>
      <c r="H65">
        <v>193.506</v>
      </c>
      <c r="I65">
        <v>204.749</v>
      </c>
    </row>
    <row r="66" spans="1:9" x14ac:dyDescent="0.25">
      <c r="A66" s="12">
        <v>41677</v>
      </c>
      <c r="B66">
        <v>248.70099999999999</v>
      </c>
      <c r="C66">
        <v>230.602</v>
      </c>
      <c r="E66">
        <v>166.44300000000001</v>
      </c>
      <c r="F66">
        <v>158.51499999999999</v>
      </c>
      <c r="G66">
        <v>216.52199999999999</v>
      </c>
      <c r="H66">
        <v>193.578</v>
      </c>
      <c r="I66">
        <v>205.16499999999999</v>
      </c>
    </row>
    <row r="67" spans="1:9" x14ac:dyDescent="0.25">
      <c r="A67" s="12">
        <v>41680</v>
      </c>
      <c r="B67">
        <v>249.07599999999999</v>
      </c>
      <c r="C67">
        <v>230.63900000000001</v>
      </c>
      <c r="E67">
        <v>167.24700000000001</v>
      </c>
      <c r="F67">
        <v>158.41300000000001</v>
      </c>
      <c r="G67">
        <v>216.934</v>
      </c>
      <c r="H67">
        <v>193.42500000000001</v>
      </c>
      <c r="I67">
        <v>205.43299999999999</v>
      </c>
    </row>
    <row r="68" spans="1:9" x14ac:dyDescent="0.25">
      <c r="A68" s="12">
        <v>41681</v>
      </c>
      <c r="B68">
        <v>249.57599999999999</v>
      </c>
      <c r="C68">
        <v>230.79</v>
      </c>
      <c r="E68">
        <v>167.80600000000001</v>
      </c>
      <c r="F68">
        <v>158.62899999999999</v>
      </c>
      <c r="G68">
        <v>217.56399999999999</v>
      </c>
      <c r="H68">
        <v>193.54400000000001</v>
      </c>
      <c r="I68">
        <v>205.65</v>
      </c>
    </row>
    <row r="69" spans="1:9" x14ac:dyDescent="0.25">
      <c r="A69" s="12">
        <v>41682</v>
      </c>
      <c r="B69">
        <v>249.732</v>
      </c>
      <c r="C69">
        <v>230.81899999999999</v>
      </c>
      <c r="E69">
        <v>167.779</v>
      </c>
      <c r="F69">
        <v>158.577</v>
      </c>
      <c r="G69">
        <v>217.73699999999999</v>
      </c>
      <c r="H69">
        <v>193.54599999999999</v>
      </c>
      <c r="I69">
        <v>206.16</v>
      </c>
    </row>
    <row r="70" spans="1:9" x14ac:dyDescent="0.25">
      <c r="A70" s="12">
        <v>41683</v>
      </c>
      <c r="B70">
        <v>250.26599999999999</v>
      </c>
      <c r="C70">
        <v>231.077</v>
      </c>
      <c r="E70">
        <v>168.62799999999999</v>
      </c>
      <c r="F70">
        <v>158.614</v>
      </c>
      <c r="G70">
        <v>218.54300000000001</v>
      </c>
      <c r="H70">
        <v>193.95</v>
      </c>
      <c r="I70">
        <v>206.97300000000001</v>
      </c>
    </row>
    <row r="71" spans="1:9" x14ac:dyDescent="0.25">
      <c r="A71" s="12">
        <v>41684</v>
      </c>
      <c r="B71">
        <v>250.512</v>
      </c>
      <c r="C71">
        <v>231.119</v>
      </c>
      <c r="E71">
        <v>169.18600000000001</v>
      </c>
      <c r="F71">
        <v>158.62</v>
      </c>
      <c r="G71">
        <v>219.35</v>
      </c>
      <c r="H71">
        <v>193.84399999999999</v>
      </c>
      <c r="I71">
        <v>206.63900000000001</v>
      </c>
    </row>
    <row r="72" spans="1:9" x14ac:dyDescent="0.25">
      <c r="A72" s="12">
        <v>41687</v>
      </c>
      <c r="B72">
        <v>250.542</v>
      </c>
      <c r="C72">
        <v>231.16499999999999</v>
      </c>
      <c r="E72">
        <v>168.91300000000001</v>
      </c>
      <c r="F72">
        <v>158.66499999999999</v>
      </c>
      <c r="G72">
        <v>218.92</v>
      </c>
      <c r="H72">
        <v>193.70400000000001</v>
      </c>
      <c r="I72">
        <v>206.80699999999999</v>
      </c>
    </row>
    <row r="73" spans="1:9" x14ac:dyDescent="0.25">
      <c r="A73" s="12">
        <v>41688</v>
      </c>
      <c r="B73">
        <v>251.084</v>
      </c>
      <c r="C73">
        <v>231.32400000000001</v>
      </c>
      <c r="E73">
        <v>169.31700000000001</v>
      </c>
      <c r="F73">
        <v>158.63399999999999</v>
      </c>
      <c r="G73">
        <v>219.31399999999999</v>
      </c>
      <c r="H73">
        <v>193.76300000000001</v>
      </c>
      <c r="I73">
        <v>206.946</v>
      </c>
    </row>
    <row r="74" spans="1:9" x14ac:dyDescent="0.25">
      <c r="A74" s="12">
        <v>41689</v>
      </c>
      <c r="B74">
        <v>251.25800000000001</v>
      </c>
      <c r="C74">
        <v>231.37299999999999</v>
      </c>
      <c r="E74">
        <v>169.489</v>
      </c>
      <c r="F74">
        <v>158.667</v>
      </c>
      <c r="G74">
        <v>219.54400000000001</v>
      </c>
      <c r="H74">
        <v>193.67699999999999</v>
      </c>
      <c r="I74">
        <v>206.91499999999999</v>
      </c>
    </row>
    <row r="75" spans="1:9" x14ac:dyDescent="0.25">
      <c r="A75" s="12">
        <v>41690</v>
      </c>
      <c r="B75">
        <v>251.274</v>
      </c>
      <c r="C75">
        <v>231.40899999999999</v>
      </c>
      <c r="E75">
        <v>169.41300000000001</v>
      </c>
      <c r="F75">
        <v>158.71100000000001</v>
      </c>
      <c r="G75">
        <v>219.55</v>
      </c>
      <c r="H75">
        <v>193.762</v>
      </c>
      <c r="I75">
        <v>206.977</v>
      </c>
    </row>
    <row r="76" spans="1:9" x14ac:dyDescent="0.25">
      <c r="A76" s="12">
        <v>41691</v>
      </c>
      <c r="B76">
        <v>251.101</v>
      </c>
      <c r="C76">
        <v>231.30600000000001</v>
      </c>
      <c r="E76">
        <v>169.34299999999999</v>
      </c>
      <c r="F76">
        <v>158.715</v>
      </c>
      <c r="G76">
        <v>219.54</v>
      </c>
      <c r="H76">
        <v>193.8</v>
      </c>
      <c r="I76">
        <v>206.84</v>
      </c>
    </row>
    <row r="77" spans="1:9" x14ac:dyDescent="0.25">
      <c r="A77" s="12">
        <v>41694</v>
      </c>
      <c r="B77">
        <v>250.93299999999999</v>
      </c>
      <c r="C77">
        <v>231.30199999999999</v>
      </c>
      <c r="E77">
        <v>169.19300000000001</v>
      </c>
      <c r="F77">
        <v>158.54599999999999</v>
      </c>
      <c r="G77">
        <v>219.39099999999999</v>
      </c>
      <c r="H77">
        <v>193.803</v>
      </c>
      <c r="I77">
        <v>207.00800000000001</v>
      </c>
    </row>
    <row r="78" spans="1:9" x14ac:dyDescent="0.25">
      <c r="A78" s="12">
        <v>41695</v>
      </c>
      <c r="B78">
        <v>251.34800000000001</v>
      </c>
      <c r="C78">
        <v>231.488</v>
      </c>
      <c r="E78">
        <v>169.57</v>
      </c>
      <c r="F78">
        <v>158.70599999999999</v>
      </c>
      <c r="G78">
        <v>219.66300000000001</v>
      </c>
      <c r="H78">
        <v>193.77500000000001</v>
      </c>
      <c r="I78">
        <v>207.32400000000001</v>
      </c>
    </row>
    <row r="79" spans="1:9" x14ac:dyDescent="0.25">
      <c r="A79" s="12">
        <v>41697</v>
      </c>
      <c r="B79">
        <v>251.791</v>
      </c>
      <c r="C79">
        <v>231.858</v>
      </c>
      <c r="E79">
        <v>169.899</v>
      </c>
      <c r="F79">
        <v>158.93</v>
      </c>
      <c r="G79">
        <v>220.023</v>
      </c>
      <c r="H79">
        <v>193.827</v>
      </c>
      <c r="I79">
        <v>207.36</v>
      </c>
    </row>
    <row r="80" spans="1:9" x14ac:dyDescent="0.25">
      <c r="A80" s="12">
        <v>41698</v>
      </c>
      <c r="B80">
        <v>251.852</v>
      </c>
      <c r="C80">
        <v>231.96700000000001</v>
      </c>
      <c r="E80">
        <v>169.96199999999999</v>
      </c>
      <c r="F80">
        <v>158.93799999999999</v>
      </c>
      <c r="G80">
        <v>220.036</v>
      </c>
      <c r="H80">
        <v>193.90299999999999</v>
      </c>
      <c r="I80">
        <v>207.505</v>
      </c>
    </row>
    <row r="81" spans="1:9" x14ac:dyDescent="0.25">
      <c r="A81" s="12">
        <v>41701</v>
      </c>
      <c r="B81">
        <v>251.82</v>
      </c>
      <c r="C81">
        <v>231.96299999999999</v>
      </c>
      <c r="E81">
        <v>169.85300000000001</v>
      </c>
      <c r="F81">
        <v>159.06100000000001</v>
      </c>
      <c r="G81">
        <v>219.81399999999999</v>
      </c>
      <c r="H81">
        <v>193.73099999999999</v>
      </c>
      <c r="I81">
        <v>207.33699999999999</v>
      </c>
    </row>
    <row r="82" spans="1:9" x14ac:dyDescent="0.25">
      <c r="A82" s="12">
        <v>41702</v>
      </c>
      <c r="B82">
        <v>251.58699999999999</v>
      </c>
      <c r="C82">
        <v>231.78</v>
      </c>
      <c r="E82">
        <v>169.87200000000001</v>
      </c>
      <c r="F82">
        <v>158.881</v>
      </c>
      <c r="G82">
        <v>219.92099999999999</v>
      </c>
      <c r="H82">
        <v>193.77699999999999</v>
      </c>
      <c r="I82">
        <v>206.54900000000001</v>
      </c>
    </row>
    <row r="83" spans="1:9" x14ac:dyDescent="0.25">
      <c r="A83" s="12">
        <v>41703</v>
      </c>
      <c r="B83">
        <v>251.10499999999999</v>
      </c>
      <c r="C83">
        <v>231.63300000000001</v>
      </c>
      <c r="E83">
        <v>168.42500000000001</v>
      </c>
      <c r="F83">
        <v>158.90100000000001</v>
      </c>
      <c r="G83">
        <v>218.45500000000001</v>
      </c>
      <c r="H83">
        <v>193.702</v>
      </c>
      <c r="I83">
        <v>206.76900000000001</v>
      </c>
    </row>
    <row r="84" spans="1:9" x14ac:dyDescent="0.25">
      <c r="A84" s="12">
        <v>41704</v>
      </c>
      <c r="B84">
        <v>251.66800000000001</v>
      </c>
      <c r="C84">
        <v>231.73</v>
      </c>
      <c r="E84">
        <v>169.803</v>
      </c>
      <c r="F84">
        <v>158.94900000000001</v>
      </c>
      <c r="G84">
        <v>219.41900000000001</v>
      </c>
      <c r="H84">
        <v>193.78</v>
      </c>
      <c r="I84">
        <v>207.22</v>
      </c>
    </row>
    <row r="85" spans="1:9" x14ac:dyDescent="0.25">
      <c r="A85" s="12">
        <v>41705</v>
      </c>
      <c r="B85">
        <v>251.77199999999999</v>
      </c>
      <c r="C85">
        <v>231.822</v>
      </c>
      <c r="E85">
        <v>169.82599999999999</v>
      </c>
      <c r="F85">
        <v>159.03700000000001</v>
      </c>
      <c r="G85">
        <v>219.839</v>
      </c>
      <c r="H85">
        <v>193.74700000000001</v>
      </c>
      <c r="I85">
        <v>207.33099999999999</v>
      </c>
    </row>
    <row r="86" spans="1:9" x14ac:dyDescent="0.25">
      <c r="A86" s="12">
        <v>41708</v>
      </c>
      <c r="B86">
        <v>251.71600000000001</v>
      </c>
      <c r="C86">
        <v>231.648</v>
      </c>
      <c r="E86">
        <v>169.952</v>
      </c>
      <c r="F86">
        <v>158.87200000000001</v>
      </c>
      <c r="G86">
        <v>219.70599999999999</v>
      </c>
      <c r="H86">
        <v>193.63300000000001</v>
      </c>
      <c r="I86">
        <v>206.80699999999999</v>
      </c>
    </row>
    <row r="87" spans="1:9" x14ac:dyDescent="0.25">
      <c r="A87" s="12">
        <v>41709</v>
      </c>
      <c r="B87">
        <v>251.29900000000001</v>
      </c>
      <c r="C87">
        <v>231.47900000000001</v>
      </c>
      <c r="E87">
        <v>169.15700000000001</v>
      </c>
      <c r="F87">
        <v>158.76300000000001</v>
      </c>
      <c r="G87">
        <v>219.054</v>
      </c>
      <c r="H87">
        <v>193.643</v>
      </c>
      <c r="I87">
        <v>206.36600000000001</v>
      </c>
    </row>
    <row r="88" spans="1:9" x14ac:dyDescent="0.25">
      <c r="A88" s="12">
        <v>41710</v>
      </c>
      <c r="B88">
        <v>250.886</v>
      </c>
      <c r="C88">
        <v>231.416</v>
      </c>
      <c r="E88">
        <v>168.73500000000001</v>
      </c>
      <c r="F88">
        <v>158.80500000000001</v>
      </c>
      <c r="G88">
        <v>218.648</v>
      </c>
      <c r="H88">
        <v>193.63300000000001</v>
      </c>
      <c r="I88">
        <v>206.38</v>
      </c>
    </row>
    <row r="89" spans="1:9" x14ac:dyDescent="0.25">
      <c r="A89" s="12">
        <v>41711</v>
      </c>
      <c r="B89">
        <v>250.559</v>
      </c>
      <c r="C89">
        <v>231.059</v>
      </c>
      <c r="E89">
        <v>168.77799999999999</v>
      </c>
      <c r="F89">
        <v>158.768</v>
      </c>
      <c r="G89">
        <v>218.392</v>
      </c>
      <c r="H89">
        <v>193.59899999999999</v>
      </c>
      <c r="I89">
        <v>205.96100000000001</v>
      </c>
    </row>
    <row r="90" spans="1:9" x14ac:dyDescent="0.25">
      <c r="A90" s="12">
        <v>41712</v>
      </c>
      <c r="B90">
        <v>249.971</v>
      </c>
      <c r="C90">
        <v>230.89599999999999</v>
      </c>
      <c r="E90">
        <v>168.13800000000001</v>
      </c>
      <c r="F90">
        <v>158.786</v>
      </c>
      <c r="G90">
        <v>217.572</v>
      </c>
      <c r="H90">
        <v>193.541</v>
      </c>
      <c r="I90">
        <v>205.56399999999999</v>
      </c>
    </row>
    <row r="91" spans="1:9" x14ac:dyDescent="0.25">
      <c r="A91" s="12">
        <v>41715</v>
      </c>
      <c r="B91">
        <v>249.71</v>
      </c>
      <c r="C91">
        <v>230.69800000000001</v>
      </c>
      <c r="E91">
        <v>167.554</v>
      </c>
      <c r="F91">
        <v>158.952</v>
      </c>
      <c r="G91">
        <v>217.19399999999999</v>
      </c>
      <c r="H91">
        <v>193.54400000000001</v>
      </c>
      <c r="I91">
        <v>205.11799999999999</v>
      </c>
    </row>
    <row r="92" spans="1:9" x14ac:dyDescent="0.25">
      <c r="A92" s="12">
        <v>41716</v>
      </c>
      <c r="B92">
        <v>249.33600000000001</v>
      </c>
      <c r="C92">
        <v>230.66499999999999</v>
      </c>
      <c r="E92">
        <v>167.16800000000001</v>
      </c>
      <c r="F92">
        <v>158.893</v>
      </c>
      <c r="G92">
        <v>216.45699999999999</v>
      </c>
      <c r="H92">
        <v>193.511</v>
      </c>
      <c r="I92">
        <v>205.215</v>
      </c>
    </row>
    <row r="93" spans="1:9" x14ac:dyDescent="0.25">
      <c r="A93" s="12">
        <v>41717</v>
      </c>
      <c r="B93">
        <v>249.98500000000001</v>
      </c>
      <c r="C93">
        <v>230.88800000000001</v>
      </c>
      <c r="E93">
        <v>167.78399999999999</v>
      </c>
      <c r="F93">
        <v>158.88800000000001</v>
      </c>
      <c r="G93">
        <v>217.00700000000001</v>
      </c>
      <c r="H93">
        <v>193.53100000000001</v>
      </c>
      <c r="I93">
        <v>205.76400000000001</v>
      </c>
    </row>
    <row r="94" spans="1:9" x14ac:dyDescent="0.25">
      <c r="A94" s="12">
        <v>41718</v>
      </c>
      <c r="B94">
        <v>250.53200000000001</v>
      </c>
      <c r="C94">
        <v>231.11</v>
      </c>
      <c r="E94">
        <v>168.37200000000001</v>
      </c>
      <c r="F94">
        <v>158.97399999999999</v>
      </c>
      <c r="G94">
        <v>217.83099999999999</v>
      </c>
      <c r="H94">
        <v>193.55699999999999</v>
      </c>
      <c r="I94">
        <v>205.82499999999999</v>
      </c>
    </row>
    <row r="95" spans="1:9" x14ac:dyDescent="0.25">
      <c r="A95" s="12">
        <v>41719</v>
      </c>
      <c r="B95">
        <v>250.60400000000001</v>
      </c>
      <c r="C95">
        <v>231.21799999999999</v>
      </c>
      <c r="E95">
        <v>168.28800000000001</v>
      </c>
      <c r="F95">
        <v>158.952</v>
      </c>
      <c r="G95">
        <v>218.00399999999999</v>
      </c>
      <c r="H95">
        <v>193.72</v>
      </c>
      <c r="I95">
        <v>205.74299999999999</v>
      </c>
    </row>
    <row r="96" spans="1:9" x14ac:dyDescent="0.25">
      <c r="A96" s="12">
        <v>41722</v>
      </c>
      <c r="B96">
        <v>250.10300000000001</v>
      </c>
      <c r="C96">
        <v>231.04400000000001</v>
      </c>
      <c r="E96">
        <v>168.505</v>
      </c>
      <c r="F96">
        <v>158.90199999999999</v>
      </c>
      <c r="G96">
        <v>217.887</v>
      </c>
      <c r="H96">
        <v>193.63800000000001</v>
      </c>
      <c r="I96">
        <v>205.852</v>
      </c>
    </row>
    <row r="97" spans="1:9" x14ac:dyDescent="0.25">
      <c r="A97" s="12">
        <v>41723</v>
      </c>
      <c r="B97">
        <v>250.29599999999999</v>
      </c>
      <c r="C97">
        <v>230.89400000000001</v>
      </c>
      <c r="E97">
        <v>168.952</v>
      </c>
      <c r="F97">
        <v>159.041</v>
      </c>
      <c r="G97">
        <v>217.767</v>
      </c>
      <c r="H97">
        <v>193.68</v>
      </c>
      <c r="I97">
        <v>205.50299999999999</v>
      </c>
    </row>
    <row r="98" spans="1:9" x14ac:dyDescent="0.25">
      <c r="A98" s="12">
        <v>41724</v>
      </c>
      <c r="B98">
        <v>250.161</v>
      </c>
      <c r="C98">
        <v>230.958</v>
      </c>
      <c r="E98">
        <v>168.33099999999999</v>
      </c>
      <c r="F98">
        <v>159.20699999999999</v>
      </c>
      <c r="G98">
        <v>217.471</v>
      </c>
      <c r="H98">
        <v>193.56399999999999</v>
      </c>
      <c r="I98">
        <v>205.916</v>
      </c>
    </row>
    <row r="99" spans="1:9" x14ac:dyDescent="0.25">
      <c r="A99" s="12">
        <v>41725</v>
      </c>
      <c r="B99">
        <v>250.66399999999999</v>
      </c>
      <c r="C99">
        <v>231.20400000000001</v>
      </c>
      <c r="E99">
        <v>169.02799999999999</v>
      </c>
      <c r="F99">
        <v>159.29400000000001</v>
      </c>
      <c r="G99">
        <v>218.05099999999999</v>
      </c>
      <c r="H99">
        <v>193.67099999999999</v>
      </c>
      <c r="I99">
        <v>206.589</v>
      </c>
    </row>
    <row r="100" spans="1:9" x14ac:dyDescent="0.25">
      <c r="A100" s="12">
        <v>41726</v>
      </c>
      <c r="B100">
        <v>251.208</v>
      </c>
      <c r="C100">
        <v>231.554</v>
      </c>
      <c r="E100">
        <v>169.55600000000001</v>
      </c>
      <c r="F100">
        <v>159.43199999999999</v>
      </c>
      <c r="G100">
        <v>218.768</v>
      </c>
      <c r="H100">
        <v>193.71199999999999</v>
      </c>
      <c r="I100">
        <v>206.732</v>
      </c>
    </row>
    <row r="101" spans="1:9" x14ac:dyDescent="0.25">
      <c r="A101" s="12">
        <v>41729</v>
      </c>
      <c r="B101">
        <v>251.31399999999999</v>
      </c>
      <c r="C101">
        <v>231.83099999999999</v>
      </c>
      <c r="E101">
        <v>169.637</v>
      </c>
      <c r="F101">
        <v>159.71199999999999</v>
      </c>
      <c r="G101">
        <v>218.702</v>
      </c>
      <c r="H101">
        <v>193.68899999999999</v>
      </c>
      <c r="I101">
        <v>207.36</v>
      </c>
    </row>
    <row r="102" spans="1:9" x14ac:dyDescent="0.25">
      <c r="A102" s="12">
        <v>41730</v>
      </c>
      <c r="B102">
        <v>251.72300000000001</v>
      </c>
      <c r="C102">
        <v>232.00899999999999</v>
      </c>
      <c r="E102">
        <v>170.256</v>
      </c>
      <c r="F102">
        <v>159.63399999999999</v>
      </c>
      <c r="G102">
        <v>219.05099999999999</v>
      </c>
      <c r="H102">
        <v>193.75200000000001</v>
      </c>
      <c r="I102">
        <v>207.619</v>
      </c>
    </row>
    <row r="103" spans="1:9" x14ac:dyDescent="0.25">
      <c r="A103" s="12">
        <v>41731</v>
      </c>
      <c r="B103">
        <v>252.11699999999999</v>
      </c>
      <c r="C103">
        <v>232.273</v>
      </c>
      <c r="E103">
        <v>170.363</v>
      </c>
      <c r="F103">
        <v>159.596</v>
      </c>
      <c r="G103">
        <v>219.37799999999999</v>
      </c>
      <c r="H103">
        <v>193.71</v>
      </c>
      <c r="I103">
        <v>208.05799999999999</v>
      </c>
    </row>
    <row r="104" spans="1:9" x14ac:dyDescent="0.25">
      <c r="A104" s="12">
        <v>41732</v>
      </c>
      <c r="B104">
        <v>252.45099999999999</v>
      </c>
      <c r="C104">
        <v>232.44800000000001</v>
      </c>
      <c r="E104">
        <v>170.78800000000001</v>
      </c>
      <c r="F104">
        <v>159.57599999999999</v>
      </c>
      <c r="G104">
        <v>219.857</v>
      </c>
      <c r="H104">
        <v>193.751</v>
      </c>
      <c r="I104">
        <v>208.34</v>
      </c>
    </row>
    <row r="105" spans="1:9" x14ac:dyDescent="0.25">
      <c r="A105" s="12">
        <v>41733</v>
      </c>
      <c r="B105">
        <v>252.40100000000001</v>
      </c>
      <c r="C105">
        <v>232.37100000000001</v>
      </c>
      <c r="E105">
        <v>171.07</v>
      </c>
      <c r="F105">
        <v>159.51499999999999</v>
      </c>
      <c r="G105">
        <v>220.24</v>
      </c>
      <c r="H105">
        <v>193.78899999999999</v>
      </c>
      <c r="I105">
        <v>208.5</v>
      </c>
    </row>
    <row r="106" spans="1:9" x14ac:dyDescent="0.25">
      <c r="A106" s="12">
        <v>41736</v>
      </c>
      <c r="B106">
        <v>252.49199999999999</v>
      </c>
      <c r="C106">
        <v>232.42400000000001</v>
      </c>
      <c r="E106">
        <v>171.24299999999999</v>
      </c>
      <c r="F106">
        <v>159.59200000000001</v>
      </c>
      <c r="G106">
        <v>220.41499999999999</v>
      </c>
      <c r="H106">
        <v>193.828</v>
      </c>
      <c r="I106">
        <v>209.00700000000001</v>
      </c>
    </row>
    <row r="107" spans="1:9" x14ac:dyDescent="0.25">
      <c r="A107" s="12">
        <v>41737</v>
      </c>
      <c r="B107">
        <v>252.577</v>
      </c>
      <c r="C107">
        <v>232.624</v>
      </c>
      <c r="E107">
        <v>171.666</v>
      </c>
      <c r="F107">
        <v>159.89699999999999</v>
      </c>
      <c r="G107">
        <v>220.64599999999999</v>
      </c>
      <c r="H107">
        <v>193.88399999999999</v>
      </c>
      <c r="I107">
        <v>208.46</v>
      </c>
    </row>
    <row r="108" spans="1:9" x14ac:dyDescent="0.25">
      <c r="A108" s="12">
        <v>41738</v>
      </c>
      <c r="B108">
        <v>252.17</v>
      </c>
      <c r="C108">
        <v>232.696</v>
      </c>
      <c r="E108">
        <v>170.625</v>
      </c>
      <c r="F108">
        <v>159.89500000000001</v>
      </c>
      <c r="G108">
        <v>219.636</v>
      </c>
      <c r="H108">
        <v>193.83099999999999</v>
      </c>
      <c r="I108">
        <v>207.97300000000001</v>
      </c>
    </row>
    <row r="109" spans="1:9" x14ac:dyDescent="0.25">
      <c r="A109" s="12">
        <v>41739</v>
      </c>
      <c r="B109">
        <v>251.78899999999999</v>
      </c>
      <c r="C109">
        <v>232.673</v>
      </c>
      <c r="E109">
        <v>170.39699999999999</v>
      </c>
      <c r="F109">
        <v>159.869</v>
      </c>
      <c r="G109">
        <v>219.29599999999999</v>
      </c>
      <c r="H109">
        <v>193.74199999999999</v>
      </c>
      <c r="I109">
        <v>207.995</v>
      </c>
    </row>
    <row r="110" spans="1:9" x14ac:dyDescent="0.25">
      <c r="A110" s="12">
        <v>41740</v>
      </c>
      <c r="B110">
        <v>252.22300000000001</v>
      </c>
      <c r="C110">
        <v>232.80500000000001</v>
      </c>
      <c r="E110">
        <v>170.56200000000001</v>
      </c>
      <c r="F110">
        <v>159.83500000000001</v>
      </c>
      <c r="G110">
        <v>219.53200000000001</v>
      </c>
      <c r="H110">
        <v>193.72300000000001</v>
      </c>
      <c r="I110">
        <v>208.05099999999999</v>
      </c>
    </row>
    <row r="111" spans="1:9" x14ac:dyDescent="0.25">
      <c r="A111" s="12">
        <v>41743</v>
      </c>
      <c r="B111">
        <v>252.34399999999999</v>
      </c>
      <c r="C111">
        <v>232.91200000000001</v>
      </c>
      <c r="E111">
        <v>170.346</v>
      </c>
      <c r="F111">
        <v>160.04</v>
      </c>
      <c r="G111">
        <v>219.67699999999999</v>
      </c>
      <c r="H111">
        <v>193.74100000000001</v>
      </c>
      <c r="I111">
        <v>207.03899999999999</v>
      </c>
    </row>
    <row r="112" spans="1:9" x14ac:dyDescent="0.25">
      <c r="A112" s="12">
        <v>41744</v>
      </c>
      <c r="B112">
        <v>251.422</v>
      </c>
      <c r="C112">
        <v>232.95500000000001</v>
      </c>
      <c r="E112">
        <v>169.41</v>
      </c>
      <c r="F112">
        <v>160.02500000000001</v>
      </c>
      <c r="G112">
        <v>218.62100000000001</v>
      </c>
      <c r="H112">
        <v>193.78899999999999</v>
      </c>
      <c r="I112">
        <v>207.27099999999999</v>
      </c>
    </row>
    <row r="113" spans="1:9" x14ac:dyDescent="0.25">
      <c r="A113" s="12">
        <v>41745</v>
      </c>
      <c r="B113">
        <v>251.23699999999999</v>
      </c>
      <c r="C113">
        <v>232.80600000000001</v>
      </c>
      <c r="E113">
        <v>169.76400000000001</v>
      </c>
      <c r="F113">
        <v>160.03</v>
      </c>
      <c r="G113">
        <v>218.50800000000001</v>
      </c>
      <c r="H113">
        <v>193.81800000000001</v>
      </c>
      <c r="I113">
        <v>206.90700000000001</v>
      </c>
    </row>
    <row r="114" spans="1:9" x14ac:dyDescent="0.25">
      <c r="A114" s="12">
        <v>41746</v>
      </c>
      <c r="B114">
        <v>251.227</v>
      </c>
      <c r="C114">
        <v>232.64</v>
      </c>
      <c r="E114">
        <v>169.34700000000001</v>
      </c>
      <c r="F114">
        <v>160.22300000000001</v>
      </c>
      <c r="G114">
        <v>218.20400000000001</v>
      </c>
      <c r="H114">
        <v>193.51599999999999</v>
      </c>
      <c r="I114">
        <v>207.416</v>
      </c>
    </row>
    <row r="115" spans="1:9" x14ac:dyDescent="0.25">
      <c r="A115" s="12">
        <v>41751</v>
      </c>
      <c r="B115">
        <v>251.20699999999999</v>
      </c>
      <c r="C115">
        <v>232.56800000000001</v>
      </c>
      <c r="E115">
        <v>170.10900000000001</v>
      </c>
      <c r="F115">
        <v>160.15700000000001</v>
      </c>
      <c r="G115">
        <v>218.624</v>
      </c>
      <c r="H115">
        <v>193.637</v>
      </c>
      <c r="I115">
        <v>207.90899999999999</v>
      </c>
    </row>
    <row r="116" spans="1:9" x14ac:dyDescent="0.25">
      <c r="A116" s="12">
        <v>41752</v>
      </c>
      <c r="B116">
        <v>251.733</v>
      </c>
      <c r="C116">
        <v>232.80500000000001</v>
      </c>
      <c r="E116">
        <v>170.69800000000001</v>
      </c>
      <c r="F116">
        <v>160.012</v>
      </c>
      <c r="G116">
        <v>219.05600000000001</v>
      </c>
      <c r="H116">
        <v>193.72</v>
      </c>
      <c r="I116">
        <v>208.21100000000001</v>
      </c>
    </row>
    <row r="117" spans="1:9" x14ac:dyDescent="0.25">
      <c r="A117" s="12">
        <v>41753</v>
      </c>
      <c r="B117">
        <v>252.28299999999999</v>
      </c>
      <c r="C117">
        <v>232.78800000000001</v>
      </c>
      <c r="E117">
        <v>171.131</v>
      </c>
      <c r="F117">
        <v>160.01300000000001</v>
      </c>
      <c r="G117">
        <v>219.73699999999999</v>
      </c>
      <c r="H117">
        <v>193.71100000000001</v>
      </c>
      <c r="I117">
        <v>208.20599999999999</v>
      </c>
    </row>
    <row r="118" spans="1:9" x14ac:dyDescent="0.25">
      <c r="A118" s="12">
        <v>41754</v>
      </c>
      <c r="B118">
        <v>252.232</v>
      </c>
      <c r="C118">
        <v>232.827</v>
      </c>
      <c r="E118">
        <v>170.786</v>
      </c>
      <c r="F118">
        <v>160.06100000000001</v>
      </c>
      <c r="G118">
        <v>219.886</v>
      </c>
      <c r="H118">
        <v>193.75800000000001</v>
      </c>
      <c r="I118">
        <v>208.05799999999999</v>
      </c>
    </row>
    <row r="119" spans="1:9" x14ac:dyDescent="0.25">
      <c r="A119" s="12">
        <v>41757</v>
      </c>
      <c r="B119">
        <v>251.958</v>
      </c>
      <c r="C119">
        <v>232.76599999999999</v>
      </c>
      <c r="E119">
        <v>170.86</v>
      </c>
      <c r="F119">
        <v>160.04400000000001</v>
      </c>
      <c r="G119">
        <v>219.59899999999999</v>
      </c>
      <c r="H119">
        <v>193.67599999999999</v>
      </c>
      <c r="I119">
        <v>207.70099999999999</v>
      </c>
    </row>
    <row r="120" spans="1:9" x14ac:dyDescent="0.25">
      <c r="A120" s="12">
        <v>41758</v>
      </c>
      <c r="B120">
        <v>251.38399999999999</v>
      </c>
      <c r="C120">
        <v>232.52099999999999</v>
      </c>
      <c r="E120">
        <v>170.226</v>
      </c>
      <c r="F120">
        <v>160.15299999999999</v>
      </c>
      <c r="G120">
        <v>218.99</v>
      </c>
      <c r="H120">
        <v>193.654</v>
      </c>
      <c r="I120">
        <v>207.636</v>
      </c>
    </row>
    <row r="121" spans="1:9" x14ac:dyDescent="0.25">
      <c r="A121" s="12">
        <v>41759</v>
      </c>
      <c r="B121">
        <v>251.60499999999999</v>
      </c>
      <c r="C121">
        <v>232.57499999999999</v>
      </c>
      <c r="E121">
        <v>170.34899999999999</v>
      </c>
      <c r="F121">
        <v>160.11000000000001</v>
      </c>
      <c r="G121">
        <v>218.792</v>
      </c>
      <c r="H121">
        <v>193.63499999999999</v>
      </c>
      <c r="I121">
        <v>208.19499999999999</v>
      </c>
    </row>
    <row r="122" spans="1:9" x14ac:dyDescent="0.25">
      <c r="A122" s="12">
        <v>41765</v>
      </c>
      <c r="B122">
        <v>251.93700000000001</v>
      </c>
      <c r="C122">
        <v>232.655</v>
      </c>
      <c r="E122">
        <v>171.05799999999999</v>
      </c>
      <c r="F122">
        <v>160.215</v>
      </c>
      <c r="G122">
        <v>219.34299999999999</v>
      </c>
      <c r="H122">
        <v>193.63200000000001</v>
      </c>
      <c r="I122">
        <v>208.38</v>
      </c>
    </row>
    <row r="123" spans="1:9" x14ac:dyDescent="0.25">
      <c r="A123" s="12">
        <v>41766</v>
      </c>
      <c r="B123">
        <v>251.85499999999999</v>
      </c>
      <c r="C123">
        <v>232.858</v>
      </c>
      <c r="E123">
        <v>170.96299999999999</v>
      </c>
      <c r="F123">
        <v>160.523</v>
      </c>
      <c r="G123">
        <v>219.59299999999999</v>
      </c>
      <c r="H123">
        <v>193.68199999999999</v>
      </c>
      <c r="I123">
        <v>208.73500000000001</v>
      </c>
    </row>
    <row r="124" spans="1:9" x14ac:dyDescent="0.25">
      <c r="A124" s="12">
        <v>41767</v>
      </c>
      <c r="B124">
        <v>252.21199999999999</v>
      </c>
      <c r="C124">
        <v>233.018</v>
      </c>
      <c r="E124">
        <v>170.733</v>
      </c>
      <c r="F124">
        <v>160.565</v>
      </c>
      <c r="G124">
        <v>219.595</v>
      </c>
      <c r="H124">
        <v>193.95699999999999</v>
      </c>
      <c r="I124">
        <v>208.63300000000001</v>
      </c>
    </row>
    <row r="125" spans="1:9" x14ac:dyDescent="0.25">
      <c r="A125" s="12">
        <v>41768</v>
      </c>
      <c r="B125">
        <v>252.566</v>
      </c>
      <c r="C125">
        <v>233.381</v>
      </c>
      <c r="E125">
        <v>170.75299999999999</v>
      </c>
      <c r="F125">
        <v>160.57900000000001</v>
      </c>
      <c r="G125">
        <v>219.74600000000001</v>
      </c>
      <c r="H125">
        <v>193.83699999999999</v>
      </c>
      <c r="I125">
        <v>209.39699999999999</v>
      </c>
    </row>
    <row r="126" spans="1:9" x14ac:dyDescent="0.25">
      <c r="A126" s="12">
        <v>41769</v>
      </c>
      <c r="B126">
        <v>253.21899999999999</v>
      </c>
      <c r="C126">
        <v>233.91</v>
      </c>
      <c r="E126">
        <v>171.62100000000001</v>
      </c>
      <c r="F126">
        <v>160.86500000000001</v>
      </c>
      <c r="G126">
        <v>220.74299999999999</v>
      </c>
      <c r="H126">
        <v>194.25</v>
      </c>
      <c r="I126">
        <v>209.434</v>
      </c>
    </row>
    <row r="127" spans="1:9" x14ac:dyDescent="0.25">
      <c r="A127" s="12">
        <v>41771</v>
      </c>
      <c r="B127">
        <v>253.21600000000001</v>
      </c>
      <c r="C127">
        <v>233.93</v>
      </c>
      <c r="E127">
        <v>171.636</v>
      </c>
      <c r="F127">
        <v>160.93299999999999</v>
      </c>
      <c r="G127">
        <v>220.71199999999999</v>
      </c>
      <c r="H127">
        <v>194.19900000000001</v>
      </c>
      <c r="I127">
        <v>209.434</v>
      </c>
    </row>
    <row r="128" spans="1:9" x14ac:dyDescent="0.25">
      <c r="A128" s="12">
        <v>41772</v>
      </c>
      <c r="B128">
        <v>253.26499999999999</v>
      </c>
      <c r="C128">
        <v>234.04499999999999</v>
      </c>
      <c r="E128">
        <v>171.63200000000001</v>
      </c>
      <c r="F128">
        <v>160.93899999999999</v>
      </c>
      <c r="G128">
        <v>221.06100000000001</v>
      </c>
      <c r="H128">
        <v>194.29400000000001</v>
      </c>
      <c r="I128">
        <v>209.917</v>
      </c>
    </row>
    <row r="129" spans="1:9" x14ac:dyDescent="0.25">
      <c r="A129" s="12">
        <v>41773</v>
      </c>
      <c r="B129">
        <v>253.85499999999999</v>
      </c>
      <c r="C129">
        <v>234.18700000000001</v>
      </c>
      <c r="E129">
        <v>172.39</v>
      </c>
      <c r="F129">
        <v>160.92099999999999</v>
      </c>
      <c r="G129">
        <v>221.63300000000001</v>
      </c>
      <c r="H129">
        <v>194.357</v>
      </c>
      <c r="I129">
        <v>210.553</v>
      </c>
    </row>
    <row r="130" spans="1:9" x14ac:dyDescent="0.25">
      <c r="A130" s="12">
        <v>41774</v>
      </c>
      <c r="B130">
        <v>254.053</v>
      </c>
      <c r="C130">
        <v>234.27199999999999</v>
      </c>
      <c r="E130">
        <v>172.821</v>
      </c>
      <c r="F130">
        <v>161.11600000000001</v>
      </c>
      <c r="G130">
        <v>222.303</v>
      </c>
      <c r="H130">
        <v>194.52</v>
      </c>
      <c r="I130">
        <v>210.619</v>
      </c>
    </row>
    <row r="131" spans="1:9" x14ac:dyDescent="0.25">
      <c r="A131" s="12">
        <v>41775</v>
      </c>
      <c r="B131">
        <v>254.38499999999999</v>
      </c>
      <c r="C131">
        <v>234.60900000000001</v>
      </c>
      <c r="E131">
        <v>172.98500000000001</v>
      </c>
      <c r="F131">
        <v>161.376</v>
      </c>
      <c r="G131">
        <v>222.46799999999999</v>
      </c>
      <c r="H131">
        <v>194.464</v>
      </c>
      <c r="I131">
        <v>210.33099999999999</v>
      </c>
    </row>
    <row r="132" spans="1:9" x14ac:dyDescent="0.25">
      <c r="A132" s="12">
        <v>41778</v>
      </c>
      <c r="B132">
        <v>254.108</v>
      </c>
      <c r="C132">
        <v>234.47499999999999</v>
      </c>
      <c r="E132">
        <v>172.24199999999999</v>
      </c>
      <c r="F132">
        <v>161.434</v>
      </c>
      <c r="G132">
        <v>222.26900000000001</v>
      </c>
      <c r="H132">
        <v>194.6</v>
      </c>
      <c r="I132">
        <v>210.32900000000001</v>
      </c>
    </row>
    <row r="133" spans="1:9" x14ac:dyDescent="0.25">
      <c r="A133" s="12">
        <v>41779</v>
      </c>
      <c r="B133">
        <v>253.81700000000001</v>
      </c>
      <c r="C133">
        <v>234.44800000000001</v>
      </c>
      <c r="E133">
        <v>172.43100000000001</v>
      </c>
      <c r="F133">
        <v>161.29300000000001</v>
      </c>
      <c r="G133">
        <v>221.84899999999999</v>
      </c>
      <c r="H133">
        <v>194.56700000000001</v>
      </c>
      <c r="I133">
        <v>210.251</v>
      </c>
    </row>
    <row r="134" spans="1:9" x14ac:dyDescent="0.25">
      <c r="A134" s="12">
        <v>41780</v>
      </c>
      <c r="B134">
        <v>253.85499999999999</v>
      </c>
      <c r="C134">
        <v>234.554</v>
      </c>
      <c r="E134">
        <v>172.54599999999999</v>
      </c>
      <c r="F134">
        <v>161.256</v>
      </c>
      <c r="G134">
        <v>222.11799999999999</v>
      </c>
      <c r="H134">
        <v>194.56299999999999</v>
      </c>
      <c r="I134">
        <v>210.2</v>
      </c>
    </row>
    <row r="135" spans="1:9" x14ac:dyDescent="0.25">
      <c r="A135" s="12">
        <v>41781</v>
      </c>
      <c r="B135">
        <v>253.96299999999999</v>
      </c>
      <c r="C135">
        <v>234.58199999999999</v>
      </c>
      <c r="E135">
        <v>172.41800000000001</v>
      </c>
      <c r="F135">
        <v>161.15600000000001</v>
      </c>
      <c r="G135">
        <v>222.203</v>
      </c>
      <c r="H135">
        <v>194.58</v>
      </c>
      <c r="I135">
        <v>210.35300000000001</v>
      </c>
    </row>
    <row r="136" spans="1:9" x14ac:dyDescent="0.25">
      <c r="A136" s="12">
        <v>41782</v>
      </c>
      <c r="B136">
        <v>254.15700000000001</v>
      </c>
      <c r="C136">
        <v>234.643</v>
      </c>
      <c r="E136">
        <v>172.65199999999999</v>
      </c>
      <c r="F136">
        <v>161.053</v>
      </c>
      <c r="G136">
        <v>222.482</v>
      </c>
      <c r="H136">
        <v>194.559</v>
      </c>
      <c r="I136">
        <v>210.792</v>
      </c>
    </row>
    <row r="137" spans="1:9" x14ac:dyDescent="0.25">
      <c r="A137" s="12">
        <v>41785</v>
      </c>
      <c r="B137">
        <v>254.56</v>
      </c>
      <c r="C137">
        <v>234.77699999999999</v>
      </c>
      <c r="E137">
        <v>173.04300000000001</v>
      </c>
      <c r="F137">
        <v>161.15199999999999</v>
      </c>
      <c r="G137">
        <v>223.12299999999999</v>
      </c>
      <c r="H137">
        <v>194.62100000000001</v>
      </c>
      <c r="I137">
        <v>211.131</v>
      </c>
    </row>
    <row r="138" spans="1:9" x14ac:dyDescent="0.25">
      <c r="A138" s="12">
        <v>41786</v>
      </c>
      <c r="B138">
        <v>254.84100000000001</v>
      </c>
      <c r="C138">
        <v>234.97300000000001</v>
      </c>
      <c r="E138">
        <v>173.32900000000001</v>
      </c>
      <c r="F138">
        <v>161.21100000000001</v>
      </c>
      <c r="G138">
        <v>223.62100000000001</v>
      </c>
      <c r="H138">
        <v>194.68199999999999</v>
      </c>
      <c r="I138">
        <v>211.42400000000001</v>
      </c>
    </row>
    <row r="139" spans="1:9" x14ac:dyDescent="0.25">
      <c r="A139" s="12">
        <v>41787</v>
      </c>
      <c r="B139">
        <v>255.28100000000001</v>
      </c>
      <c r="C139">
        <v>235.102</v>
      </c>
      <c r="E139">
        <v>173.685</v>
      </c>
      <c r="F139">
        <v>161.25399999999999</v>
      </c>
      <c r="G139">
        <v>223.81399999999999</v>
      </c>
      <c r="H139">
        <v>194.59700000000001</v>
      </c>
      <c r="I139">
        <v>211.44399999999999</v>
      </c>
    </row>
    <row r="140" spans="1:9" x14ac:dyDescent="0.25">
      <c r="A140" s="12">
        <v>41788</v>
      </c>
      <c r="B140">
        <v>255.541</v>
      </c>
      <c r="C140">
        <v>235.19800000000001</v>
      </c>
      <c r="E140">
        <v>173.821</v>
      </c>
      <c r="F140">
        <v>161.39599999999999</v>
      </c>
      <c r="G140">
        <v>223.77699999999999</v>
      </c>
      <c r="H140">
        <v>194.68700000000001</v>
      </c>
      <c r="I140">
        <v>211.726</v>
      </c>
    </row>
    <row r="141" spans="1:9" x14ac:dyDescent="0.25">
      <c r="A141" s="12">
        <v>41789</v>
      </c>
      <c r="B141">
        <v>255.67599999999999</v>
      </c>
      <c r="C141">
        <v>235.376</v>
      </c>
      <c r="E141">
        <v>174.03399999999999</v>
      </c>
      <c r="F141">
        <v>161.55699999999999</v>
      </c>
      <c r="G141">
        <v>223.988</v>
      </c>
      <c r="H141">
        <v>194.69900000000001</v>
      </c>
      <c r="I141">
        <v>211.94300000000001</v>
      </c>
    </row>
    <row r="142" spans="1:9" x14ac:dyDescent="0.25">
      <c r="A142" s="12">
        <v>41792</v>
      </c>
      <c r="B142">
        <v>255.714</v>
      </c>
      <c r="C142">
        <v>235.44399999999999</v>
      </c>
      <c r="E142">
        <v>174.10900000000001</v>
      </c>
      <c r="F142">
        <v>161.577</v>
      </c>
      <c r="G142">
        <v>224.08500000000001</v>
      </c>
      <c r="H142">
        <v>194.72200000000001</v>
      </c>
      <c r="I142">
        <v>211.86</v>
      </c>
    </row>
    <row r="143" spans="1:9" x14ac:dyDescent="0.25">
      <c r="A143" s="12">
        <v>41793</v>
      </c>
      <c r="B143">
        <v>255.79499999999999</v>
      </c>
      <c r="C143">
        <v>235.43199999999999</v>
      </c>
      <c r="E143">
        <v>173.934</v>
      </c>
      <c r="F143">
        <v>161.48099999999999</v>
      </c>
      <c r="G143">
        <v>224.21700000000001</v>
      </c>
      <c r="H143">
        <v>194.73599999999999</v>
      </c>
      <c r="I143">
        <v>212.03200000000001</v>
      </c>
    </row>
    <row r="144" spans="1:9" x14ac:dyDescent="0.25">
      <c r="A144" s="12">
        <v>41794</v>
      </c>
      <c r="B144">
        <v>255.78800000000001</v>
      </c>
      <c r="C144">
        <v>235.31800000000001</v>
      </c>
      <c r="E144">
        <v>174.24100000000001</v>
      </c>
      <c r="F144">
        <v>161.53399999999999</v>
      </c>
      <c r="G144">
        <v>224.374</v>
      </c>
      <c r="H144">
        <v>194.69200000000001</v>
      </c>
      <c r="I144">
        <v>211.96799999999999</v>
      </c>
    </row>
    <row r="145" spans="1:9" x14ac:dyDescent="0.25">
      <c r="A145" s="12">
        <v>41795</v>
      </c>
      <c r="B145">
        <v>255.482</v>
      </c>
      <c r="C145">
        <v>235.24700000000001</v>
      </c>
      <c r="E145">
        <v>173.96100000000001</v>
      </c>
      <c r="F145">
        <v>161.36000000000001</v>
      </c>
      <c r="G145">
        <v>224.166</v>
      </c>
      <c r="H145">
        <v>194.70599999999999</v>
      </c>
      <c r="I145">
        <v>211.87299999999999</v>
      </c>
    </row>
    <row r="146" spans="1:9" x14ac:dyDescent="0.25">
      <c r="A146" s="12">
        <v>41796</v>
      </c>
      <c r="B146">
        <v>255.57</v>
      </c>
      <c r="C146">
        <v>235.322</v>
      </c>
      <c r="E146">
        <v>173.95</v>
      </c>
      <c r="F146">
        <v>161.21799999999999</v>
      </c>
      <c r="G146">
        <v>224.203</v>
      </c>
      <c r="H146">
        <v>194.74100000000001</v>
      </c>
      <c r="I146">
        <v>212.232</v>
      </c>
    </row>
    <row r="147" spans="1:9" x14ac:dyDescent="0.25">
      <c r="A147" s="12">
        <v>41799</v>
      </c>
      <c r="B147">
        <v>255.88300000000001</v>
      </c>
      <c r="C147">
        <v>235.584</v>
      </c>
      <c r="E147">
        <v>174.37899999999999</v>
      </c>
      <c r="F147">
        <v>161.417</v>
      </c>
      <c r="G147">
        <v>224.505</v>
      </c>
      <c r="H147">
        <v>194.43600000000001</v>
      </c>
      <c r="I147">
        <v>213.31100000000001</v>
      </c>
    </row>
    <row r="148" spans="1:9" x14ac:dyDescent="0.25">
      <c r="A148" s="12">
        <v>41800</v>
      </c>
      <c r="B148">
        <v>256.512</v>
      </c>
      <c r="C148">
        <v>236.06</v>
      </c>
      <c r="E148">
        <v>175.10599999999999</v>
      </c>
      <c r="F148">
        <v>161.898</v>
      </c>
      <c r="G148">
        <v>225.58799999999999</v>
      </c>
      <c r="H148">
        <v>195.32</v>
      </c>
      <c r="I148">
        <v>213.77199999999999</v>
      </c>
    </row>
    <row r="149" spans="1:9" x14ac:dyDescent="0.25">
      <c r="A149" s="12">
        <v>41801</v>
      </c>
      <c r="B149">
        <v>256.80900000000003</v>
      </c>
      <c r="C149">
        <v>236.36</v>
      </c>
      <c r="E149">
        <v>175.48400000000001</v>
      </c>
      <c r="F149">
        <v>161.91300000000001</v>
      </c>
      <c r="G149">
        <v>226.03899999999999</v>
      </c>
      <c r="H149">
        <v>195.49100000000001</v>
      </c>
      <c r="I149">
        <v>214.119</v>
      </c>
    </row>
    <row r="150" spans="1:9" x14ac:dyDescent="0.25">
      <c r="A150" s="12">
        <v>41802</v>
      </c>
      <c r="B150">
        <v>256.95999999999998</v>
      </c>
      <c r="C150">
        <v>236.47900000000001</v>
      </c>
      <c r="E150">
        <v>175.60499999999999</v>
      </c>
      <c r="F150">
        <v>161.84</v>
      </c>
      <c r="G150">
        <v>226.50299999999999</v>
      </c>
      <c r="H150">
        <v>195.577</v>
      </c>
      <c r="I150">
        <v>214.06800000000001</v>
      </c>
    </row>
    <row r="151" spans="1:9" x14ac:dyDescent="0.25">
      <c r="A151" s="12">
        <v>41803</v>
      </c>
      <c r="B151">
        <v>256.77</v>
      </c>
      <c r="C151">
        <v>236.47300000000001</v>
      </c>
      <c r="E151">
        <v>175.44800000000001</v>
      </c>
      <c r="F151">
        <v>161.87799999999999</v>
      </c>
      <c r="G151">
        <v>226.28899999999999</v>
      </c>
      <c r="H151">
        <v>195.55600000000001</v>
      </c>
      <c r="I151">
        <v>214.03800000000001</v>
      </c>
    </row>
    <row r="152" spans="1:9" x14ac:dyDescent="0.25">
      <c r="A152" s="12">
        <v>41806</v>
      </c>
      <c r="B152">
        <v>256.87400000000002</v>
      </c>
      <c r="C152">
        <v>236.51</v>
      </c>
      <c r="E152">
        <v>175.31100000000001</v>
      </c>
      <c r="F152">
        <v>161.887</v>
      </c>
      <c r="G152">
        <v>226.38800000000001</v>
      </c>
      <c r="H152">
        <v>195.55</v>
      </c>
      <c r="I152">
        <v>213.881</v>
      </c>
    </row>
    <row r="153" spans="1:9" x14ac:dyDescent="0.25">
      <c r="A153" s="12">
        <v>41807</v>
      </c>
      <c r="B153">
        <v>256.62799999999999</v>
      </c>
      <c r="C153">
        <v>236.529</v>
      </c>
      <c r="E153">
        <v>175.327</v>
      </c>
      <c r="F153">
        <v>162.03899999999999</v>
      </c>
      <c r="G153">
        <v>226.077</v>
      </c>
      <c r="H153">
        <v>195.58</v>
      </c>
      <c r="I153">
        <v>213.57400000000001</v>
      </c>
    </row>
    <row r="154" spans="1:9" x14ac:dyDescent="0.25">
      <c r="A154" s="12">
        <v>41808</v>
      </c>
      <c r="B154">
        <v>256.73099999999999</v>
      </c>
      <c r="C154">
        <v>236.36099999999999</v>
      </c>
      <c r="E154">
        <v>174.97399999999999</v>
      </c>
      <c r="F154">
        <v>162.018</v>
      </c>
      <c r="G154">
        <v>225.90299999999999</v>
      </c>
      <c r="H154">
        <v>195.55799999999999</v>
      </c>
      <c r="I154">
        <v>213.56299999999999</v>
      </c>
    </row>
    <row r="155" spans="1:9" x14ac:dyDescent="0.25">
      <c r="A155" s="12">
        <v>41809</v>
      </c>
      <c r="B155">
        <v>256.73200000000003</v>
      </c>
      <c r="C155">
        <v>236.22300000000001</v>
      </c>
      <c r="E155">
        <v>175.102</v>
      </c>
      <c r="F155">
        <v>161.78899999999999</v>
      </c>
      <c r="G155">
        <v>225.917</v>
      </c>
      <c r="H155">
        <v>195.46799999999999</v>
      </c>
      <c r="I155">
        <v>213.672</v>
      </c>
    </row>
    <row r="156" spans="1:9" x14ac:dyDescent="0.25">
      <c r="A156" s="12">
        <v>41810</v>
      </c>
      <c r="B156">
        <v>256.738</v>
      </c>
      <c r="C156">
        <v>236.17400000000001</v>
      </c>
      <c r="E156">
        <v>175.089</v>
      </c>
      <c r="F156">
        <v>161.84700000000001</v>
      </c>
      <c r="G156">
        <v>225.98699999999999</v>
      </c>
      <c r="H156">
        <v>195.381</v>
      </c>
      <c r="I156">
        <v>214.25</v>
      </c>
    </row>
    <row r="157" spans="1:9" x14ac:dyDescent="0.25">
      <c r="A157" s="12">
        <v>41815</v>
      </c>
      <c r="B157">
        <v>257.09899999999999</v>
      </c>
      <c r="C157">
        <v>236.28399999999999</v>
      </c>
      <c r="E157">
        <v>175.61199999999999</v>
      </c>
      <c r="F157">
        <v>162.05000000000001</v>
      </c>
      <c r="G157">
        <v>226.48099999999999</v>
      </c>
      <c r="H157">
        <v>195.46600000000001</v>
      </c>
      <c r="I157">
        <v>214.30600000000001</v>
      </c>
    </row>
    <row r="158" spans="1:9" x14ac:dyDescent="0.25">
      <c r="A158" s="12">
        <v>41816</v>
      </c>
      <c r="B158">
        <v>256.74</v>
      </c>
      <c r="C158">
        <v>236.417</v>
      </c>
      <c r="E158">
        <v>175.66800000000001</v>
      </c>
      <c r="F158">
        <v>162.15600000000001</v>
      </c>
      <c r="G158">
        <v>226.405</v>
      </c>
      <c r="H158">
        <v>195.49199999999999</v>
      </c>
      <c r="I158">
        <v>213.57900000000001</v>
      </c>
    </row>
    <row r="159" spans="1:9" x14ac:dyDescent="0.25">
      <c r="A159" s="12">
        <v>41817</v>
      </c>
      <c r="B159">
        <v>256.64</v>
      </c>
      <c r="C159">
        <v>236.55799999999999</v>
      </c>
      <c r="E159">
        <v>174.87799999999999</v>
      </c>
      <c r="F159">
        <v>161.81800000000001</v>
      </c>
      <c r="G159">
        <v>225.97800000000001</v>
      </c>
      <c r="H159">
        <v>195.35599999999999</v>
      </c>
      <c r="I159">
        <v>213.791</v>
      </c>
    </row>
    <row r="160" spans="1:9" x14ac:dyDescent="0.25">
      <c r="A160" s="12">
        <v>41820</v>
      </c>
      <c r="B160">
        <v>256.50200000000001</v>
      </c>
      <c r="C160">
        <v>236.56299999999999</v>
      </c>
      <c r="E160">
        <v>174.96299999999999</v>
      </c>
      <c r="F160">
        <v>161.87799999999999</v>
      </c>
      <c r="G160">
        <v>226.03399999999999</v>
      </c>
      <c r="H160">
        <v>195.50700000000001</v>
      </c>
      <c r="I160">
        <v>213.751</v>
      </c>
    </row>
    <row r="161" spans="1:9" x14ac:dyDescent="0.25">
      <c r="A161" s="12">
        <v>41821</v>
      </c>
      <c r="B161">
        <v>256.524</v>
      </c>
      <c r="C161">
        <v>236.45</v>
      </c>
      <c r="E161">
        <v>174.93</v>
      </c>
      <c r="F161">
        <v>161.774</v>
      </c>
      <c r="G161">
        <v>225.91200000000001</v>
      </c>
      <c r="H161">
        <v>195.452</v>
      </c>
      <c r="I161">
        <v>213.63900000000001</v>
      </c>
    </row>
    <row r="162" spans="1:9" x14ac:dyDescent="0.25">
      <c r="A162" s="12">
        <v>41823</v>
      </c>
      <c r="B162">
        <v>256.923</v>
      </c>
      <c r="C162">
        <v>236.48</v>
      </c>
      <c r="E162">
        <v>175.393</v>
      </c>
      <c r="F162">
        <v>161.79599999999999</v>
      </c>
      <c r="G162">
        <v>225.905</v>
      </c>
      <c r="H162">
        <v>195.33799999999999</v>
      </c>
      <c r="I162">
        <v>214.34899999999999</v>
      </c>
    </row>
    <row r="163" spans="1:9" x14ac:dyDescent="0.25">
      <c r="A163" s="12">
        <v>41824</v>
      </c>
      <c r="B163">
        <v>257.01100000000002</v>
      </c>
      <c r="C163">
        <v>236.32900000000001</v>
      </c>
      <c r="E163">
        <v>175.56800000000001</v>
      </c>
      <c r="F163">
        <v>161.678</v>
      </c>
      <c r="G163">
        <v>226.36600000000001</v>
      </c>
      <c r="H163">
        <v>195.38300000000001</v>
      </c>
      <c r="I163">
        <v>214.62299999999999</v>
      </c>
    </row>
    <row r="164" spans="1:9" x14ac:dyDescent="0.25">
      <c r="A164" s="12">
        <v>41827</v>
      </c>
      <c r="B164">
        <v>257.339</v>
      </c>
      <c r="C164">
        <v>236.43100000000001</v>
      </c>
      <c r="E164">
        <v>176.136</v>
      </c>
      <c r="F164">
        <v>161.649</v>
      </c>
      <c r="G164">
        <v>226.768</v>
      </c>
      <c r="H164">
        <v>195.37899999999999</v>
      </c>
      <c r="I164">
        <v>214.85499999999999</v>
      </c>
    </row>
    <row r="165" spans="1:9" x14ac:dyDescent="0.25">
      <c r="A165" s="12">
        <v>41828</v>
      </c>
      <c r="B165">
        <v>257.51499999999999</v>
      </c>
      <c r="C165">
        <v>236.48400000000001</v>
      </c>
      <c r="E165">
        <v>176.14400000000001</v>
      </c>
      <c r="F165">
        <v>161.76900000000001</v>
      </c>
      <c r="G165">
        <v>226.91900000000001</v>
      </c>
      <c r="H165">
        <v>195.501</v>
      </c>
      <c r="I165">
        <v>214.65899999999999</v>
      </c>
    </row>
    <row r="166" spans="1:9" x14ac:dyDescent="0.25">
      <c r="A166" s="12">
        <v>41829</v>
      </c>
      <c r="B166">
        <v>257.29199999999997</v>
      </c>
      <c r="C166">
        <v>236.631</v>
      </c>
      <c r="E166">
        <v>175.786</v>
      </c>
      <c r="F166">
        <v>161.822</v>
      </c>
      <c r="G166">
        <v>226.69399999999999</v>
      </c>
      <c r="H166">
        <v>195.52099999999999</v>
      </c>
      <c r="I166">
        <v>214.26599999999999</v>
      </c>
    </row>
    <row r="167" spans="1:9" x14ac:dyDescent="0.25">
      <c r="A167" s="12">
        <v>41830</v>
      </c>
      <c r="B167">
        <v>256.79199999999997</v>
      </c>
      <c r="C167">
        <v>236.64400000000001</v>
      </c>
      <c r="E167">
        <v>175.179</v>
      </c>
      <c r="F167">
        <v>161.94</v>
      </c>
      <c r="G167">
        <v>226.126</v>
      </c>
      <c r="H167">
        <v>195.54400000000001</v>
      </c>
      <c r="I167">
        <v>214.11500000000001</v>
      </c>
    </row>
    <row r="168" spans="1:9" x14ac:dyDescent="0.25">
      <c r="A168" s="12">
        <v>41831</v>
      </c>
      <c r="B168">
        <v>256.524</v>
      </c>
      <c r="C168">
        <v>236.626</v>
      </c>
      <c r="E168">
        <v>175.179</v>
      </c>
      <c r="F168">
        <v>161.87</v>
      </c>
      <c r="G168">
        <v>225.81700000000001</v>
      </c>
      <c r="H168">
        <v>195.524</v>
      </c>
      <c r="I168">
        <v>213.816</v>
      </c>
    </row>
    <row r="169" spans="1:9" x14ac:dyDescent="0.25">
      <c r="A169" s="12">
        <v>41834</v>
      </c>
      <c r="B169">
        <v>256.16399999999999</v>
      </c>
      <c r="C169">
        <v>236.72399999999999</v>
      </c>
      <c r="E169">
        <v>174.73599999999999</v>
      </c>
      <c r="F169">
        <v>161.90600000000001</v>
      </c>
      <c r="G169">
        <v>225.37700000000001</v>
      </c>
      <c r="H169">
        <v>195.548</v>
      </c>
      <c r="I169">
        <v>213.80600000000001</v>
      </c>
    </row>
    <row r="170" spans="1:9" x14ac:dyDescent="0.25">
      <c r="A170" s="12">
        <v>41835</v>
      </c>
      <c r="B170">
        <v>256.21899999999999</v>
      </c>
      <c r="C170">
        <v>236.62700000000001</v>
      </c>
      <c r="E170">
        <v>174.82</v>
      </c>
      <c r="F170">
        <v>161.893</v>
      </c>
      <c r="G170">
        <v>225.322</v>
      </c>
      <c r="H170">
        <v>195.506</v>
      </c>
      <c r="I170">
        <v>214.185</v>
      </c>
    </row>
    <row r="171" spans="1:9" x14ac:dyDescent="0.25">
      <c r="A171" s="12">
        <v>41836</v>
      </c>
      <c r="B171">
        <v>256.54399999999998</v>
      </c>
      <c r="C171">
        <v>236.64599999999999</v>
      </c>
      <c r="E171">
        <v>175.34899999999999</v>
      </c>
      <c r="F171">
        <v>161.88399999999999</v>
      </c>
      <c r="G171">
        <v>225.624</v>
      </c>
      <c r="H171">
        <v>195.52</v>
      </c>
      <c r="I171">
        <v>214.20699999999999</v>
      </c>
    </row>
    <row r="172" spans="1:9" x14ac:dyDescent="0.25">
      <c r="A172" s="12">
        <v>41837</v>
      </c>
      <c r="B172">
        <v>256.495</v>
      </c>
      <c r="C172">
        <v>236.72300000000001</v>
      </c>
      <c r="E172">
        <v>175.232</v>
      </c>
      <c r="F172">
        <v>161.91</v>
      </c>
      <c r="G172">
        <v>225.78899999999999</v>
      </c>
      <c r="H172">
        <v>195.62299999999999</v>
      </c>
      <c r="I172">
        <v>214.709</v>
      </c>
    </row>
    <row r="173" spans="1:9" x14ac:dyDescent="0.25">
      <c r="A173" s="12">
        <v>41838</v>
      </c>
      <c r="B173">
        <v>256.73</v>
      </c>
      <c r="C173">
        <v>236.65700000000001</v>
      </c>
      <c r="E173">
        <v>175.87799999999999</v>
      </c>
      <c r="F173">
        <v>161.99100000000001</v>
      </c>
      <c r="G173">
        <v>226.12799999999999</v>
      </c>
      <c r="H173">
        <v>195.619</v>
      </c>
      <c r="I173">
        <v>214.47399999999999</v>
      </c>
    </row>
    <row r="174" spans="1:9" x14ac:dyDescent="0.25">
      <c r="A174" s="12">
        <v>41841</v>
      </c>
      <c r="B174">
        <v>256.589</v>
      </c>
      <c r="C174">
        <v>236.602</v>
      </c>
      <c r="E174">
        <v>175.65199999999999</v>
      </c>
      <c r="F174">
        <v>162.36500000000001</v>
      </c>
      <c r="G174">
        <v>225.774</v>
      </c>
      <c r="H174">
        <v>195.60599999999999</v>
      </c>
      <c r="I174">
        <v>214.351</v>
      </c>
    </row>
    <row r="175" spans="1:9" x14ac:dyDescent="0.25">
      <c r="A175" s="12">
        <v>41842</v>
      </c>
      <c r="B175">
        <v>256.23599999999999</v>
      </c>
      <c r="C175">
        <v>236.54499999999999</v>
      </c>
      <c r="E175">
        <v>175.73500000000001</v>
      </c>
      <c r="F175">
        <v>162.55000000000001</v>
      </c>
      <c r="G175">
        <v>225.51599999999999</v>
      </c>
      <c r="H175">
        <v>195.59899999999999</v>
      </c>
      <c r="I175">
        <v>214.208</v>
      </c>
    </row>
    <row r="176" spans="1:9" x14ac:dyDescent="0.25">
      <c r="A176" s="12">
        <v>41843</v>
      </c>
      <c r="B176">
        <v>256.29500000000002</v>
      </c>
      <c r="C176">
        <v>236.595</v>
      </c>
      <c r="E176">
        <v>175.47800000000001</v>
      </c>
      <c r="F176">
        <v>162.57900000000001</v>
      </c>
      <c r="G176">
        <v>225.58500000000001</v>
      </c>
      <c r="H176">
        <v>195.648</v>
      </c>
      <c r="I176">
        <v>214.785</v>
      </c>
    </row>
    <row r="177" spans="1:9" x14ac:dyDescent="0.25">
      <c r="A177" s="12">
        <v>41844</v>
      </c>
      <c r="B177">
        <v>256.95699999999999</v>
      </c>
      <c r="C177">
        <v>236.739</v>
      </c>
      <c r="E177">
        <v>176.42699999999999</v>
      </c>
      <c r="F177">
        <v>162.596</v>
      </c>
      <c r="G177">
        <v>226.208</v>
      </c>
      <c r="H177">
        <v>195.691</v>
      </c>
      <c r="I177">
        <v>215.131</v>
      </c>
    </row>
    <row r="178" spans="1:9" x14ac:dyDescent="0.25">
      <c r="A178" s="12">
        <v>41845</v>
      </c>
      <c r="B178">
        <v>257.27699999999999</v>
      </c>
      <c r="C178">
        <v>236.90199999999999</v>
      </c>
      <c r="E178">
        <v>176.56299999999999</v>
      </c>
      <c r="F178">
        <v>162.72900000000001</v>
      </c>
      <c r="G178">
        <v>226.57400000000001</v>
      </c>
      <c r="H178">
        <v>195.72900000000001</v>
      </c>
      <c r="I178">
        <v>215.39099999999999</v>
      </c>
    </row>
    <row r="179" spans="1:9" x14ac:dyDescent="0.25">
      <c r="A179" s="12">
        <v>41848</v>
      </c>
      <c r="B179">
        <v>257.33</v>
      </c>
      <c r="C179">
        <v>236.84700000000001</v>
      </c>
      <c r="E179">
        <v>176.727</v>
      </c>
      <c r="F179">
        <v>162.67099999999999</v>
      </c>
      <c r="G179">
        <v>226.608</v>
      </c>
      <c r="H179">
        <v>195.78299999999999</v>
      </c>
      <c r="I179">
        <v>215.142</v>
      </c>
    </row>
    <row r="180" spans="1:9" x14ac:dyDescent="0.25">
      <c r="A180" s="12">
        <v>41849</v>
      </c>
      <c r="B180">
        <v>257.10700000000003</v>
      </c>
      <c r="C180">
        <v>236.798</v>
      </c>
      <c r="E180">
        <v>176.358</v>
      </c>
      <c r="F180">
        <v>162.78</v>
      </c>
      <c r="G180">
        <v>226.39099999999999</v>
      </c>
      <c r="H180">
        <v>195.81299999999999</v>
      </c>
      <c r="I180">
        <v>215.018</v>
      </c>
    </row>
    <row r="181" spans="1:9" x14ac:dyDescent="0.25">
      <c r="A181" s="12">
        <v>41850</v>
      </c>
      <c r="B181">
        <v>256.77699999999999</v>
      </c>
      <c r="C181">
        <v>236.774</v>
      </c>
      <c r="E181">
        <v>176.41200000000001</v>
      </c>
      <c r="F181">
        <v>162.785</v>
      </c>
      <c r="G181">
        <v>226.16300000000001</v>
      </c>
      <c r="H181">
        <v>195.827</v>
      </c>
      <c r="I181">
        <v>215.416</v>
      </c>
    </row>
    <row r="182" spans="1:9" x14ac:dyDescent="0.25">
      <c r="A182" s="12">
        <v>41851</v>
      </c>
      <c r="B182">
        <v>256.89299999999997</v>
      </c>
      <c r="C182">
        <v>236.72900000000001</v>
      </c>
      <c r="E182">
        <v>176.512</v>
      </c>
      <c r="F182">
        <v>162.857</v>
      </c>
      <c r="G182">
        <v>226.22</v>
      </c>
      <c r="H182">
        <v>196.02</v>
      </c>
      <c r="I182">
        <v>215.315</v>
      </c>
    </row>
    <row r="183" spans="1:9" x14ac:dyDescent="0.25">
      <c r="A183" s="12">
        <v>41852</v>
      </c>
      <c r="B183">
        <v>256.50299999999999</v>
      </c>
      <c r="C183">
        <v>236.57400000000001</v>
      </c>
      <c r="E183">
        <v>176.244</v>
      </c>
      <c r="F183">
        <v>162.68100000000001</v>
      </c>
      <c r="G183">
        <v>226.06700000000001</v>
      </c>
      <c r="H183">
        <v>196.001</v>
      </c>
      <c r="I183">
        <v>214.47499999999999</v>
      </c>
    </row>
    <row r="184" spans="1:9" x14ac:dyDescent="0.25">
      <c r="A184" s="12">
        <v>41855</v>
      </c>
      <c r="B184">
        <v>255.273</v>
      </c>
      <c r="C184">
        <v>236.297</v>
      </c>
      <c r="E184">
        <v>175.14599999999999</v>
      </c>
      <c r="F184">
        <v>162.55600000000001</v>
      </c>
      <c r="G184">
        <v>225.34899999999999</v>
      </c>
      <c r="H184">
        <v>195.898</v>
      </c>
      <c r="I184">
        <v>213.31899999999999</v>
      </c>
    </row>
    <row r="185" spans="1:9" x14ac:dyDescent="0.25">
      <c r="A185" s="12">
        <v>41856</v>
      </c>
      <c r="B185">
        <v>254.22399999999999</v>
      </c>
      <c r="C185">
        <v>236.12</v>
      </c>
      <c r="E185">
        <v>174.19800000000001</v>
      </c>
      <c r="F185">
        <v>162.34</v>
      </c>
      <c r="G185">
        <v>224.29300000000001</v>
      </c>
      <c r="H185">
        <v>195.715</v>
      </c>
      <c r="I185">
        <v>213.36600000000001</v>
      </c>
    </row>
    <row r="186" spans="1:9" x14ac:dyDescent="0.25">
      <c r="A186" s="12">
        <v>41857</v>
      </c>
      <c r="B186">
        <v>254.31800000000001</v>
      </c>
      <c r="C186">
        <v>236.14699999999999</v>
      </c>
      <c r="E186">
        <v>174.31</v>
      </c>
      <c r="F186">
        <v>162.40100000000001</v>
      </c>
      <c r="G186">
        <v>224.44</v>
      </c>
      <c r="H186">
        <v>195.81299999999999</v>
      </c>
      <c r="I186">
        <v>213.49600000000001</v>
      </c>
    </row>
    <row r="187" spans="1:9" x14ac:dyDescent="0.25">
      <c r="A187" s="12">
        <v>41858</v>
      </c>
      <c r="B187">
        <v>253.977</v>
      </c>
      <c r="C187">
        <v>235.947</v>
      </c>
      <c r="E187">
        <v>174.43299999999999</v>
      </c>
      <c r="F187">
        <v>162.25700000000001</v>
      </c>
      <c r="G187">
        <v>224.42400000000001</v>
      </c>
      <c r="H187">
        <v>195.79599999999999</v>
      </c>
      <c r="I187">
        <v>212.96299999999999</v>
      </c>
    </row>
    <row r="188" spans="1:9" x14ac:dyDescent="0.25">
      <c r="A188" s="12">
        <v>41859</v>
      </c>
      <c r="B188">
        <v>253.251</v>
      </c>
      <c r="C188">
        <v>235.696</v>
      </c>
      <c r="E188">
        <v>174.14</v>
      </c>
      <c r="F188">
        <v>162.381</v>
      </c>
      <c r="G188">
        <v>223.756</v>
      </c>
      <c r="H188">
        <v>195.648</v>
      </c>
      <c r="I188">
        <v>212.739</v>
      </c>
    </row>
    <row r="189" spans="1:9" x14ac:dyDescent="0.25">
      <c r="A189" s="12">
        <v>41862</v>
      </c>
      <c r="B189">
        <v>253.12100000000001</v>
      </c>
      <c r="C189">
        <v>235.43600000000001</v>
      </c>
      <c r="E189">
        <v>173.761</v>
      </c>
      <c r="F189">
        <v>162.42599999999999</v>
      </c>
      <c r="G189">
        <v>223.523</v>
      </c>
      <c r="H189">
        <v>195.59299999999999</v>
      </c>
      <c r="I189">
        <v>212.17099999999999</v>
      </c>
    </row>
    <row r="190" spans="1:9" x14ac:dyDescent="0.25">
      <c r="A190" s="12">
        <v>41863</v>
      </c>
      <c r="B190">
        <v>252.97300000000001</v>
      </c>
      <c r="C190">
        <v>235.584</v>
      </c>
      <c r="E190">
        <v>173.31700000000001</v>
      </c>
      <c r="F190">
        <v>162.381</v>
      </c>
      <c r="G190">
        <v>222.92500000000001</v>
      </c>
      <c r="H190">
        <v>195.37200000000001</v>
      </c>
      <c r="I190">
        <v>212.88</v>
      </c>
    </row>
    <row r="191" spans="1:9" x14ac:dyDescent="0.25">
      <c r="A191" s="12">
        <v>41864</v>
      </c>
      <c r="B191">
        <v>254.172</v>
      </c>
      <c r="C191">
        <v>235.858</v>
      </c>
      <c r="E191">
        <v>174.47200000000001</v>
      </c>
      <c r="F191">
        <v>162.518</v>
      </c>
      <c r="G191">
        <v>223.96700000000001</v>
      </c>
      <c r="H191">
        <v>195.649</v>
      </c>
      <c r="I191">
        <v>213.107</v>
      </c>
    </row>
    <row r="192" spans="1:9" x14ac:dyDescent="0.25">
      <c r="A192" s="12">
        <v>41865</v>
      </c>
      <c r="B192">
        <v>254.34800000000001</v>
      </c>
      <c r="C192">
        <v>236.065</v>
      </c>
      <c r="E192">
        <v>174.423</v>
      </c>
      <c r="F192">
        <v>162.62</v>
      </c>
      <c r="G192">
        <v>224.07</v>
      </c>
      <c r="H192">
        <v>195.69200000000001</v>
      </c>
      <c r="I192">
        <v>213.32</v>
      </c>
    </row>
    <row r="193" spans="1:9" x14ac:dyDescent="0.25">
      <c r="A193" s="12">
        <v>41866</v>
      </c>
      <c r="B193">
        <v>254.512</v>
      </c>
      <c r="C193">
        <v>236.26</v>
      </c>
      <c r="E193">
        <v>174.994</v>
      </c>
      <c r="F193">
        <v>162.78200000000001</v>
      </c>
      <c r="G193">
        <v>224.393</v>
      </c>
      <c r="H193">
        <v>195.71799999999999</v>
      </c>
      <c r="I193">
        <v>213.53700000000001</v>
      </c>
    </row>
    <row r="194" spans="1:9" x14ac:dyDescent="0.25">
      <c r="A194" s="12">
        <v>41869</v>
      </c>
      <c r="B194">
        <v>255.06299999999999</v>
      </c>
      <c r="C194">
        <v>236.46700000000001</v>
      </c>
      <c r="E194">
        <v>175.18299999999999</v>
      </c>
      <c r="F194">
        <v>162.96199999999999</v>
      </c>
      <c r="G194">
        <v>224.74299999999999</v>
      </c>
      <c r="H194">
        <v>195.80199999999999</v>
      </c>
      <c r="I194">
        <v>213.7</v>
      </c>
    </row>
    <row r="195" spans="1:9" x14ac:dyDescent="0.25">
      <c r="A195" s="12">
        <v>41870</v>
      </c>
      <c r="B195">
        <v>255.25200000000001</v>
      </c>
      <c r="C195">
        <v>236.58699999999999</v>
      </c>
      <c r="E195">
        <v>175.001</v>
      </c>
      <c r="F195">
        <v>163.12899999999999</v>
      </c>
      <c r="G195">
        <v>224.911</v>
      </c>
      <c r="H195">
        <v>195.892</v>
      </c>
      <c r="I195">
        <v>214.11699999999999</v>
      </c>
    </row>
    <row r="196" spans="1:9" x14ac:dyDescent="0.25">
      <c r="A196" s="12">
        <v>41871</v>
      </c>
      <c r="B196">
        <v>255.65600000000001</v>
      </c>
      <c r="C196">
        <v>236.76900000000001</v>
      </c>
      <c r="E196">
        <v>175.90600000000001</v>
      </c>
      <c r="F196">
        <v>163.07400000000001</v>
      </c>
      <c r="G196">
        <v>225.34</v>
      </c>
      <c r="H196">
        <v>195.946</v>
      </c>
      <c r="I196">
        <v>214.60400000000001</v>
      </c>
    </row>
    <row r="197" spans="1:9" x14ac:dyDescent="0.25">
      <c r="A197" s="12">
        <v>41872</v>
      </c>
      <c r="B197">
        <v>256.303</v>
      </c>
      <c r="C197">
        <v>236.96799999999999</v>
      </c>
      <c r="E197">
        <v>176.54</v>
      </c>
      <c r="F197">
        <v>163.21799999999999</v>
      </c>
      <c r="G197">
        <v>226.03100000000001</v>
      </c>
      <c r="H197">
        <v>196.06299999999999</v>
      </c>
      <c r="I197">
        <v>214.767</v>
      </c>
    </row>
    <row r="198" spans="1:9" x14ac:dyDescent="0.25">
      <c r="A198" s="12">
        <v>41873</v>
      </c>
      <c r="B198">
        <v>256.35300000000001</v>
      </c>
      <c r="C198">
        <v>237.01400000000001</v>
      </c>
      <c r="E198">
        <v>176.60400000000001</v>
      </c>
      <c r="F198">
        <v>163.10300000000001</v>
      </c>
      <c r="G198">
        <v>226.327</v>
      </c>
      <c r="H198">
        <v>196.09899999999999</v>
      </c>
      <c r="I198">
        <v>215.00800000000001</v>
      </c>
    </row>
    <row r="199" spans="1:9" x14ac:dyDescent="0.25">
      <c r="A199" s="12">
        <v>41876</v>
      </c>
      <c r="B199">
        <v>256.52600000000001</v>
      </c>
      <c r="C199">
        <v>237.03</v>
      </c>
      <c r="E199">
        <v>176.92699999999999</v>
      </c>
      <c r="F199">
        <v>163.13499999999999</v>
      </c>
      <c r="G199">
        <v>226.596</v>
      </c>
      <c r="H199">
        <v>196.08500000000001</v>
      </c>
      <c r="I199">
        <v>214.97300000000001</v>
      </c>
    </row>
    <row r="200" spans="1:9" x14ac:dyDescent="0.25">
      <c r="A200" s="12">
        <v>41877</v>
      </c>
      <c r="B200">
        <v>256.67399999999998</v>
      </c>
      <c r="C200">
        <v>237.179</v>
      </c>
      <c r="E200">
        <v>176.93700000000001</v>
      </c>
      <c r="F200">
        <v>163.19200000000001</v>
      </c>
      <c r="G200">
        <v>226.55699999999999</v>
      </c>
      <c r="H200">
        <v>195.96899999999999</v>
      </c>
      <c r="I200">
        <v>215.41300000000001</v>
      </c>
    </row>
    <row r="201" spans="1:9" x14ac:dyDescent="0.25">
      <c r="A201" s="12">
        <v>41878</v>
      </c>
      <c r="B201">
        <v>257.209</v>
      </c>
      <c r="C201">
        <v>237.245</v>
      </c>
      <c r="E201">
        <v>177.82599999999999</v>
      </c>
      <c r="F201">
        <v>163.429</v>
      </c>
      <c r="G201">
        <v>226.982</v>
      </c>
      <c r="H201">
        <v>196.11</v>
      </c>
      <c r="I201">
        <v>215.92</v>
      </c>
    </row>
    <row r="202" spans="1:9" x14ac:dyDescent="0.25">
      <c r="A202" s="12">
        <v>41879</v>
      </c>
      <c r="B202">
        <v>257.68099999999998</v>
      </c>
      <c r="C202">
        <v>237.40700000000001</v>
      </c>
      <c r="E202">
        <v>178.13900000000001</v>
      </c>
      <c r="F202">
        <v>163.53899999999999</v>
      </c>
      <c r="G202">
        <v>227.59700000000001</v>
      </c>
      <c r="H202">
        <v>196.27500000000001</v>
      </c>
      <c r="I202">
        <v>216.21299999999999</v>
      </c>
    </row>
    <row r="203" spans="1:9" x14ac:dyDescent="0.25">
      <c r="A203" s="12">
        <v>41880</v>
      </c>
      <c r="B203">
        <v>257.83499999999998</v>
      </c>
      <c r="C203">
        <v>237.49799999999999</v>
      </c>
      <c r="E203">
        <v>178.17599999999999</v>
      </c>
      <c r="F203">
        <v>163.66800000000001</v>
      </c>
      <c r="G203">
        <v>227.72399999999999</v>
      </c>
      <c r="H203">
        <v>196.36199999999999</v>
      </c>
      <c r="I203">
        <v>215.93700000000001</v>
      </c>
    </row>
    <row r="204" spans="1:9" x14ac:dyDescent="0.25">
      <c r="A204" s="12">
        <v>41883</v>
      </c>
      <c r="B204">
        <v>257.44499999999999</v>
      </c>
      <c r="C204">
        <v>237.441</v>
      </c>
      <c r="E204">
        <v>177.85300000000001</v>
      </c>
      <c r="F204">
        <v>163.69200000000001</v>
      </c>
      <c r="G204">
        <v>227.42400000000001</v>
      </c>
      <c r="H204">
        <v>196.35400000000001</v>
      </c>
      <c r="I204">
        <v>216.02</v>
      </c>
    </row>
    <row r="205" spans="1:9" x14ac:dyDescent="0.25">
      <c r="A205" s="12">
        <v>41884</v>
      </c>
      <c r="B205">
        <v>257.59500000000003</v>
      </c>
      <c r="C205">
        <v>237.517</v>
      </c>
      <c r="E205">
        <v>178.108</v>
      </c>
      <c r="F205">
        <v>163.703</v>
      </c>
      <c r="G205">
        <v>227.54300000000001</v>
      </c>
      <c r="H205">
        <v>196.42099999999999</v>
      </c>
      <c r="I205">
        <v>216.27199999999999</v>
      </c>
    </row>
    <row r="206" spans="1:9" x14ac:dyDescent="0.25">
      <c r="A206" s="12">
        <v>41885</v>
      </c>
      <c r="B206">
        <v>257.702</v>
      </c>
      <c r="C206">
        <v>237.523</v>
      </c>
      <c r="E206">
        <v>178.26900000000001</v>
      </c>
      <c r="F206">
        <v>163.745</v>
      </c>
      <c r="G206">
        <v>227.78100000000001</v>
      </c>
      <c r="H206">
        <v>196.45099999999999</v>
      </c>
      <c r="I206">
        <v>216.226</v>
      </c>
    </row>
    <row r="207" spans="1:9" x14ac:dyDescent="0.25">
      <c r="A207" s="12">
        <v>41886</v>
      </c>
      <c r="B207">
        <v>257.59399999999999</v>
      </c>
      <c r="C207">
        <v>237.39</v>
      </c>
      <c r="E207">
        <v>178.16800000000001</v>
      </c>
      <c r="F207">
        <v>163.56299999999999</v>
      </c>
      <c r="G207">
        <v>227.75</v>
      </c>
      <c r="H207">
        <v>196.39400000000001</v>
      </c>
      <c r="I207">
        <v>216.71600000000001</v>
      </c>
    </row>
    <row r="208" spans="1:9" x14ac:dyDescent="0.25">
      <c r="A208" s="12">
        <v>41887</v>
      </c>
      <c r="B208">
        <v>258.38</v>
      </c>
      <c r="C208">
        <v>237.702</v>
      </c>
      <c r="E208">
        <v>178.69900000000001</v>
      </c>
      <c r="F208">
        <v>163.55000000000001</v>
      </c>
      <c r="G208">
        <v>228.43100000000001</v>
      </c>
      <c r="H208">
        <v>196.6</v>
      </c>
      <c r="I208">
        <v>217.78299999999999</v>
      </c>
    </row>
    <row r="209" spans="1:9" x14ac:dyDescent="0.25">
      <c r="A209" s="12">
        <v>41890</v>
      </c>
      <c r="B209">
        <v>258.81599999999997</v>
      </c>
      <c r="C209">
        <v>238.16399999999999</v>
      </c>
      <c r="E209">
        <v>179.745</v>
      </c>
      <c r="F209">
        <v>163.83699999999999</v>
      </c>
      <c r="G209">
        <v>229.28399999999999</v>
      </c>
      <c r="H209">
        <v>196.904</v>
      </c>
      <c r="I209">
        <v>217.65199999999999</v>
      </c>
    </row>
    <row r="210" spans="1:9" x14ac:dyDescent="0.25">
      <c r="A210" s="12">
        <v>41891</v>
      </c>
      <c r="B210">
        <v>258.84699999999998</v>
      </c>
      <c r="C210">
        <v>238.286</v>
      </c>
      <c r="E210">
        <v>179.518</v>
      </c>
      <c r="F210">
        <v>163.947</v>
      </c>
      <c r="G210">
        <v>229.42500000000001</v>
      </c>
      <c r="H210">
        <v>197.096</v>
      </c>
      <c r="I210">
        <v>217.75700000000001</v>
      </c>
    </row>
    <row r="211" spans="1:9" x14ac:dyDescent="0.25">
      <c r="A211" s="12">
        <v>41892</v>
      </c>
      <c r="B211">
        <v>258.88799999999998</v>
      </c>
      <c r="C211">
        <v>238.357</v>
      </c>
      <c r="E211">
        <v>179.59899999999999</v>
      </c>
      <c r="F211">
        <v>163.88399999999999</v>
      </c>
      <c r="G211">
        <v>229.49199999999999</v>
      </c>
      <c r="H211">
        <v>197.18299999999999</v>
      </c>
      <c r="I211">
        <v>217.25899999999999</v>
      </c>
    </row>
    <row r="212" spans="1:9" x14ac:dyDescent="0.25">
      <c r="A212" s="12">
        <v>41893</v>
      </c>
      <c r="B212">
        <v>258.3</v>
      </c>
      <c r="C212">
        <v>238.02</v>
      </c>
      <c r="E212">
        <v>179.018</v>
      </c>
      <c r="F212">
        <v>163.61199999999999</v>
      </c>
      <c r="G212">
        <v>229.22800000000001</v>
      </c>
      <c r="H212">
        <v>197.131</v>
      </c>
      <c r="I212">
        <v>216.81100000000001</v>
      </c>
    </row>
    <row r="213" spans="1:9" x14ac:dyDescent="0.25">
      <c r="A213" s="12">
        <v>41894</v>
      </c>
      <c r="B213">
        <v>257.87099999999998</v>
      </c>
      <c r="C213">
        <v>237.86699999999999</v>
      </c>
      <c r="E213">
        <v>178.78700000000001</v>
      </c>
      <c r="F213">
        <v>163.67699999999999</v>
      </c>
      <c r="G213">
        <v>228.63800000000001</v>
      </c>
      <c r="H213">
        <v>197.017</v>
      </c>
      <c r="I213">
        <v>216.82599999999999</v>
      </c>
    </row>
    <row r="214" spans="1:9" x14ac:dyDescent="0.25">
      <c r="A214" s="12">
        <v>41897</v>
      </c>
      <c r="B214">
        <v>257.66800000000001</v>
      </c>
      <c r="C214">
        <v>237.79</v>
      </c>
      <c r="E214">
        <v>178.66300000000001</v>
      </c>
      <c r="F214">
        <v>163.63</v>
      </c>
      <c r="G214">
        <v>228.672</v>
      </c>
      <c r="H214">
        <v>197.02699999999999</v>
      </c>
      <c r="I214">
        <v>216.46600000000001</v>
      </c>
    </row>
    <row r="215" spans="1:9" x14ac:dyDescent="0.25">
      <c r="A215" s="12">
        <v>41898</v>
      </c>
      <c r="B215">
        <v>257.411</v>
      </c>
      <c r="C215">
        <v>237.613</v>
      </c>
      <c r="E215">
        <v>178.28</v>
      </c>
      <c r="F215">
        <v>163.43600000000001</v>
      </c>
      <c r="G215">
        <v>228.40899999999999</v>
      </c>
      <c r="H215">
        <v>197.01900000000001</v>
      </c>
      <c r="I215">
        <v>216.15899999999999</v>
      </c>
    </row>
    <row r="216" spans="1:9" x14ac:dyDescent="0.25">
      <c r="A216" s="12">
        <v>41899</v>
      </c>
      <c r="B216">
        <v>257.07400000000001</v>
      </c>
      <c r="C216">
        <v>237.423</v>
      </c>
      <c r="E216">
        <v>177.82400000000001</v>
      </c>
      <c r="F216">
        <v>163.45599999999999</v>
      </c>
      <c r="G216">
        <v>228.09200000000001</v>
      </c>
      <c r="H216">
        <v>196.922</v>
      </c>
      <c r="I216">
        <v>216.39099999999999</v>
      </c>
    </row>
    <row r="217" spans="1:9" x14ac:dyDescent="0.25">
      <c r="A217" s="12">
        <v>41900</v>
      </c>
      <c r="B217">
        <v>256.92700000000002</v>
      </c>
      <c r="C217">
        <v>237.41800000000001</v>
      </c>
      <c r="E217">
        <v>178.126</v>
      </c>
      <c r="F217">
        <v>163.37700000000001</v>
      </c>
      <c r="G217">
        <v>227.934</v>
      </c>
      <c r="H217">
        <v>196.886</v>
      </c>
      <c r="I217">
        <v>216.46899999999999</v>
      </c>
    </row>
    <row r="218" spans="1:9" x14ac:dyDescent="0.25">
      <c r="A218" s="12">
        <v>41901</v>
      </c>
      <c r="B218">
        <v>257.53500000000003</v>
      </c>
      <c r="C218">
        <v>237.56</v>
      </c>
      <c r="E218">
        <v>178.32599999999999</v>
      </c>
      <c r="F218">
        <v>163.46100000000001</v>
      </c>
      <c r="G218">
        <v>228.40299999999999</v>
      </c>
      <c r="H218">
        <v>196.95699999999999</v>
      </c>
      <c r="I218">
        <v>216.76</v>
      </c>
    </row>
    <row r="219" spans="1:9" x14ac:dyDescent="0.25">
      <c r="A219" s="12">
        <v>41904</v>
      </c>
      <c r="B219">
        <v>257.72000000000003</v>
      </c>
      <c r="C219">
        <v>237.62899999999999</v>
      </c>
      <c r="E219">
        <v>178.749</v>
      </c>
      <c r="F219">
        <v>163.352</v>
      </c>
      <c r="G219">
        <v>228.74199999999999</v>
      </c>
      <c r="H219">
        <v>196.90600000000001</v>
      </c>
      <c r="I219">
        <v>216.87299999999999</v>
      </c>
    </row>
    <row r="220" spans="1:9" x14ac:dyDescent="0.25">
      <c r="A220" s="12">
        <v>41905</v>
      </c>
      <c r="B220">
        <v>258.09699999999998</v>
      </c>
      <c r="C220">
        <v>237.80699999999999</v>
      </c>
      <c r="E220">
        <v>178.98099999999999</v>
      </c>
      <c r="F220">
        <v>163.65</v>
      </c>
      <c r="G220">
        <v>229.09299999999999</v>
      </c>
      <c r="H220">
        <v>196.839</v>
      </c>
      <c r="I220">
        <v>216.74799999999999</v>
      </c>
    </row>
    <row r="221" spans="1:9" x14ac:dyDescent="0.25">
      <c r="A221" s="12">
        <v>41906</v>
      </c>
      <c r="B221">
        <v>257.66899999999998</v>
      </c>
      <c r="C221">
        <v>237.78299999999999</v>
      </c>
      <c r="E221">
        <v>178.44800000000001</v>
      </c>
      <c r="F221">
        <v>163.73099999999999</v>
      </c>
      <c r="G221">
        <v>228.67400000000001</v>
      </c>
      <c r="H221">
        <v>196.88300000000001</v>
      </c>
      <c r="I221">
        <v>216.19200000000001</v>
      </c>
    </row>
    <row r="222" spans="1:9" x14ac:dyDescent="0.25">
      <c r="A222" s="12">
        <v>41907</v>
      </c>
      <c r="B222">
        <v>257.14999999999998</v>
      </c>
      <c r="C222">
        <v>237.875</v>
      </c>
      <c r="E222">
        <v>177.77199999999999</v>
      </c>
      <c r="F222">
        <v>163.66</v>
      </c>
      <c r="G222">
        <v>227.90199999999999</v>
      </c>
      <c r="H222">
        <v>197.04300000000001</v>
      </c>
      <c r="I222">
        <v>216.31700000000001</v>
      </c>
    </row>
    <row r="223" spans="1:9" x14ac:dyDescent="0.25">
      <c r="A223" s="12">
        <v>41908</v>
      </c>
      <c r="B223">
        <v>257.24900000000002</v>
      </c>
      <c r="C223">
        <v>238.10400000000001</v>
      </c>
      <c r="E223">
        <v>178.31899999999999</v>
      </c>
      <c r="F223">
        <v>163.702</v>
      </c>
      <c r="G223">
        <v>228.34</v>
      </c>
      <c r="H223">
        <v>197.19200000000001</v>
      </c>
      <c r="I223">
        <v>216.14699999999999</v>
      </c>
    </row>
    <row r="224" spans="1:9" x14ac:dyDescent="0.25">
      <c r="A224" s="12">
        <v>41911</v>
      </c>
      <c r="B224">
        <v>257.21800000000002</v>
      </c>
      <c r="C224">
        <v>237.92400000000001</v>
      </c>
      <c r="E224">
        <v>177.721</v>
      </c>
      <c r="F224">
        <v>163.74199999999999</v>
      </c>
      <c r="G224">
        <v>228.39500000000001</v>
      </c>
      <c r="H224">
        <v>197.203</v>
      </c>
      <c r="I224">
        <v>216.078</v>
      </c>
    </row>
    <row r="225" spans="1:9" x14ac:dyDescent="0.25">
      <c r="A225" s="12">
        <v>41912</v>
      </c>
      <c r="B225">
        <v>256.67</v>
      </c>
      <c r="C225">
        <v>237.714</v>
      </c>
      <c r="E225">
        <v>177.72499999999999</v>
      </c>
      <c r="F225">
        <v>163.63</v>
      </c>
      <c r="G225">
        <v>227.97</v>
      </c>
      <c r="H225">
        <v>197.154</v>
      </c>
      <c r="I225">
        <v>215.727</v>
      </c>
    </row>
    <row r="226" spans="1:9" x14ac:dyDescent="0.25">
      <c r="A226" s="12">
        <v>41913</v>
      </c>
      <c r="B226">
        <v>256.59699999999998</v>
      </c>
      <c r="C226">
        <v>237.751</v>
      </c>
      <c r="E226">
        <v>177.32400000000001</v>
      </c>
      <c r="F226">
        <v>163.45500000000001</v>
      </c>
      <c r="G226">
        <v>227.94200000000001</v>
      </c>
      <c r="H226">
        <v>197.23500000000001</v>
      </c>
      <c r="I226">
        <v>216.053</v>
      </c>
    </row>
    <row r="227" spans="1:9" x14ac:dyDescent="0.25">
      <c r="A227" s="12">
        <v>41914</v>
      </c>
      <c r="B227">
        <v>256.65499999999997</v>
      </c>
      <c r="C227">
        <v>237.61500000000001</v>
      </c>
      <c r="E227">
        <v>177.821</v>
      </c>
      <c r="F227">
        <v>163.54300000000001</v>
      </c>
      <c r="G227">
        <v>228.30699999999999</v>
      </c>
      <c r="H227">
        <v>197.17099999999999</v>
      </c>
      <c r="I227">
        <v>215.584</v>
      </c>
    </row>
    <row r="228" spans="1:9" x14ac:dyDescent="0.25">
      <c r="A228" s="12">
        <v>41915</v>
      </c>
      <c r="B228">
        <v>256.53199999999998</v>
      </c>
      <c r="C228">
        <v>237.70400000000001</v>
      </c>
      <c r="E228">
        <v>177.24199999999999</v>
      </c>
      <c r="F228">
        <v>163.75399999999999</v>
      </c>
      <c r="G228">
        <v>227.792</v>
      </c>
      <c r="H228">
        <v>197.21600000000001</v>
      </c>
      <c r="I228">
        <v>214.495</v>
      </c>
    </row>
    <row r="229" spans="1:9" x14ac:dyDescent="0.25">
      <c r="A229" s="12">
        <v>41918</v>
      </c>
      <c r="B229">
        <v>255.923</v>
      </c>
      <c r="C229">
        <v>237.678</v>
      </c>
      <c r="E229">
        <v>175.77199999999999</v>
      </c>
      <c r="F229">
        <v>163.66200000000001</v>
      </c>
      <c r="G229">
        <v>226.643</v>
      </c>
      <c r="H229">
        <v>197.19</v>
      </c>
      <c r="I229">
        <v>214.887</v>
      </c>
    </row>
    <row r="230" spans="1:9" x14ac:dyDescent="0.25">
      <c r="A230" s="12">
        <v>41919</v>
      </c>
      <c r="B230">
        <v>256.09800000000001</v>
      </c>
      <c r="C230">
        <v>237.934</v>
      </c>
      <c r="E230">
        <v>175.816</v>
      </c>
      <c r="F230">
        <v>163.65299999999999</v>
      </c>
      <c r="G230">
        <v>227.03</v>
      </c>
      <c r="H230">
        <v>197.28</v>
      </c>
      <c r="I230">
        <v>215.56800000000001</v>
      </c>
    </row>
    <row r="231" spans="1:9" x14ac:dyDescent="0.25">
      <c r="A231" s="12">
        <v>41920</v>
      </c>
      <c r="B231">
        <v>256.077</v>
      </c>
      <c r="C231">
        <v>237.93</v>
      </c>
      <c r="E231">
        <v>177.48699999999999</v>
      </c>
      <c r="F231">
        <v>163.83099999999999</v>
      </c>
      <c r="G231">
        <v>227.667</v>
      </c>
      <c r="H231">
        <v>197.23699999999999</v>
      </c>
      <c r="I231">
        <v>214.99600000000001</v>
      </c>
    </row>
    <row r="232" spans="1:9" x14ac:dyDescent="0.25">
      <c r="A232" s="12">
        <v>41921</v>
      </c>
      <c r="B232">
        <v>255.71100000000001</v>
      </c>
      <c r="C232">
        <v>237.94200000000001</v>
      </c>
      <c r="E232">
        <v>176.459</v>
      </c>
      <c r="F232">
        <v>163.82300000000001</v>
      </c>
      <c r="G232">
        <v>226.82300000000001</v>
      </c>
      <c r="H232">
        <v>197.23099999999999</v>
      </c>
      <c r="I232">
        <v>214.10400000000001</v>
      </c>
    </row>
    <row r="233" spans="1:9" x14ac:dyDescent="0.25">
      <c r="A233" s="12">
        <v>41922</v>
      </c>
      <c r="B233">
        <v>255.36699999999999</v>
      </c>
      <c r="C233">
        <v>237.91399999999999</v>
      </c>
      <c r="E233">
        <v>175.678</v>
      </c>
      <c r="F233">
        <v>163.77600000000001</v>
      </c>
      <c r="G233">
        <v>225.84700000000001</v>
      </c>
      <c r="H233">
        <v>197.09899999999999</v>
      </c>
      <c r="I233">
        <v>214.471</v>
      </c>
    </row>
    <row r="234" spans="1:9" x14ac:dyDescent="0.25">
      <c r="A234" s="12">
        <v>41925</v>
      </c>
      <c r="B234">
        <v>255.54599999999999</v>
      </c>
      <c r="C234">
        <v>238.15899999999999</v>
      </c>
      <c r="E234">
        <v>176.001</v>
      </c>
      <c r="F234">
        <v>163.87</v>
      </c>
      <c r="G234">
        <v>226.25</v>
      </c>
      <c r="H234">
        <v>197.40299999999999</v>
      </c>
      <c r="I234">
        <v>213.298</v>
      </c>
    </row>
    <row r="235" spans="1:9" x14ac:dyDescent="0.25">
      <c r="A235" s="12">
        <v>41926</v>
      </c>
      <c r="B235">
        <v>254.59299999999999</v>
      </c>
      <c r="C235">
        <v>238.05600000000001</v>
      </c>
      <c r="E235">
        <v>174.79599999999999</v>
      </c>
      <c r="F235">
        <v>163.797</v>
      </c>
      <c r="G235">
        <v>224.97900000000001</v>
      </c>
      <c r="H235">
        <v>197.374</v>
      </c>
      <c r="I235">
        <v>212.81800000000001</v>
      </c>
    </row>
    <row r="236" spans="1:9" x14ac:dyDescent="0.25">
      <c r="A236" s="12">
        <v>41927</v>
      </c>
      <c r="B236">
        <v>254.55799999999999</v>
      </c>
      <c r="C236">
        <v>238.125</v>
      </c>
      <c r="E236">
        <v>174.392</v>
      </c>
      <c r="F236">
        <v>163.72900000000001</v>
      </c>
      <c r="G236">
        <v>224.10499999999999</v>
      </c>
      <c r="H236">
        <v>197.36799999999999</v>
      </c>
      <c r="I236">
        <v>212.49600000000001</v>
      </c>
    </row>
    <row r="237" spans="1:9" x14ac:dyDescent="0.25">
      <c r="A237" s="12">
        <v>41928</v>
      </c>
      <c r="B237">
        <v>254.06100000000001</v>
      </c>
      <c r="C237">
        <v>238.09899999999999</v>
      </c>
      <c r="E237">
        <v>174.40899999999999</v>
      </c>
      <c r="F237">
        <v>163.91399999999999</v>
      </c>
      <c r="G237">
        <v>223.56399999999999</v>
      </c>
      <c r="H237">
        <v>197.363</v>
      </c>
      <c r="I237">
        <v>210.899</v>
      </c>
    </row>
    <row r="238" spans="1:9" x14ac:dyDescent="0.25">
      <c r="A238" s="12">
        <v>41929</v>
      </c>
      <c r="B238">
        <v>253.34899999999999</v>
      </c>
      <c r="C238">
        <v>237.87100000000001</v>
      </c>
      <c r="E238">
        <v>172.60300000000001</v>
      </c>
      <c r="F238">
        <v>163.91399999999999</v>
      </c>
      <c r="G238">
        <v>222.328</v>
      </c>
      <c r="H238">
        <v>197.322</v>
      </c>
      <c r="I238">
        <v>210.46899999999999</v>
      </c>
    </row>
    <row r="239" spans="1:9" x14ac:dyDescent="0.25">
      <c r="A239" s="12">
        <v>41932</v>
      </c>
      <c r="B239">
        <v>252.59</v>
      </c>
      <c r="C239">
        <v>237.56299999999999</v>
      </c>
      <c r="E239">
        <v>172.214</v>
      </c>
      <c r="F239">
        <v>163.40799999999999</v>
      </c>
      <c r="G239">
        <v>221.29900000000001</v>
      </c>
      <c r="H239">
        <v>197.191</v>
      </c>
      <c r="I239">
        <v>211.42</v>
      </c>
    </row>
    <row r="240" spans="1:9" x14ac:dyDescent="0.25">
      <c r="A240" s="12">
        <v>41933</v>
      </c>
      <c r="B240">
        <v>253.613</v>
      </c>
      <c r="C240">
        <v>237.60300000000001</v>
      </c>
      <c r="E240">
        <v>173.715</v>
      </c>
      <c r="F240">
        <v>163.536</v>
      </c>
      <c r="G240">
        <v>222.851</v>
      </c>
      <c r="H240">
        <v>197.291</v>
      </c>
      <c r="I240">
        <v>211.65</v>
      </c>
    </row>
    <row r="241" spans="1:9" x14ac:dyDescent="0.25">
      <c r="A241" s="12">
        <v>41934</v>
      </c>
      <c r="B241">
        <v>253.744</v>
      </c>
      <c r="C241">
        <v>237.715</v>
      </c>
      <c r="E241">
        <v>173.64599999999999</v>
      </c>
      <c r="F241">
        <v>163.68899999999999</v>
      </c>
      <c r="G241">
        <v>223.40700000000001</v>
      </c>
      <c r="H241">
        <v>197.38</v>
      </c>
      <c r="I241">
        <v>212.79300000000001</v>
      </c>
    </row>
    <row r="242" spans="1:9" x14ac:dyDescent="0.25">
      <c r="A242" s="12">
        <v>41935</v>
      </c>
      <c r="B242">
        <v>254.511</v>
      </c>
      <c r="C242">
        <v>237.886</v>
      </c>
      <c r="E242">
        <v>174.994</v>
      </c>
      <c r="F242">
        <v>163.74700000000001</v>
      </c>
      <c r="G242">
        <v>224.94200000000001</v>
      </c>
      <c r="H242">
        <v>197.47800000000001</v>
      </c>
      <c r="I242">
        <v>213.70500000000001</v>
      </c>
    </row>
    <row r="243" spans="1:9" x14ac:dyDescent="0.25">
      <c r="A243" s="12">
        <v>41936</v>
      </c>
      <c r="B243">
        <v>255.04300000000001</v>
      </c>
      <c r="C243">
        <v>238.02600000000001</v>
      </c>
      <c r="E243">
        <v>175.72800000000001</v>
      </c>
      <c r="F243">
        <v>163.90899999999999</v>
      </c>
      <c r="G243">
        <v>225.95699999999999</v>
      </c>
      <c r="H243">
        <v>197.541</v>
      </c>
      <c r="I243">
        <v>213.96600000000001</v>
      </c>
    </row>
    <row r="244" spans="1:9" x14ac:dyDescent="0.25">
      <c r="A244" s="12">
        <v>41939</v>
      </c>
      <c r="B244">
        <v>255.05500000000001</v>
      </c>
      <c r="C244">
        <v>237.97800000000001</v>
      </c>
      <c r="E244">
        <v>176.03700000000001</v>
      </c>
      <c r="F244">
        <v>163.86699999999999</v>
      </c>
      <c r="G244">
        <v>226.19200000000001</v>
      </c>
      <c r="H244">
        <v>197.52799999999999</v>
      </c>
      <c r="I244">
        <v>214.20099999999999</v>
      </c>
    </row>
    <row r="245" spans="1:9" x14ac:dyDescent="0.25">
      <c r="A245" s="12">
        <v>41940</v>
      </c>
      <c r="B245">
        <v>255.08</v>
      </c>
      <c r="C245">
        <v>237.994</v>
      </c>
      <c r="E245">
        <v>176.018</v>
      </c>
      <c r="F245">
        <v>163.90299999999999</v>
      </c>
      <c r="G245">
        <v>226.40199999999999</v>
      </c>
      <c r="H245">
        <v>197.53</v>
      </c>
      <c r="I245">
        <v>213.91499999999999</v>
      </c>
    </row>
    <row r="246" spans="1:9" x14ac:dyDescent="0.25">
      <c r="A246" s="12">
        <v>41941</v>
      </c>
      <c r="B246">
        <v>254.905</v>
      </c>
      <c r="C246">
        <v>237.83799999999999</v>
      </c>
      <c r="E246">
        <v>175.626</v>
      </c>
      <c r="F246">
        <v>164.01400000000001</v>
      </c>
      <c r="G246">
        <v>226.215</v>
      </c>
      <c r="H246">
        <v>197.43100000000001</v>
      </c>
      <c r="I246">
        <v>214.637</v>
      </c>
    </row>
    <row r="247" spans="1:9" x14ac:dyDescent="0.25">
      <c r="A247" s="12">
        <v>41942</v>
      </c>
      <c r="B247">
        <v>255.363</v>
      </c>
      <c r="C247">
        <v>238.03399999999999</v>
      </c>
      <c r="E247">
        <v>176.298</v>
      </c>
      <c r="F247">
        <v>163.93299999999999</v>
      </c>
      <c r="G247">
        <v>226.642</v>
      </c>
      <c r="H247">
        <v>197.41800000000001</v>
      </c>
      <c r="I247">
        <v>215.05799999999999</v>
      </c>
    </row>
    <row r="248" spans="1:9" x14ac:dyDescent="0.25">
      <c r="A248" s="12">
        <v>41943</v>
      </c>
      <c r="B248">
        <v>256.012</v>
      </c>
      <c r="C248">
        <v>238.36799999999999</v>
      </c>
      <c r="E248">
        <v>176.69800000000001</v>
      </c>
      <c r="F248">
        <v>163.941</v>
      </c>
      <c r="G248">
        <v>227.404</v>
      </c>
      <c r="H248">
        <v>197.56100000000001</v>
      </c>
      <c r="I248">
        <v>215.61099999999999</v>
      </c>
    </row>
    <row r="249" spans="1:9" x14ac:dyDescent="0.25">
      <c r="A249" s="12">
        <v>41946</v>
      </c>
      <c r="B249">
        <v>256.10599999999999</v>
      </c>
      <c r="C249">
        <v>238.58600000000001</v>
      </c>
      <c r="E249">
        <v>177.386</v>
      </c>
      <c r="F249">
        <v>164.10900000000001</v>
      </c>
      <c r="G249">
        <v>228.13800000000001</v>
      </c>
      <c r="H249">
        <v>198.04599999999999</v>
      </c>
      <c r="I249">
        <v>217.08199999999999</v>
      </c>
    </row>
    <row r="250" spans="1:9" x14ac:dyDescent="0.25">
      <c r="A250" s="12">
        <v>41947</v>
      </c>
      <c r="B250">
        <v>257.16399999999999</v>
      </c>
      <c r="C250">
        <v>238.749</v>
      </c>
      <c r="E250">
        <v>178.91399999999999</v>
      </c>
      <c r="F250">
        <v>164.227</v>
      </c>
      <c r="G250">
        <v>229.57400000000001</v>
      </c>
      <c r="H250">
        <v>198.11</v>
      </c>
      <c r="I250">
        <v>217.69</v>
      </c>
    </row>
    <row r="251" spans="1:9" x14ac:dyDescent="0.25">
      <c r="A251" s="12">
        <v>41948</v>
      </c>
      <c r="B251">
        <v>256.82</v>
      </c>
      <c r="C251">
        <v>238.60599999999999</v>
      </c>
      <c r="E251">
        <v>178.72800000000001</v>
      </c>
      <c r="F251">
        <v>164.215</v>
      </c>
      <c r="G251">
        <v>229.56700000000001</v>
      </c>
      <c r="H251">
        <v>198.08</v>
      </c>
      <c r="I251">
        <v>217.07499999999999</v>
      </c>
    </row>
    <row r="252" spans="1:9" x14ac:dyDescent="0.25">
      <c r="A252" s="12">
        <v>41949</v>
      </c>
      <c r="B252">
        <v>256.72699999999998</v>
      </c>
      <c r="C252">
        <v>238.56700000000001</v>
      </c>
      <c r="E252">
        <v>178.035</v>
      </c>
      <c r="F252">
        <v>164.24600000000001</v>
      </c>
      <c r="G252">
        <v>229.077</v>
      </c>
      <c r="H252">
        <v>198.08600000000001</v>
      </c>
      <c r="I252">
        <v>217.54599999999999</v>
      </c>
    </row>
    <row r="253" spans="1:9" x14ac:dyDescent="0.25">
      <c r="A253" s="12">
        <v>41950</v>
      </c>
      <c r="B253">
        <v>256.73500000000001</v>
      </c>
      <c r="C253">
        <v>238.81200000000001</v>
      </c>
      <c r="E253">
        <v>178.78399999999999</v>
      </c>
      <c r="F253">
        <v>164.226</v>
      </c>
      <c r="G253">
        <v>229.24100000000001</v>
      </c>
      <c r="H253">
        <v>197.99199999999999</v>
      </c>
      <c r="I253">
        <v>217.79400000000001</v>
      </c>
    </row>
    <row r="254" spans="1:9" x14ac:dyDescent="0.25">
      <c r="A254" s="12">
        <v>41953</v>
      </c>
      <c r="B254">
        <v>256.92500000000001</v>
      </c>
      <c r="C254">
        <v>238.95599999999999</v>
      </c>
      <c r="E254">
        <v>179.15799999999999</v>
      </c>
      <c r="F254">
        <v>164.29300000000001</v>
      </c>
      <c r="G254">
        <v>229.71299999999999</v>
      </c>
      <c r="H254">
        <v>198.24700000000001</v>
      </c>
      <c r="I254">
        <v>217.74</v>
      </c>
    </row>
    <row r="255" spans="1:9" x14ac:dyDescent="0.25">
      <c r="A255" s="12">
        <v>41954</v>
      </c>
      <c r="B255">
        <v>256.745</v>
      </c>
      <c r="C255">
        <v>238.87299999999999</v>
      </c>
      <c r="E255">
        <v>179.09100000000001</v>
      </c>
      <c r="F255">
        <v>164.31800000000001</v>
      </c>
      <c r="G255">
        <v>229.59899999999999</v>
      </c>
      <c r="H255">
        <v>198.12799999999999</v>
      </c>
      <c r="I255">
        <v>217.88499999999999</v>
      </c>
    </row>
    <row r="256" spans="1:9" x14ac:dyDescent="0.25">
      <c r="A256" s="12">
        <v>41955</v>
      </c>
      <c r="B256">
        <v>257.04199999999997</v>
      </c>
      <c r="C256">
        <v>238.96700000000001</v>
      </c>
      <c r="E256">
        <v>179.471</v>
      </c>
      <c r="F256">
        <v>164.34200000000001</v>
      </c>
      <c r="G256">
        <v>229.92599999999999</v>
      </c>
      <c r="H256">
        <v>198.262</v>
      </c>
      <c r="I256">
        <v>217.916</v>
      </c>
    </row>
    <row r="257" spans="1:9" x14ac:dyDescent="0.25">
      <c r="A257" s="12">
        <v>41956</v>
      </c>
      <c r="B257">
        <v>257.09100000000001</v>
      </c>
      <c r="C257">
        <v>238.983</v>
      </c>
      <c r="E257">
        <v>179.428</v>
      </c>
      <c r="F257">
        <v>164.32599999999999</v>
      </c>
      <c r="G257">
        <v>230.25800000000001</v>
      </c>
      <c r="H257">
        <v>198.261</v>
      </c>
      <c r="I257">
        <v>217.816</v>
      </c>
    </row>
    <row r="258" spans="1:9" x14ac:dyDescent="0.25">
      <c r="A258" s="12">
        <v>41957</v>
      </c>
      <c r="B258">
        <v>256.87200000000001</v>
      </c>
      <c r="C258">
        <v>239.06899999999999</v>
      </c>
      <c r="E258">
        <v>179.24100000000001</v>
      </c>
      <c r="F258">
        <v>164.40799999999999</v>
      </c>
      <c r="G258">
        <v>229.92599999999999</v>
      </c>
      <c r="H258">
        <v>198.29300000000001</v>
      </c>
      <c r="I258">
        <v>217.851</v>
      </c>
    </row>
    <row r="259" spans="1:9" x14ac:dyDescent="0.25">
      <c r="A259" s="12">
        <v>41962</v>
      </c>
      <c r="B259">
        <v>257.00299999999999</v>
      </c>
      <c r="C259">
        <v>239.00200000000001</v>
      </c>
      <c r="E259">
        <v>179.143</v>
      </c>
      <c r="F259">
        <v>164.38399999999999</v>
      </c>
      <c r="G259">
        <v>229.99600000000001</v>
      </c>
      <c r="H259">
        <v>198.297</v>
      </c>
      <c r="I259">
        <v>217.96100000000001</v>
      </c>
    </row>
    <row r="260" spans="1:9" x14ac:dyDescent="0.25">
      <c r="A260" s="12">
        <v>41963</v>
      </c>
      <c r="B260">
        <v>257.238</v>
      </c>
      <c r="C260">
        <v>238.691</v>
      </c>
      <c r="E260">
        <v>179.27699999999999</v>
      </c>
      <c r="F260">
        <v>164.24</v>
      </c>
      <c r="G260">
        <v>229.91900000000001</v>
      </c>
      <c r="H260">
        <v>198.19800000000001</v>
      </c>
      <c r="I260">
        <v>218.29300000000001</v>
      </c>
    </row>
    <row r="261" spans="1:9" x14ac:dyDescent="0.25">
      <c r="A261" s="12">
        <v>41964</v>
      </c>
      <c r="B261">
        <v>257.32299999999998</v>
      </c>
      <c r="C261">
        <v>238.6</v>
      </c>
      <c r="E261">
        <v>178.905</v>
      </c>
      <c r="F261">
        <v>164.07</v>
      </c>
      <c r="G261">
        <v>229.941</v>
      </c>
      <c r="H261">
        <v>198.209</v>
      </c>
      <c r="I261">
        <v>218.405</v>
      </c>
    </row>
    <row r="262" spans="1:9" x14ac:dyDescent="0.25">
      <c r="A262" s="12">
        <v>41967</v>
      </c>
      <c r="B262">
        <v>257.60599999999999</v>
      </c>
      <c r="C262">
        <v>238.89099999999999</v>
      </c>
      <c r="E262">
        <v>180.81899999999999</v>
      </c>
      <c r="F262">
        <v>164.476</v>
      </c>
      <c r="G262">
        <v>229.99299999999999</v>
      </c>
      <c r="H262">
        <v>198.37200000000001</v>
      </c>
      <c r="I262">
        <v>219.66499999999999</v>
      </c>
    </row>
    <row r="263" spans="1:9" x14ac:dyDescent="0.25">
      <c r="A263" s="12">
        <v>41968</v>
      </c>
      <c r="B263">
        <v>258.82499999999999</v>
      </c>
      <c r="C263">
        <v>239.13900000000001</v>
      </c>
      <c r="E263">
        <v>180.809</v>
      </c>
      <c r="F263">
        <v>164.47399999999999</v>
      </c>
      <c r="G263">
        <v>231.68899999999999</v>
      </c>
      <c r="H263">
        <v>198.47900000000001</v>
      </c>
      <c r="I263">
        <v>219.876</v>
      </c>
    </row>
    <row r="264" spans="1:9" x14ac:dyDescent="0.25">
      <c r="A264" s="12">
        <v>41969</v>
      </c>
      <c r="B264">
        <v>259.07600000000002</v>
      </c>
      <c r="C264">
        <v>239.14500000000001</v>
      </c>
      <c r="E264">
        <v>180.81</v>
      </c>
      <c r="F264">
        <v>164.53899999999999</v>
      </c>
      <c r="G264">
        <v>231.81800000000001</v>
      </c>
      <c r="H264">
        <v>198.49799999999999</v>
      </c>
      <c r="I264">
        <v>219.92599999999999</v>
      </c>
    </row>
    <row r="265" spans="1:9" x14ac:dyDescent="0.25">
      <c r="A265" s="12">
        <v>41970</v>
      </c>
      <c r="B265">
        <v>259.24599999999998</v>
      </c>
      <c r="C265">
        <v>239.167</v>
      </c>
      <c r="E265">
        <v>180.75200000000001</v>
      </c>
      <c r="F265">
        <v>164.596</v>
      </c>
      <c r="G265">
        <v>231.81200000000001</v>
      </c>
      <c r="H265">
        <v>198.417</v>
      </c>
      <c r="I265">
        <v>220.08199999999999</v>
      </c>
    </row>
    <row r="266" spans="1:9" x14ac:dyDescent="0.25">
      <c r="A266" s="12">
        <v>41971</v>
      </c>
      <c r="B266">
        <v>259.22500000000002</v>
      </c>
      <c r="C266">
        <v>239.15899999999999</v>
      </c>
      <c r="E266">
        <v>180.89500000000001</v>
      </c>
      <c r="F266">
        <v>164.66399999999999</v>
      </c>
      <c r="G266">
        <v>231.822</v>
      </c>
      <c r="H266">
        <v>198.423</v>
      </c>
      <c r="I266">
        <v>220.28100000000001</v>
      </c>
    </row>
    <row r="267" spans="1:9" x14ac:dyDescent="0.25">
      <c r="A267" s="12">
        <v>41974</v>
      </c>
      <c r="B267">
        <v>259.21699999999998</v>
      </c>
      <c r="C267">
        <v>239.10300000000001</v>
      </c>
      <c r="E267">
        <v>181.02199999999999</v>
      </c>
      <c r="F267">
        <v>164.71199999999999</v>
      </c>
      <c r="G267">
        <v>232.00399999999999</v>
      </c>
      <c r="H267">
        <v>198.47800000000001</v>
      </c>
      <c r="I267">
        <v>220.27199999999999</v>
      </c>
    </row>
    <row r="268" spans="1:9" x14ac:dyDescent="0.25">
      <c r="A268" s="12">
        <v>41975</v>
      </c>
      <c r="B268">
        <v>258.99200000000002</v>
      </c>
      <c r="C268">
        <v>239.06899999999999</v>
      </c>
      <c r="E268">
        <v>180.90700000000001</v>
      </c>
      <c r="F268">
        <v>164.70699999999999</v>
      </c>
      <c r="G268">
        <v>231.874</v>
      </c>
      <c r="H268">
        <v>198.51900000000001</v>
      </c>
      <c r="I268">
        <v>219.57900000000001</v>
      </c>
    </row>
    <row r="269" spans="1:9" x14ac:dyDescent="0.25">
      <c r="A269" s="12">
        <v>41976</v>
      </c>
      <c r="B269">
        <v>258.51900000000001</v>
      </c>
      <c r="C269">
        <v>238.84700000000001</v>
      </c>
      <c r="E269">
        <v>179.83</v>
      </c>
      <c r="F269">
        <v>164.49600000000001</v>
      </c>
      <c r="G269">
        <v>231.08699999999999</v>
      </c>
      <c r="H269">
        <v>198.53800000000001</v>
      </c>
      <c r="I269">
        <v>219.99299999999999</v>
      </c>
    </row>
    <row r="270" spans="1:9" x14ac:dyDescent="0.25">
      <c r="A270" s="12">
        <v>41977</v>
      </c>
      <c r="B270">
        <v>258.54199999999997</v>
      </c>
      <c r="C270">
        <v>238.77500000000001</v>
      </c>
      <c r="E270">
        <v>180.37</v>
      </c>
      <c r="F270">
        <v>164.36199999999999</v>
      </c>
      <c r="G270">
        <v>231.41399999999999</v>
      </c>
      <c r="H270">
        <v>198.643</v>
      </c>
      <c r="I270">
        <v>220.499</v>
      </c>
    </row>
    <row r="271" spans="1:9" x14ac:dyDescent="0.25">
      <c r="A271" s="12">
        <v>41978</v>
      </c>
      <c r="B271">
        <v>258.61099999999999</v>
      </c>
      <c r="C271">
        <v>238.714</v>
      </c>
      <c r="E271">
        <v>181.07599999999999</v>
      </c>
      <c r="F271">
        <v>164.44499999999999</v>
      </c>
      <c r="G271">
        <v>232.11600000000001</v>
      </c>
      <c r="H271">
        <v>198.69300000000001</v>
      </c>
      <c r="I271">
        <v>219.93199999999999</v>
      </c>
    </row>
    <row r="272" spans="1:9" x14ac:dyDescent="0.25">
      <c r="A272" s="12">
        <v>41981</v>
      </c>
      <c r="B272">
        <v>258.61500000000001</v>
      </c>
      <c r="C272">
        <v>238.54</v>
      </c>
      <c r="E272">
        <v>180.12200000000001</v>
      </c>
      <c r="F272">
        <v>164.297</v>
      </c>
      <c r="G272">
        <v>231.56</v>
      </c>
      <c r="H272">
        <v>198.56800000000001</v>
      </c>
      <c r="I272">
        <v>220.45400000000001</v>
      </c>
    </row>
    <row r="273" spans="1:9" x14ac:dyDescent="0.25">
      <c r="A273" s="12">
        <v>41982</v>
      </c>
      <c r="B273">
        <v>258.72000000000003</v>
      </c>
      <c r="C273">
        <v>238.63499999999999</v>
      </c>
      <c r="E273">
        <v>181.161</v>
      </c>
      <c r="F273">
        <v>164.352</v>
      </c>
      <c r="G273">
        <v>232.315</v>
      </c>
      <c r="H273">
        <v>198.74600000000001</v>
      </c>
      <c r="I273">
        <v>220.43299999999999</v>
      </c>
    </row>
    <row r="274" spans="1:9" x14ac:dyDescent="0.25">
      <c r="A274" s="12">
        <v>41983</v>
      </c>
      <c r="B274">
        <v>258.15800000000002</v>
      </c>
      <c r="C274">
        <v>238.27600000000001</v>
      </c>
      <c r="E274">
        <v>180.78100000000001</v>
      </c>
      <c r="F274">
        <v>164.434</v>
      </c>
      <c r="G274">
        <v>231.69399999999999</v>
      </c>
      <c r="H274">
        <v>198.578</v>
      </c>
      <c r="I274">
        <v>219.01400000000001</v>
      </c>
    </row>
    <row r="275" spans="1:9" x14ac:dyDescent="0.25">
      <c r="A275" s="12">
        <v>41984</v>
      </c>
      <c r="B275">
        <v>257.20999999999998</v>
      </c>
      <c r="C275">
        <v>237.89599999999999</v>
      </c>
      <c r="E275">
        <v>178.98500000000001</v>
      </c>
      <c r="F275">
        <v>164.22399999999999</v>
      </c>
      <c r="G275">
        <v>229.94900000000001</v>
      </c>
      <c r="H275">
        <v>198.428</v>
      </c>
      <c r="I275">
        <v>218.40199999999999</v>
      </c>
    </row>
    <row r="276" spans="1:9" x14ac:dyDescent="0.25">
      <c r="A276" s="12">
        <v>41985</v>
      </c>
      <c r="B276">
        <v>256.601</v>
      </c>
      <c r="C276">
        <v>237.57900000000001</v>
      </c>
      <c r="E276">
        <v>178.54</v>
      </c>
      <c r="F276">
        <v>164.05099999999999</v>
      </c>
      <c r="G276">
        <v>229.18799999999999</v>
      </c>
      <c r="H276">
        <v>198.28</v>
      </c>
      <c r="I276">
        <v>218.16</v>
      </c>
    </row>
    <row r="277" spans="1:9" x14ac:dyDescent="0.25">
      <c r="A277" s="12">
        <v>41988</v>
      </c>
      <c r="B277">
        <v>255.98400000000001</v>
      </c>
      <c r="C277">
        <v>237.28800000000001</v>
      </c>
      <c r="E277">
        <v>178.68199999999999</v>
      </c>
      <c r="F277">
        <v>163.97300000000001</v>
      </c>
      <c r="G277">
        <v>228.596</v>
      </c>
      <c r="H277">
        <v>198.22800000000001</v>
      </c>
      <c r="I277">
        <v>217.10900000000001</v>
      </c>
    </row>
    <row r="278" spans="1:9" x14ac:dyDescent="0.25">
      <c r="A278" s="12">
        <v>41989</v>
      </c>
      <c r="B278">
        <v>255.32599999999999</v>
      </c>
      <c r="C278">
        <v>236.82400000000001</v>
      </c>
      <c r="E278">
        <v>176.892</v>
      </c>
      <c r="F278">
        <v>163.81299999999999</v>
      </c>
      <c r="G278">
        <v>227.28</v>
      </c>
      <c r="H278">
        <v>198.11500000000001</v>
      </c>
      <c r="I278">
        <v>216.04499999999999</v>
      </c>
    </row>
    <row r="279" spans="1:9" x14ac:dyDescent="0.25">
      <c r="A279" s="12">
        <v>41990</v>
      </c>
      <c r="B279">
        <v>253.23</v>
      </c>
      <c r="C279">
        <v>235.32599999999999</v>
      </c>
      <c r="E279">
        <v>175.37200000000001</v>
      </c>
      <c r="F279">
        <v>163.52199999999999</v>
      </c>
      <c r="G279">
        <v>225.73099999999999</v>
      </c>
      <c r="H279">
        <v>197.79599999999999</v>
      </c>
      <c r="I279">
        <v>215.358</v>
      </c>
    </row>
    <row r="280" spans="1:9" x14ac:dyDescent="0.25">
      <c r="A280" s="12">
        <v>41991</v>
      </c>
      <c r="B280">
        <v>252.465</v>
      </c>
      <c r="C280">
        <v>234.90100000000001</v>
      </c>
      <c r="E280">
        <v>175.959</v>
      </c>
      <c r="F280">
        <v>163.25899999999999</v>
      </c>
      <c r="G280">
        <v>224.03800000000001</v>
      </c>
      <c r="H280">
        <v>197.70099999999999</v>
      </c>
      <c r="I280">
        <v>215.821</v>
      </c>
    </row>
    <row r="281" spans="1:9" x14ac:dyDescent="0.25">
      <c r="A281" s="12">
        <v>41992</v>
      </c>
      <c r="B281">
        <v>254.03</v>
      </c>
      <c r="C281">
        <v>235.798</v>
      </c>
      <c r="E281">
        <v>176.25200000000001</v>
      </c>
      <c r="F281">
        <v>163.602</v>
      </c>
      <c r="G281">
        <v>225.05099999999999</v>
      </c>
      <c r="H281">
        <v>197.923</v>
      </c>
      <c r="I281">
        <v>217.26300000000001</v>
      </c>
    </row>
    <row r="282" spans="1:9" x14ac:dyDescent="0.25">
      <c r="A282" s="12">
        <v>41995</v>
      </c>
      <c r="B282">
        <v>255.56100000000001</v>
      </c>
      <c r="C282">
        <v>236.268</v>
      </c>
      <c r="E282">
        <v>178.459</v>
      </c>
      <c r="F282">
        <v>163.57</v>
      </c>
      <c r="G282">
        <v>228.15199999999999</v>
      </c>
      <c r="H282">
        <v>198.10300000000001</v>
      </c>
    </row>
    <row r="283" spans="1:9" x14ac:dyDescent="0.25">
      <c r="A283" s="12">
        <v>41996</v>
      </c>
      <c r="B283">
        <v>256.18599999999998</v>
      </c>
      <c r="C283">
        <v>236.816</v>
      </c>
      <c r="E283">
        <v>179.50800000000001</v>
      </c>
      <c r="F283">
        <v>163.81100000000001</v>
      </c>
      <c r="G283">
        <v>229.18799999999999</v>
      </c>
      <c r="H283">
        <v>198.28200000000001</v>
      </c>
      <c r="I283">
        <v>218.41200000000001</v>
      </c>
    </row>
    <row r="284" spans="1:9" x14ac:dyDescent="0.25">
      <c r="A284" s="12">
        <v>42002</v>
      </c>
      <c r="B284">
        <v>256.88799999999998</v>
      </c>
      <c r="C284">
        <v>237.042</v>
      </c>
      <c r="E284">
        <v>179.994</v>
      </c>
      <c r="F284">
        <v>163.958</v>
      </c>
      <c r="G284">
        <v>230.04900000000001</v>
      </c>
      <c r="H284">
        <v>198.36</v>
      </c>
      <c r="I284">
        <v>218.9</v>
      </c>
    </row>
    <row r="285" spans="1:9" x14ac:dyDescent="0.25">
      <c r="A285" s="12">
        <v>42003</v>
      </c>
      <c r="B285">
        <v>256.79500000000002</v>
      </c>
      <c r="C285">
        <v>237.02199999999999</v>
      </c>
      <c r="E285">
        <v>180.512</v>
      </c>
      <c r="F285">
        <v>164.03200000000001</v>
      </c>
      <c r="G285">
        <v>230.51599999999999</v>
      </c>
      <c r="H285">
        <v>198.48099999999999</v>
      </c>
      <c r="I285">
        <v>219.035</v>
      </c>
    </row>
    <row r="286" spans="1:9" x14ac:dyDescent="0.25">
      <c r="A286" s="12">
        <v>42004</v>
      </c>
      <c r="B286">
        <v>257.21100000000001</v>
      </c>
      <c r="C286">
        <v>237.30699999999999</v>
      </c>
      <c r="E286">
        <v>180.702</v>
      </c>
      <c r="F286">
        <v>164.238</v>
      </c>
      <c r="G286">
        <v>230.56399999999999</v>
      </c>
      <c r="H286">
        <v>198.48599999999999</v>
      </c>
      <c r="I286">
        <v>218.899</v>
      </c>
    </row>
    <row r="287" spans="1:9" x14ac:dyDescent="0.25">
      <c r="A287" s="12">
        <v>42009</v>
      </c>
      <c r="B287">
        <v>257.14999999999998</v>
      </c>
      <c r="C287">
        <v>237.24700000000001</v>
      </c>
      <c r="E287">
        <v>181.024</v>
      </c>
      <c r="F287">
        <v>164.16900000000001</v>
      </c>
      <c r="G287">
        <v>230.571</v>
      </c>
      <c r="H287">
        <v>198.48099999999999</v>
      </c>
      <c r="I287">
        <v>218.77799999999999</v>
      </c>
    </row>
    <row r="288" spans="1:9" x14ac:dyDescent="0.25">
      <c r="A288" s="12">
        <v>42010</v>
      </c>
      <c r="B288">
        <v>257.01900000000001</v>
      </c>
      <c r="C288">
        <v>237.67099999999999</v>
      </c>
      <c r="E288">
        <v>180.69</v>
      </c>
      <c r="F288">
        <v>164.49299999999999</v>
      </c>
      <c r="G288">
        <v>230.70599999999999</v>
      </c>
      <c r="H288">
        <v>198.90799999999999</v>
      </c>
    </row>
    <row r="289" spans="1:9" x14ac:dyDescent="0.25">
      <c r="A289" s="12">
        <v>42011</v>
      </c>
      <c r="B289">
        <v>256.02</v>
      </c>
      <c r="C289">
        <v>237.50800000000001</v>
      </c>
      <c r="E289">
        <v>179.65100000000001</v>
      </c>
      <c r="F289">
        <v>164.511</v>
      </c>
      <c r="G289">
        <v>230.20099999999999</v>
      </c>
      <c r="H289">
        <v>199.06399999999999</v>
      </c>
      <c r="I289">
        <v>217.88399999999999</v>
      </c>
    </row>
    <row r="290" spans="1:9" x14ac:dyDescent="0.25">
      <c r="A290" s="12">
        <v>42012</v>
      </c>
      <c r="B290">
        <v>255.73599999999999</v>
      </c>
      <c r="C290">
        <v>237.62100000000001</v>
      </c>
      <c r="E290">
        <v>178.95500000000001</v>
      </c>
      <c r="F290">
        <v>164.55500000000001</v>
      </c>
      <c r="G290">
        <v>229.63</v>
      </c>
      <c r="H290">
        <v>199.35900000000001</v>
      </c>
      <c r="I290">
        <v>218.42</v>
      </c>
    </row>
    <row r="291" spans="1:9" x14ac:dyDescent="0.25">
      <c r="A291" s="12">
        <v>42013</v>
      </c>
      <c r="B291">
        <v>256.12400000000002</v>
      </c>
      <c r="C291">
        <v>237.959</v>
      </c>
      <c r="E291">
        <v>179.98</v>
      </c>
      <c r="F291">
        <v>164.63499999999999</v>
      </c>
      <c r="G291">
        <v>230.32900000000001</v>
      </c>
      <c r="H291">
        <v>199.649</v>
      </c>
      <c r="I291">
        <v>219.38399999999999</v>
      </c>
    </row>
    <row r="292" spans="1:9" x14ac:dyDescent="0.25">
      <c r="A292" s="12">
        <v>42016</v>
      </c>
      <c r="B292">
        <v>257.10300000000001</v>
      </c>
      <c r="C292">
        <v>238.09100000000001</v>
      </c>
      <c r="E292">
        <v>181.88200000000001</v>
      </c>
      <c r="F292">
        <v>164.97200000000001</v>
      </c>
      <c r="G292">
        <v>232.01900000000001</v>
      </c>
      <c r="H292">
        <v>199.684</v>
      </c>
      <c r="I292">
        <v>219.364</v>
      </c>
    </row>
    <row r="293" spans="1:9" x14ac:dyDescent="0.25">
      <c r="A293" s="12">
        <v>42017</v>
      </c>
      <c r="B293">
        <v>257.596</v>
      </c>
      <c r="C293">
        <v>238.24700000000001</v>
      </c>
      <c r="E293">
        <v>181.239</v>
      </c>
      <c r="F293">
        <v>165.345</v>
      </c>
      <c r="G293">
        <v>232.16499999999999</v>
      </c>
      <c r="H293">
        <v>199.82300000000001</v>
      </c>
      <c r="I293">
        <v>219.36199999999999</v>
      </c>
    </row>
    <row r="294" spans="1:9" x14ac:dyDescent="0.25">
      <c r="A294" s="12">
        <v>42018</v>
      </c>
      <c r="B294">
        <v>257.642</v>
      </c>
      <c r="C294">
        <v>238.30500000000001</v>
      </c>
      <c r="E294">
        <v>181.23400000000001</v>
      </c>
      <c r="F294">
        <v>165.37299999999999</v>
      </c>
      <c r="G294">
        <v>231.78700000000001</v>
      </c>
      <c r="H294">
        <v>199.94900000000001</v>
      </c>
      <c r="I294">
        <v>220.28200000000001</v>
      </c>
    </row>
    <row r="295" spans="1:9" x14ac:dyDescent="0.25">
      <c r="A295" s="12">
        <v>42019</v>
      </c>
      <c r="B295">
        <v>258.50799999999998</v>
      </c>
      <c r="C295">
        <v>238.53</v>
      </c>
      <c r="E295">
        <v>182.20599999999999</v>
      </c>
      <c r="F295">
        <v>165.43600000000001</v>
      </c>
      <c r="G295">
        <v>232.465</v>
      </c>
      <c r="H295">
        <v>200</v>
      </c>
      <c r="I295">
        <v>219.62700000000001</v>
      </c>
    </row>
    <row r="296" spans="1:9" x14ac:dyDescent="0.25">
      <c r="A296" s="12">
        <v>42020</v>
      </c>
      <c r="B296">
        <v>258.24900000000002</v>
      </c>
      <c r="C296">
        <v>238.84700000000001</v>
      </c>
      <c r="E296">
        <v>180.83500000000001</v>
      </c>
      <c r="F296">
        <v>165.62299999999999</v>
      </c>
      <c r="G296">
        <v>231.77500000000001</v>
      </c>
      <c r="H296">
        <v>200.333</v>
      </c>
      <c r="I296">
        <v>220.50700000000001</v>
      </c>
    </row>
    <row r="297" spans="1:9" x14ac:dyDescent="0.25">
      <c r="A297" s="12">
        <v>42023</v>
      </c>
      <c r="B297">
        <v>259.28899999999999</v>
      </c>
      <c r="C297">
        <v>239.279</v>
      </c>
      <c r="E297">
        <v>182.536</v>
      </c>
      <c r="F297">
        <v>165.88800000000001</v>
      </c>
      <c r="G297">
        <v>233.071</v>
      </c>
      <c r="H297">
        <v>200.57599999999999</v>
      </c>
      <c r="I297">
        <v>221.28200000000001</v>
      </c>
    </row>
    <row r="298" spans="1:9" x14ac:dyDescent="0.25">
      <c r="A298" s="12">
        <v>42024</v>
      </c>
      <c r="B298">
        <v>260.01600000000002</v>
      </c>
      <c r="C298">
        <v>239.56</v>
      </c>
      <c r="E298">
        <v>183.10499999999999</v>
      </c>
      <c r="F298">
        <v>165.999</v>
      </c>
      <c r="G298">
        <v>233.63399999999999</v>
      </c>
      <c r="H298">
        <v>200.81299999999999</v>
      </c>
      <c r="I298">
        <v>221.78399999999999</v>
      </c>
    </row>
    <row r="299" spans="1:9" x14ac:dyDescent="0.25">
      <c r="A299" s="12">
        <v>42025</v>
      </c>
      <c r="B299">
        <v>260.642</v>
      </c>
      <c r="C299">
        <v>239.578</v>
      </c>
      <c r="E299">
        <v>182.95599999999999</v>
      </c>
      <c r="F299">
        <v>165.899</v>
      </c>
      <c r="G299">
        <v>234.29</v>
      </c>
      <c r="H299">
        <v>201.083</v>
      </c>
      <c r="I299">
        <v>222.00800000000001</v>
      </c>
    </row>
    <row r="300" spans="1:9" x14ac:dyDescent="0.25">
      <c r="A300" s="12">
        <v>42026</v>
      </c>
      <c r="B300">
        <v>260.88</v>
      </c>
      <c r="C300">
        <v>239.631</v>
      </c>
      <c r="E300">
        <v>183.416</v>
      </c>
      <c r="F300">
        <v>165.994</v>
      </c>
      <c r="G300">
        <v>234.43899999999999</v>
      </c>
      <c r="H300">
        <v>201.05</v>
      </c>
      <c r="I300">
        <v>222.613</v>
      </c>
    </row>
    <row r="301" spans="1:9" x14ac:dyDescent="0.25">
      <c r="A301" s="12">
        <v>42027</v>
      </c>
      <c r="B301">
        <v>260.95800000000003</v>
      </c>
      <c r="C301">
        <v>239.50200000000001</v>
      </c>
      <c r="E301">
        <v>183.964</v>
      </c>
      <c r="F301">
        <v>165.81899999999999</v>
      </c>
      <c r="G301">
        <v>234.762</v>
      </c>
      <c r="H301">
        <v>201.203</v>
      </c>
      <c r="I301">
        <v>223.518</v>
      </c>
    </row>
    <row r="302" spans="1:9" x14ac:dyDescent="0.25">
      <c r="A302" s="12">
        <v>42030</v>
      </c>
      <c r="B302">
        <v>263.07900000000001</v>
      </c>
      <c r="C302">
        <v>240.792</v>
      </c>
      <c r="E302">
        <v>185.72499999999999</v>
      </c>
      <c r="F302">
        <v>166.16800000000001</v>
      </c>
      <c r="G302">
        <v>237.036</v>
      </c>
      <c r="H302">
        <v>202.09299999999999</v>
      </c>
      <c r="I302">
        <v>225.233</v>
      </c>
    </row>
    <row r="303" spans="1:9" x14ac:dyDescent="0.25">
      <c r="A303" s="12">
        <v>42031</v>
      </c>
      <c r="B303">
        <v>264.52499999999998</v>
      </c>
      <c r="C303">
        <v>241.12</v>
      </c>
      <c r="E303">
        <v>187.36</v>
      </c>
      <c r="F303">
        <v>166.68100000000001</v>
      </c>
      <c r="G303">
        <v>239.74299999999999</v>
      </c>
      <c r="H303">
        <v>202.35499999999999</v>
      </c>
      <c r="I303">
        <v>225.29599999999999</v>
      </c>
    </row>
    <row r="304" spans="1:9" x14ac:dyDescent="0.25">
      <c r="A304" s="12">
        <v>42032</v>
      </c>
      <c r="B304">
        <v>264.31799999999998</v>
      </c>
      <c r="C304">
        <v>240.97300000000001</v>
      </c>
      <c r="E304">
        <v>187.31200000000001</v>
      </c>
      <c r="F304">
        <v>166.55</v>
      </c>
      <c r="G304">
        <v>239.40899999999999</v>
      </c>
      <c r="H304">
        <v>202.25800000000001</v>
      </c>
      <c r="I304">
        <v>224.65899999999999</v>
      </c>
    </row>
    <row r="305" spans="1:9" x14ac:dyDescent="0.25">
      <c r="A305" s="12">
        <v>42033</v>
      </c>
      <c r="B305">
        <v>263.92200000000003</v>
      </c>
      <c r="C305">
        <v>240.63800000000001</v>
      </c>
      <c r="E305">
        <v>186.28399999999999</v>
      </c>
      <c r="F305">
        <v>166.489</v>
      </c>
      <c r="G305">
        <v>238.791</v>
      </c>
      <c r="H305">
        <v>202.17</v>
      </c>
      <c r="I305">
        <v>224.726</v>
      </c>
    </row>
    <row r="306" spans="1:9" x14ac:dyDescent="0.25">
      <c r="A306" s="12">
        <v>42034</v>
      </c>
      <c r="B306">
        <v>263.92099999999999</v>
      </c>
      <c r="C306">
        <v>240.64099999999999</v>
      </c>
      <c r="E306">
        <v>186.43199999999999</v>
      </c>
      <c r="F306">
        <v>166.54</v>
      </c>
      <c r="G306">
        <v>238.76900000000001</v>
      </c>
      <c r="H306">
        <v>202.21899999999999</v>
      </c>
      <c r="I306">
        <v>224.27699999999999</v>
      </c>
    </row>
    <row r="307" spans="1:9" x14ac:dyDescent="0.25">
      <c r="A307" s="12">
        <v>42037</v>
      </c>
      <c r="B307">
        <v>263.70400000000001</v>
      </c>
      <c r="C307">
        <v>240.44900000000001</v>
      </c>
      <c r="E307">
        <v>185.77799999999999</v>
      </c>
      <c r="F307">
        <v>166.523</v>
      </c>
      <c r="G307">
        <v>238.023</v>
      </c>
      <c r="H307">
        <v>202.18299999999999</v>
      </c>
      <c r="I307">
        <v>224.126</v>
      </c>
    </row>
    <row r="308" spans="1:9" x14ac:dyDescent="0.25">
      <c r="A308" s="12">
        <v>42038</v>
      </c>
      <c r="B308">
        <v>263.49299999999999</v>
      </c>
      <c r="C308">
        <v>240.488</v>
      </c>
      <c r="E308">
        <v>185.68</v>
      </c>
      <c r="F308">
        <v>166.69900000000001</v>
      </c>
      <c r="G308">
        <v>237.953</v>
      </c>
      <c r="H308">
        <v>202.16</v>
      </c>
      <c r="I308">
        <v>224.11699999999999</v>
      </c>
    </row>
    <row r="309" spans="1:9" x14ac:dyDescent="0.25">
      <c r="A309" s="12">
        <v>42039</v>
      </c>
      <c r="B309">
        <v>263.33199999999999</v>
      </c>
      <c r="C309">
        <v>240.38900000000001</v>
      </c>
      <c r="E309">
        <v>185.77</v>
      </c>
      <c r="F309">
        <v>166.67400000000001</v>
      </c>
      <c r="G309">
        <v>237.54300000000001</v>
      </c>
      <c r="H309">
        <v>202.04400000000001</v>
      </c>
      <c r="I309">
        <v>224.642</v>
      </c>
    </row>
    <row r="310" spans="1:9" x14ac:dyDescent="0.25">
      <c r="A310" s="12">
        <v>42040</v>
      </c>
      <c r="B310">
        <v>263.983</v>
      </c>
      <c r="C310">
        <v>240.36</v>
      </c>
      <c r="E310">
        <v>186.071</v>
      </c>
      <c r="F310">
        <v>166.512</v>
      </c>
      <c r="G310">
        <v>238.21299999999999</v>
      </c>
      <c r="H310">
        <v>201.95699999999999</v>
      </c>
      <c r="I310">
        <v>224.994</v>
      </c>
    </row>
    <row r="311" spans="1:9" x14ac:dyDescent="0.25">
      <c r="A311" s="12">
        <v>42041</v>
      </c>
      <c r="B311">
        <v>264.00299999999999</v>
      </c>
      <c r="C311">
        <v>240.44800000000001</v>
      </c>
      <c r="E311">
        <v>186.83500000000001</v>
      </c>
      <c r="F311">
        <v>166.547</v>
      </c>
      <c r="G311">
        <v>238.74100000000001</v>
      </c>
      <c r="H311">
        <v>202.01400000000001</v>
      </c>
      <c r="I311">
        <v>225.15799999999999</v>
      </c>
    </row>
    <row r="312" spans="1:9" x14ac:dyDescent="0.25">
      <c r="A312" s="12">
        <v>42044</v>
      </c>
      <c r="B312">
        <v>264.20100000000002</v>
      </c>
      <c r="C312">
        <v>240.565</v>
      </c>
      <c r="E312">
        <v>186.982</v>
      </c>
      <c r="F312">
        <v>166.554</v>
      </c>
      <c r="G312">
        <v>238.74100000000001</v>
      </c>
      <c r="H312">
        <v>201.93</v>
      </c>
      <c r="I312">
        <v>225.45500000000001</v>
      </c>
    </row>
    <row r="313" spans="1:9" x14ac:dyDescent="0.25">
      <c r="A313" s="12">
        <v>42045</v>
      </c>
      <c r="B313">
        <v>264.27699999999999</v>
      </c>
      <c r="C313">
        <v>240.85400000000001</v>
      </c>
      <c r="E313">
        <v>187.40700000000001</v>
      </c>
      <c r="F313">
        <v>166.59299999999999</v>
      </c>
      <c r="G313">
        <v>239.52699999999999</v>
      </c>
      <c r="H313">
        <v>202.13200000000001</v>
      </c>
      <c r="I313">
        <v>225.24700000000001</v>
      </c>
    </row>
    <row r="314" spans="1:9" x14ac:dyDescent="0.25">
      <c r="A314" s="12">
        <v>42046</v>
      </c>
      <c r="B314">
        <v>263.39</v>
      </c>
      <c r="C314">
        <v>240.595</v>
      </c>
      <c r="E314">
        <v>186.93600000000001</v>
      </c>
      <c r="F314">
        <v>166.60300000000001</v>
      </c>
      <c r="G314">
        <v>239.24299999999999</v>
      </c>
      <c r="H314">
        <v>202.22200000000001</v>
      </c>
      <c r="I314">
        <v>225.26</v>
      </c>
    </row>
    <row r="315" spans="1:9" x14ac:dyDescent="0.25">
      <c r="A315" s="12">
        <v>42047</v>
      </c>
      <c r="B315">
        <v>263.27699999999999</v>
      </c>
      <c r="C315">
        <v>240.297</v>
      </c>
      <c r="E315">
        <v>187.05500000000001</v>
      </c>
      <c r="F315">
        <v>166.423</v>
      </c>
      <c r="G315">
        <v>239.38</v>
      </c>
      <c r="H315">
        <v>202.09899999999999</v>
      </c>
      <c r="I315">
        <v>225.381</v>
      </c>
    </row>
    <row r="316" spans="1:9" x14ac:dyDescent="0.25">
      <c r="A316" s="12">
        <v>42048</v>
      </c>
      <c r="B316">
        <v>263.29399999999998</v>
      </c>
      <c r="C316">
        <v>240.244</v>
      </c>
      <c r="E316">
        <v>187.05099999999999</v>
      </c>
      <c r="F316">
        <v>166.411</v>
      </c>
      <c r="G316">
        <v>239.43199999999999</v>
      </c>
      <c r="H316">
        <v>202.09200000000001</v>
      </c>
      <c r="I316">
        <v>225.59200000000001</v>
      </c>
    </row>
    <row r="317" spans="1:9" x14ac:dyDescent="0.25">
      <c r="A317" s="12">
        <v>42051</v>
      </c>
      <c r="B317">
        <v>263.94499999999999</v>
      </c>
      <c r="C317">
        <v>240.36799999999999</v>
      </c>
      <c r="E317">
        <v>187.44399999999999</v>
      </c>
      <c r="F317">
        <v>166.52</v>
      </c>
      <c r="G317">
        <v>239.71299999999999</v>
      </c>
      <c r="H317">
        <v>202.012</v>
      </c>
      <c r="I317">
        <v>226.297</v>
      </c>
    </row>
    <row r="318" spans="1:9" x14ac:dyDescent="0.25">
      <c r="A318" s="12">
        <v>42052</v>
      </c>
      <c r="B318">
        <v>264.39100000000002</v>
      </c>
      <c r="C318">
        <v>240.483</v>
      </c>
      <c r="E318">
        <v>188.06899999999999</v>
      </c>
      <c r="F318">
        <v>166.58600000000001</v>
      </c>
      <c r="G318">
        <v>240.334</v>
      </c>
      <c r="H318">
        <v>201.97800000000001</v>
      </c>
      <c r="I318">
        <v>226.36099999999999</v>
      </c>
    </row>
    <row r="319" spans="1:9" x14ac:dyDescent="0.25">
      <c r="A319" s="12">
        <v>42053</v>
      </c>
      <c r="B319">
        <v>264.35399999999998</v>
      </c>
      <c r="C319">
        <v>240.547</v>
      </c>
      <c r="E319">
        <v>188.102</v>
      </c>
      <c r="F319">
        <v>166.53</v>
      </c>
      <c r="G319">
        <v>240.65700000000001</v>
      </c>
      <c r="H319">
        <v>202.08099999999999</v>
      </c>
      <c r="I319">
        <v>226.28899999999999</v>
      </c>
    </row>
    <row r="320" spans="1:9" x14ac:dyDescent="0.25">
      <c r="A320" s="12">
        <v>42054</v>
      </c>
      <c r="B320">
        <v>264.35199999999998</v>
      </c>
      <c r="C320">
        <v>240.518</v>
      </c>
      <c r="E320">
        <v>188.041</v>
      </c>
      <c r="F320">
        <v>166.45099999999999</v>
      </c>
      <c r="G320">
        <v>240.73500000000001</v>
      </c>
      <c r="H320">
        <v>202.274</v>
      </c>
      <c r="I320">
        <v>226.696</v>
      </c>
    </row>
    <row r="321" spans="1:9" x14ac:dyDescent="0.25">
      <c r="A321" s="12">
        <v>42055</v>
      </c>
      <c r="B321">
        <v>264.70699999999999</v>
      </c>
      <c r="C321">
        <v>240.61699999999999</v>
      </c>
      <c r="E321">
        <v>188.506</v>
      </c>
      <c r="F321">
        <v>166.476</v>
      </c>
      <c r="G321">
        <v>241.25800000000001</v>
      </c>
      <c r="H321">
        <v>202.184</v>
      </c>
      <c r="I321">
        <v>226.90899999999999</v>
      </c>
    </row>
    <row r="322" spans="1:9" x14ac:dyDescent="0.25">
      <c r="A322" s="12">
        <v>42058</v>
      </c>
      <c r="B322">
        <v>264.99799999999999</v>
      </c>
      <c r="C322">
        <v>240.77199999999999</v>
      </c>
      <c r="E322">
        <v>188.64599999999999</v>
      </c>
      <c r="F322">
        <v>166.511</v>
      </c>
      <c r="G322">
        <v>241.625</v>
      </c>
      <c r="H322">
        <v>202.428</v>
      </c>
      <c r="I322">
        <v>227.08199999999999</v>
      </c>
    </row>
    <row r="323" spans="1:9" x14ac:dyDescent="0.25">
      <c r="A323" s="12">
        <v>42059</v>
      </c>
      <c r="B323">
        <v>265.03699999999998</v>
      </c>
      <c r="C323">
        <v>240.73599999999999</v>
      </c>
      <c r="E323">
        <v>188.73699999999999</v>
      </c>
      <c r="F323">
        <v>166.56899999999999</v>
      </c>
      <c r="G323">
        <v>241.994</v>
      </c>
      <c r="H323">
        <v>202.51499999999999</v>
      </c>
      <c r="I323">
        <v>227.38800000000001</v>
      </c>
    </row>
    <row r="324" spans="1:9" x14ac:dyDescent="0.25">
      <c r="A324" s="12">
        <v>42060</v>
      </c>
      <c r="B324">
        <v>265.22500000000002</v>
      </c>
      <c r="C324">
        <v>240.77099999999999</v>
      </c>
      <c r="E324">
        <v>189.286</v>
      </c>
      <c r="F324">
        <v>166.696</v>
      </c>
      <c r="G324">
        <v>242.34800000000001</v>
      </c>
      <c r="H324">
        <v>202.43600000000001</v>
      </c>
      <c r="I324">
        <v>227.678</v>
      </c>
    </row>
    <row r="325" spans="1:9" x14ac:dyDescent="0.25">
      <c r="A325" s="12">
        <v>42061</v>
      </c>
      <c r="B325">
        <v>265.84899999999999</v>
      </c>
      <c r="C325">
        <v>240.977</v>
      </c>
      <c r="E325">
        <v>189.84700000000001</v>
      </c>
      <c r="F325">
        <v>166.81200000000001</v>
      </c>
      <c r="G325">
        <v>242.61199999999999</v>
      </c>
      <c r="H325">
        <v>202.423</v>
      </c>
      <c r="I325">
        <v>227.69800000000001</v>
      </c>
    </row>
    <row r="326" spans="1:9" x14ac:dyDescent="0.25">
      <c r="A326" s="12">
        <v>42062</v>
      </c>
      <c r="B326">
        <v>266.35700000000003</v>
      </c>
      <c r="C326">
        <v>241.327</v>
      </c>
      <c r="E326">
        <v>189.80500000000001</v>
      </c>
      <c r="F326">
        <v>167.011</v>
      </c>
      <c r="G326">
        <v>242.761</v>
      </c>
      <c r="H326">
        <v>202.54300000000001</v>
      </c>
      <c r="I326">
        <v>228.36</v>
      </c>
    </row>
    <row r="327" spans="1:9" x14ac:dyDescent="0.25">
      <c r="A327" s="12">
        <v>42065</v>
      </c>
      <c r="B327">
        <v>266.649</v>
      </c>
      <c r="C327">
        <v>241.58199999999999</v>
      </c>
      <c r="E327">
        <v>190.73699999999999</v>
      </c>
      <c r="F327">
        <v>167.203</v>
      </c>
      <c r="G327">
        <v>243.76300000000001</v>
      </c>
      <c r="H327">
        <v>202.78399999999999</v>
      </c>
      <c r="I327">
        <v>228.697</v>
      </c>
    </row>
    <row r="328" spans="1:9" x14ac:dyDescent="0.25">
      <c r="A328" s="12">
        <v>42066</v>
      </c>
      <c r="B328">
        <v>266.702</v>
      </c>
      <c r="C328">
        <v>241.72200000000001</v>
      </c>
      <c r="E328">
        <v>190.74700000000001</v>
      </c>
      <c r="F328">
        <v>167.09200000000001</v>
      </c>
      <c r="G328">
        <v>244.09899999999999</v>
      </c>
      <c r="H328">
        <v>202.773</v>
      </c>
      <c r="I328">
        <v>229.06399999999999</v>
      </c>
    </row>
    <row r="329" spans="1:9" x14ac:dyDescent="0.25">
      <c r="A329" s="12">
        <v>42067</v>
      </c>
      <c r="B329">
        <v>266.91000000000003</v>
      </c>
      <c r="C329">
        <v>241.83199999999999</v>
      </c>
      <c r="E329">
        <v>190.88300000000001</v>
      </c>
      <c r="F329">
        <v>167.05099999999999</v>
      </c>
      <c r="G329">
        <v>244.01300000000001</v>
      </c>
      <c r="H329">
        <v>202.858</v>
      </c>
      <c r="I329">
        <v>228.90700000000001</v>
      </c>
    </row>
    <row r="330" spans="1:9" x14ac:dyDescent="0.25">
      <c r="A330" s="12">
        <v>42068</v>
      </c>
      <c r="B330">
        <v>266.92599999999999</v>
      </c>
      <c r="C330">
        <v>241.923</v>
      </c>
      <c r="E330">
        <v>190.202</v>
      </c>
      <c r="F330">
        <v>166.92400000000001</v>
      </c>
      <c r="G330">
        <v>244.00299999999999</v>
      </c>
      <c r="H330">
        <v>202.971</v>
      </c>
      <c r="I330">
        <v>229.023</v>
      </c>
    </row>
    <row r="331" spans="1:9" x14ac:dyDescent="0.25">
      <c r="A331" s="12">
        <v>42069</v>
      </c>
      <c r="B331">
        <v>266.68599999999998</v>
      </c>
      <c r="C331">
        <v>242.12799999999999</v>
      </c>
      <c r="E331">
        <v>190.685</v>
      </c>
      <c r="F331">
        <v>167.03200000000001</v>
      </c>
      <c r="G331">
        <v>244.25</v>
      </c>
      <c r="H331">
        <v>203.05099999999999</v>
      </c>
      <c r="I331">
        <v>229.56700000000001</v>
      </c>
    </row>
    <row r="332" spans="1:9" x14ac:dyDescent="0.25">
      <c r="A332" s="12">
        <v>42072</v>
      </c>
      <c r="B332">
        <v>267.548</v>
      </c>
      <c r="C332">
        <v>242.374</v>
      </c>
      <c r="E332">
        <v>191.33199999999999</v>
      </c>
      <c r="F332">
        <v>167.12799999999999</v>
      </c>
      <c r="G332">
        <v>245.19499999999999</v>
      </c>
      <c r="H332">
        <v>203.24799999999999</v>
      </c>
      <c r="I332">
        <v>229.93799999999999</v>
      </c>
    </row>
    <row r="333" spans="1:9" x14ac:dyDescent="0.25">
      <c r="A333" s="12">
        <v>42073</v>
      </c>
      <c r="B333">
        <v>267.38900000000001</v>
      </c>
      <c r="C333">
        <v>242.38</v>
      </c>
      <c r="E333">
        <v>191.41900000000001</v>
      </c>
      <c r="F333">
        <v>167.09399999999999</v>
      </c>
      <c r="G333">
        <v>245.35</v>
      </c>
      <c r="H333">
        <v>202.994</v>
      </c>
      <c r="I333">
        <v>229.89599999999999</v>
      </c>
    </row>
    <row r="334" spans="1:9" x14ac:dyDescent="0.25">
      <c r="A334" s="12">
        <v>42074</v>
      </c>
      <c r="B334">
        <v>267.10399999999998</v>
      </c>
      <c r="C334">
        <v>242.57400000000001</v>
      </c>
      <c r="E334">
        <v>191.34399999999999</v>
      </c>
      <c r="F334">
        <v>167.22200000000001</v>
      </c>
      <c r="G334">
        <v>245.15</v>
      </c>
      <c r="H334">
        <v>203.10499999999999</v>
      </c>
      <c r="I334">
        <v>229.80099999999999</v>
      </c>
    </row>
    <row r="335" spans="1:9" x14ac:dyDescent="0.25">
      <c r="A335" s="12">
        <v>42075</v>
      </c>
      <c r="B335">
        <v>266.85300000000001</v>
      </c>
      <c r="C335">
        <v>242.67500000000001</v>
      </c>
      <c r="E335">
        <v>191.00899999999999</v>
      </c>
      <c r="F335">
        <v>167.47800000000001</v>
      </c>
      <c r="G335">
        <v>244.92500000000001</v>
      </c>
      <c r="H335">
        <v>203.303</v>
      </c>
      <c r="I335">
        <v>230.34899999999999</v>
      </c>
    </row>
    <row r="336" spans="1:9" x14ac:dyDescent="0.25">
      <c r="A336" s="12">
        <v>42076</v>
      </c>
      <c r="B336">
        <v>267.00400000000002</v>
      </c>
      <c r="C336">
        <v>242.60499999999999</v>
      </c>
      <c r="E336">
        <v>192.11799999999999</v>
      </c>
      <c r="F336">
        <v>167.70599999999999</v>
      </c>
      <c r="G336">
        <v>245.376</v>
      </c>
      <c r="H336">
        <v>203.018</v>
      </c>
      <c r="I336">
        <v>230.90899999999999</v>
      </c>
    </row>
    <row r="337" spans="1:9" x14ac:dyDescent="0.25">
      <c r="A337" s="12">
        <v>42079</v>
      </c>
      <c r="B337">
        <v>267.62400000000002</v>
      </c>
      <c r="C337">
        <v>242.84399999999999</v>
      </c>
      <c r="E337">
        <v>192.63499999999999</v>
      </c>
      <c r="F337">
        <v>167.74700000000001</v>
      </c>
      <c r="G337">
        <v>245.99</v>
      </c>
      <c r="H337">
        <v>203.48400000000001</v>
      </c>
      <c r="I337">
        <v>230.827</v>
      </c>
    </row>
    <row r="338" spans="1:9" x14ac:dyDescent="0.25">
      <c r="A338" s="12">
        <v>42080</v>
      </c>
      <c r="B338">
        <v>267.43200000000002</v>
      </c>
      <c r="C338">
        <v>242.58099999999999</v>
      </c>
      <c r="E338">
        <v>192.511</v>
      </c>
      <c r="F338">
        <v>167.63200000000001</v>
      </c>
      <c r="G338">
        <v>246.04400000000001</v>
      </c>
      <c r="H338">
        <v>203.447</v>
      </c>
      <c r="I338">
        <v>231.23699999999999</v>
      </c>
    </row>
    <row r="339" spans="1:9" x14ac:dyDescent="0.25">
      <c r="A339" s="12">
        <v>42081</v>
      </c>
      <c r="B339">
        <v>267.77</v>
      </c>
      <c r="C339">
        <v>242.262</v>
      </c>
      <c r="E339">
        <v>193.036</v>
      </c>
      <c r="F339">
        <v>167.41</v>
      </c>
      <c r="G339">
        <v>246.483</v>
      </c>
      <c r="H339">
        <v>203.28700000000001</v>
      </c>
      <c r="I339">
        <v>231.05699999999999</v>
      </c>
    </row>
    <row r="340" spans="1:9" x14ac:dyDescent="0.25">
      <c r="A340" s="12">
        <v>42082</v>
      </c>
      <c r="B340">
        <v>267.80599999999998</v>
      </c>
      <c r="C340">
        <v>242.21600000000001</v>
      </c>
      <c r="E340">
        <v>192.648</v>
      </c>
      <c r="F340">
        <v>167.23699999999999</v>
      </c>
      <c r="G340">
        <v>246.203</v>
      </c>
      <c r="H340">
        <v>203.459</v>
      </c>
      <c r="I340">
        <v>231.09800000000001</v>
      </c>
    </row>
    <row r="341" spans="1:9" x14ac:dyDescent="0.25">
      <c r="A341" s="12">
        <v>42083</v>
      </c>
      <c r="B341">
        <v>268.024</v>
      </c>
      <c r="C341">
        <v>242.256</v>
      </c>
      <c r="E341">
        <v>192.767</v>
      </c>
      <c r="F341">
        <v>167.32599999999999</v>
      </c>
      <c r="G341">
        <v>246.38399999999999</v>
      </c>
      <c r="H341">
        <v>203.376</v>
      </c>
      <c r="I341">
        <v>231.39</v>
      </c>
    </row>
    <row r="342" spans="1:9" x14ac:dyDescent="0.25">
      <c r="A342" s="12">
        <v>42086</v>
      </c>
      <c r="B342">
        <v>268.27499999999998</v>
      </c>
      <c r="C342">
        <v>242.149</v>
      </c>
      <c r="E342">
        <v>193.40199999999999</v>
      </c>
      <c r="F342">
        <v>167.68700000000001</v>
      </c>
      <c r="G342">
        <v>246.81100000000001</v>
      </c>
      <c r="H342">
        <v>203.31399999999999</v>
      </c>
      <c r="I342">
        <v>231.49199999999999</v>
      </c>
    </row>
    <row r="343" spans="1:9" x14ac:dyDescent="0.25">
      <c r="A343" s="12">
        <v>42087</v>
      </c>
      <c r="B343">
        <v>268.75900000000001</v>
      </c>
      <c r="C343">
        <v>242.154</v>
      </c>
      <c r="E343">
        <v>193.453</v>
      </c>
      <c r="F343">
        <v>167.589</v>
      </c>
      <c r="G343">
        <v>246.86199999999999</v>
      </c>
      <c r="H343">
        <v>203.208</v>
      </c>
      <c r="I343">
        <v>231.24100000000001</v>
      </c>
    </row>
    <row r="344" spans="1:9" x14ac:dyDescent="0.25">
      <c r="A344" s="12">
        <v>42088</v>
      </c>
      <c r="B344">
        <v>268.8</v>
      </c>
      <c r="C344">
        <v>242.35499999999999</v>
      </c>
      <c r="E344">
        <v>192.958</v>
      </c>
      <c r="F344">
        <v>167.44300000000001</v>
      </c>
      <c r="G344">
        <v>246.512</v>
      </c>
      <c r="H344">
        <v>203.327</v>
      </c>
      <c r="I344">
        <v>231.31800000000001</v>
      </c>
    </row>
    <row r="345" spans="1:9" x14ac:dyDescent="0.25">
      <c r="A345" s="12">
        <v>42089</v>
      </c>
      <c r="B345">
        <v>269.02499999999998</v>
      </c>
      <c r="C345">
        <v>242.56200000000001</v>
      </c>
      <c r="E345">
        <v>193.012</v>
      </c>
      <c r="F345">
        <v>167.45500000000001</v>
      </c>
      <c r="G345">
        <v>246.65799999999999</v>
      </c>
      <c r="H345">
        <v>203.404</v>
      </c>
      <c r="I345">
        <v>230.66800000000001</v>
      </c>
    </row>
    <row r="346" spans="1:9" x14ac:dyDescent="0.25">
      <c r="A346" s="12">
        <v>42090</v>
      </c>
      <c r="B346">
        <v>268.76600000000002</v>
      </c>
      <c r="C346">
        <v>242.53</v>
      </c>
      <c r="E346">
        <v>192.08600000000001</v>
      </c>
      <c r="F346">
        <v>167.458</v>
      </c>
      <c r="G346">
        <v>246.053</v>
      </c>
      <c r="H346">
        <v>203.48</v>
      </c>
      <c r="I346">
        <v>230.18100000000001</v>
      </c>
    </row>
    <row r="347" spans="1:9" x14ac:dyDescent="0.25">
      <c r="A347" s="12">
        <v>42093</v>
      </c>
      <c r="B347">
        <v>267.75</v>
      </c>
      <c r="C347">
        <v>242.48500000000001</v>
      </c>
      <c r="E347">
        <v>191.61199999999999</v>
      </c>
      <c r="F347">
        <v>167.40700000000001</v>
      </c>
      <c r="G347">
        <v>245.49799999999999</v>
      </c>
      <c r="H347">
        <v>203.596</v>
      </c>
      <c r="I347">
        <v>230.28299999999999</v>
      </c>
    </row>
    <row r="348" spans="1:9" x14ac:dyDescent="0.25">
      <c r="A348" s="12">
        <v>42094</v>
      </c>
      <c r="B348">
        <v>268.262</v>
      </c>
      <c r="C348">
        <v>242.517</v>
      </c>
      <c r="E348">
        <v>191.78200000000001</v>
      </c>
      <c r="F348">
        <v>167.42400000000001</v>
      </c>
      <c r="G348">
        <v>245.67</v>
      </c>
      <c r="H348">
        <v>203.536</v>
      </c>
      <c r="I348">
        <v>230.96899999999999</v>
      </c>
    </row>
    <row r="349" spans="1:9" x14ac:dyDescent="0.25">
      <c r="A349" s="12">
        <v>42095</v>
      </c>
      <c r="B349">
        <v>268.48599999999999</v>
      </c>
      <c r="C349">
        <v>242.68199999999999</v>
      </c>
      <c r="E349">
        <v>193.13800000000001</v>
      </c>
      <c r="F349">
        <v>167.542</v>
      </c>
      <c r="G349">
        <v>246.53100000000001</v>
      </c>
      <c r="H349">
        <v>203.65</v>
      </c>
      <c r="I349">
        <v>231.21899999999999</v>
      </c>
    </row>
    <row r="350" spans="1:9" x14ac:dyDescent="0.25">
      <c r="A350" s="12">
        <v>42096</v>
      </c>
      <c r="B350">
        <v>268.45400000000001</v>
      </c>
      <c r="C350">
        <v>242.82</v>
      </c>
      <c r="E350">
        <v>193.33799999999999</v>
      </c>
      <c r="F350">
        <v>167.82400000000001</v>
      </c>
      <c r="G350">
        <v>246.607</v>
      </c>
      <c r="H350">
        <v>203.65100000000001</v>
      </c>
      <c r="I350">
        <v>231</v>
      </c>
    </row>
    <row r="351" spans="1:9" x14ac:dyDescent="0.25">
      <c r="A351" s="12">
        <v>42101</v>
      </c>
      <c r="B351">
        <v>268.86</v>
      </c>
      <c r="C351">
        <v>243.03399999999999</v>
      </c>
      <c r="E351">
        <v>193.22900000000001</v>
      </c>
      <c r="F351">
        <v>167.964</v>
      </c>
      <c r="G351">
        <v>246.364</v>
      </c>
      <c r="H351">
        <v>203.566</v>
      </c>
      <c r="I351">
        <v>231.048</v>
      </c>
    </row>
    <row r="352" spans="1:9" x14ac:dyDescent="0.25">
      <c r="A352" s="12">
        <v>42102</v>
      </c>
      <c r="B352">
        <v>269.36500000000001</v>
      </c>
      <c r="C352">
        <v>243.126</v>
      </c>
      <c r="E352">
        <v>193.898</v>
      </c>
      <c r="F352">
        <v>167.91399999999999</v>
      </c>
      <c r="G352">
        <v>246.33699999999999</v>
      </c>
      <c r="H352">
        <v>203.57599999999999</v>
      </c>
      <c r="I352">
        <v>231.71</v>
      </c>
    </row>
    <row r="353" spans="1:9" x14ac:dyDescent="0.25">
      <c r="A353" s="12">
        <v>42103</v>
      </c>
      <c r="B353">
        <v>270.25200000000001</v>
      </c>
      <c r="C353">
        <v>243.47900000000001</v>
      </c>
      <c r="E353">
        <v>194.322</v>
      </c>
      <c r="F353">
        <v>167.96199999999999</v>
      </c>
      <c r="G353">
        <v>247.26499999999999</v>
      </c>
      <c r="H353">
        <v>203.667</v>
      </c>
      <c r="I353">
        <v>232.27199999999999</v>
      </c>
    </row>
    <row r="354" spans="1:9" x14ac:dyDescent="0.25">
      <c r="A354" s="12">
        <v>42104</v>
      </c>
      <c r="B354">
        <v>270.91300000000001</v>
      </c>
      <c r="C354">
        <v>244.00899999999999</v>
      </c>
      <c r="E354">
        <v>194.99</v>
      </c>
      <c r="F354">
        <v>168.22800000000001</v>
      </c>
      <c r="G354">
        <v>247.911</v>
      </c>
      <c r="H354">
        <v>203.965</v>
      </c>
      <c r="I354">
        <v>232.91499999999999</v>
      </c>
    </row>
    <row r="355" spans="1:9" x14ac:dyDescent="0.25">
      <c r="A355" s="12">
        <v>42107</v>
      </c>
      <c r="B355">
        <v>271.42200000000003</v>
      </c>
      <c r="C355">
        <v>244.48400000000001</v>
      </c>
      <c r="E355">
        <v>196.102</v>
      </c>
      <c r="F355">
        <v>168.459</v>
      </c>
      <c r="G355">
        <v>249.02799999999999</v>
      </c>
      <c r="H355">
        <v>204.30199999999999</v>
      </c>
      <c r="I355">
        <v>233.91399999999999</v>
      </c>
    </row>
    <row r="356" spans="1:9" x14ac:dyDescent="0.25">
      <c r="A356" s="12">
        <v>42108</v>
      </c>
      <c r="B356">
        <v>271.834</v>
      </c>
      <c r="C356">
        <v>244.57400000000001</v>
      </c>
      <c r="E356">
        <v>197.22499999999999</v>
      </c>
      <c r="F356">
        <v>168.55699999999999</v>
      </c>
      <c r="G356">
        <v>249.82400000000001</v>
      </c>
      <c r="H356">
        <v>204.17</v>
      </c>
      <c r="I356">
        <v>234.15899999999999</v>
      </c>
    </row>
    <row r="357" spans="1:9" x14ac:dyDescent="0.25">
      <c r="A357" s="12">
        <v>42109</v>
      </c>
      <c r="B357">
        <v>271.904</v>
      </c>
      <c r="C357">
        <v>244.59399999999999</v>
      </c>
      <c r="E357">
        <v>197.524</v>
      </c>
      <c r="F357">
        <v>168.559</v>
      </c>
      <c r="G357">
        <v>250.006</v>
      </c>
      <c r="H357">
        <v>204.119</v>
      </c>
      <c r="I357">
        <v>233.66300000000001</v>
      </c>
    </row>
    <row r="358" spans="1:9" x14ac:dyDescent="0.25">
      <c r="A358" s="12">
        <v>42110</v>
      </c>
      <c r="B358">
        <v>271.79199999999997</v>
      </c>
      <c r="C358">
        <v>244.60599999999999</v>
      </c>
      <c r="E358">
        <v>196.64500000000001</v>
      </c>
      <c r="F358">
        <v>168.57</v>
      </c>
      <c r="G358">
        <v>249.37700000000001</v>
      </c>
      <c r="H358">
        <v>204.095</v>
      </c>
      <c r="I358">
        <v>234.14599999999999</v>
      </c>
    </row>
    <row r="359" spans="1:9" x14ac:dyDescent="0.25">
      <c r="A359" s="12">
        <v>42111</v>
      </c>
      <c r="B359">
        <v>271.78199999999998</v>
      </c>
      <c r="C359">
        <v>244.417</v>
      </c>
      <c r="E359">
        <v>197.34100000000001</v>
      </c>
      <c r="F359">
        <v>168.673</v>
      </c>
      <c r="G359">
        <v>249.702</v>
      </c>
      <c r="H359">
        <v>203.87899999999999</v>
      </c>
      <c r="I359">
        <v>233.72399999999999</v>
      </c>
    </row>
    <row r="360" spans="1:9" x14ac:dyDescent="0.25">
      <c r="A360" s="12">
        <v>42114</v>
      </c>
      <c r="B360">
        <v>271.30700000000002</v>
      </c>
      <c r="C360">
        <v>244.25800000000001</v>
      </c>
      <c r="E360">
        <v>196.58799999999999</v>
      </c>
      <c r="F360">
        <v>168.453</v>
      </c>
      <c r="G360">
        <v>249.02099999999999</v>
      </c>
      <c r="H360">
        <v>203.78100000000001</v>
      </c>
      <c r="I360">
        <v>232.72399999999999</v>
      </c>
    </row>
    <row r="361" spans="1:9" x14ac:dyDescent="0.25">
      <c r="A361" s="12">
        <v>42115</v>
      </c>
      <c r="B361">
        <v>270.88299999999998</v>
      </c>
      <c r="C361">
        <v>244.44499999999999</v>
      </c>
      <c r="E361">
        <v>194.95099999999999</v>
      </c>
      <c r="F361">
        <v>168.256</v>
      </c>
      <c r="G361">
        <v>248.20699999999999</v>
      </c>
      <c r="H361">
        <v>203.976</v>
      </c>
      <c r="I361">
        <v>233.018</v>
      </c>
    </row>
    <row r="362" spans="1:9" x14ac:dyDescent="0.25">
      <c r="A362" s="12">
        <v>42116</v>
      </c>
      <c r="B362">
        <v>270.91000000000003</v>
      </c>
      <c r="C362">
        <v>244.34700000000001</v>
      </c>
      <c r="E362">
        <v>195.785</v>
      </c>
      <c r="F362">
        <v>168.268</v>
      </c>
      <c r="G362">
        <v>248.55799999999999</v>
      </c>
      <c r="H362">
        <v>203.88499999999999</v>
      </c>
      <c r="I362">
        <v>233.31</v>
      </c>
    </row>
    <row r="363" spans="1:9" x14ac:dyDescent="0.25">
      <c r="A363" s="12">
        <v>42117</v>
      </c>
      <c r="B363">
        <v>270.94499999999999</v>
      </c>
      <c r="C363">
        <v>244.22399999999999</v>
      </c>
      <c r="E363">
        <v>196.05799999999999</v>
      </c>
      <c r="F363">
        <v>168.21899999999999</v>
      </c>
      <c r="G363">
        <v>248.91200000000001</v>
      </c>
      <c r="H363">
        <v>203.65899999999999</v>
      </c>
      <c r="I363">
        <v>233.56</v>
      </c>
    </row>
    <row r="364" spans="1:9" x14ac:dyDescent="0.25">
      <c r="A364" s="12">
        <v>42118</v>
      </c>
      <c r="B364">
        <v>270.505</v>
      </c>
      <c r="C364">
        <v>244.143</v>
      </c>
      <c r="E364">
        <v>196.18199999999999</v>
      </c>
      <c r="F364">
        <v>168.18899999999999</v>
      </c>
      <c r="G364">
        <v>248.755</v>
      </c>
      <c r="H364">
        <v>203.614</v>
      </c>
      <c r="I364">
        <v>233.43600000000001</v>
      </c>
    </row>
    <row r="365" spans="1:9" x14ac:dyDescent="0.25">
      <c r="A365" s="12">
        <v>42121</v>
      </c>
      <c r="B365">
        <v>270.38600000000002</v>
      </c>
      <c r="C365">
        <v>244.10300000000001</v>
      </c>
      <c r="E365">
        <v>195.88399999999999</v>
      </c>
      <c r="F365">
        <v>168.11</v>
      </c>
      <c r="G365">
        <v>248.47399999999999</v>
      </c>
      <c r="H365">
        <v>203.52</v>
      </c>
      <c r="I365">
        <v>233.565</v>
      </c>
    </row>
    <row r="366" spans="1:9" x14ac:dyDescent="0.25">
      <c r="A366" s="12">
        <v>42122</v>
      </c>
      <c r="B366">
        <v>270.91399999999999</v>
      </c>
      <c r="C366">
        <v>244.29300000000001</v>
      </c>
      <c r="E366">
        <v>196.107</v>
      </c>
      <c r="F366">
        <v>168.077</v>
      </c>
      <c r="G366">
        <v>248.53800000000001</v>
      </c>
      <c r="H366">
        <v>203.56</v>
      </c>
      <c r="I366">
        <v>233.78899999999999</v>
      </c>
    </row>
    <row r="367" spans="1:9" x14ac:dyDescent="0.25">
      <c r="A367" s="12">
        <v>42123</v>
      </c>
      <c r="B367">
        <v>271.19200000000001</v>
      </c>
      <c r="C367">
        <v>244.249</v>
      </c>
      <c r="E367">
        <v>196.45699999999999</v>
      </c>
      <c r="F367">
        <v>168.07400000000001</v>
      </c>
      <c r="G367">
        <v>248.721</v>
      </c>
      <c r="H367">
        <v>203.42699999999999</v>
      </c>
      <c r="I367">
        <v>233.06700000000001</v>
      </c>
    </row>
    <row r="368" spans="1:9" x14ac:dyDescent="0.25">
      <c r="A368" s="12">
        <v>42124</v>
      </c>
      <c r="B368">
        <v>270.60599999999999</v>
      </c>
      <c r="C368">
        <v>244.09100000000001</v>
      </c>
      <c r="E368">
        <v>195.404</v>
      </c>
      <c r="F368">
        <v>167.96700000000001</v>
      </c>
      <c r="G368">
        <v>247.846</v>
      </c>
      <c r="H368">
        <v>203.453</v>
      </c>
      <c r="I368">
        <v>231.874</v>
      </c>
    </row>
    <row r="369" spans="1:9" x14ac:dyDescent="0.25">
      <c r="A369" s="12">
        <v>42129</v>
      </c>
      <c r="B369">
        <v>269.47800000000001</v>
      </c>
      <c r="C369">
        <v>243.43799999999999</v>
      </c>
      <c r="E369">
        <v>192.114</v>
      </c>
      <c r="F369">
        <v>166.773</v>
      </c>
      <c r="G369">
        <v>246.23</v>
      </c>
      <c r="H369">
        <v>202.97399999999999</v>
      </c>
    </row>
    <row r="370" spans="1:9" x14ac:dyDescent="0.25">
      <c r="A370" s="12">
        <v>42130</v>
      </c>
      <c r="B370">
        <v>268.70299999999997</v>
      </c>
      <c r="C370">
        <v>243.024</v>
      </c>
      <c r="E370">
        <v>192.751</v>
      </c>
      <c r="F370">
        <v>166.577</v>
      </c>
      <c r="G370">
        <v>245.41200000000001</v>
      </c>
      <c r="H370">
        <v>202.928</v>
      </c>
      <c r="I370">
        <v>230.18899999999999</v>
      </c>
    </row>
    <row r="371" spans="1:9" x14ac:dyDescent="0.25">
      <c r="A371" s="12">
        <v>42131</v>
      </c>
      <c r="B371">
        <v>268.077</v>
      </c>
      <c r="C371">
        <v>242.589</v>
      </c>
      <c r="E371">
        <v>191.37299999999999</v>
      </c>
      <c r="F371">
        <v>166.18799999999999</v>
      </c>
      <c r="G371">
        <v>244.565</v>
      </c>
      <c r="H371">
        <v>202.292</v>
      </c>
      <c r="I371">
        <v>228.71799999999999</v>
      </c>
    </row>
    <row r="372" spans="1:9" x14ac:dyDescent="0.25">
      <c r="A372" s="12">
        <v>42132</v>
      </c>
      <c r="B372">
        <v>267.00299999999999</v>
      </c>
      <c r="C372">
        <v>242.13800000000001</v>
      </c>
      <c r="E372">
        <v>190.035</v>
      </c>
      <c r="F372">
        <v>165.78</v>
      </c>
      <c r="G372">
        <v>243.018</v>
      </c>
      <c r="H372">
        <v>202.00700000000001</v>
      </c>
      <c r="I372">
        <v>228.42099999999999</v>
      </c>
    </row>
    <row r="373" spans="1:9" x14ac:dyDescent="0.25">
      <c r="A373" s="12">
        <v>42135</v>
      </c>
      <c r="B373">
        <v>266.78199999999998</v>
      </c>
      <c r="C373">
        <v>242.28200000000001</v>
      </c>
      <c r="E373">
        <v>190.02600000000001</v>
      </c>
      <c r="F373">
        <v>165.72399999999999</v>
      </c>
      <c r="G373">
        <v>242.89500000000001</v>
      </c>
      <c r="H373">
        <v>201.88</v>
      </c>
      <c r="I373">
        <v>229.994</v>
      </c>
    </row>
    <row r="374" spans="1:9" x14ac:dyDescent="0.25">
      <c r="A374" s="12">
        <v>42136</v>
      </c>
      <c r="B374">
        <v>268.27100000000002</v>
      </c>
      <c r="C374">
        <v>242.63499999999999</v>
      </c>
      <c r="E374">
        <v>191.98</v>
      </c>
      <c r="F374">
        <v>166.173</v>
      </c>
      <c r="G374">
        <v>244.715</v>
      </c>
      <c r="H374">
        <v>202.042</v>
      </c>
      <c r="I374">
        <v>230.125</v>
      </c>
    </row>
    <row r="375" spans="1:9" x14ac:dyDescent="0.25">
      <c r="A375" s="12">
        <v>42137</v>
      </c>
      <c r="B375">
        <v>268.20999999999998</v>
      </c>
      <c r="C375">
        <v>242.303</v>
      </c>
      <c r="E375">
        <v>192.15299999999999</v>
      </c>
      <c r="F375">
        <v>166.137</v>
      </c>
      <c r="G375">
        <v>245.012</v>
      </c>
      <c r="H375">
        <v>201.822</v>
      </c>
      <c r="I375">
        <v>229.357</v>
      </c>
    </row>
    <row r="376" spans="1:9" x14ac:dyDescent="0.25">
      <c r="A376" s="12">
        <v>42138</v>
      </c>
      <c r="B376">
        <v>267.48599999999999</v>
      </c>
      <c r="C376">
        <v>242.15600000000001</v>
      </c>
      <c r="E376">
        <v>190.8</v>
      </c>
      <c r="F376">
        <v>165.62899999999999</v>
      </c>
      <c r="G376">
        <v>243.78100000000001</v>
      </c>
      <c r="H376">
        <v>201.66200000000001</v>
      </c>
      <c r="I376">
        <v>229.084</v>
      </c>
    </row>
    <row r="377" spans="1:9" x14ac:dyDescent="0.25">
      <c r="A377" s="12">
        <v>42139</v>
      </c>
      <c r="B377">
        <v>267.36599999999999</v>
      </c>
      <c r="C377">
        <v>241.78299999999999</v>
      </c>
      <c r="E377">
        <v>190.28899999999999</v>
      </c>
      <c r="F377">
        <v>165.50200000000001</v>
      </c>
      <c r="G377">
        <v>243.49700000000001</v>
      </c>
      <c r="H377">
        <v>201.31700000000001</v>
      </c>
      <c r="I377">
        <v>229.12100000000001</v>
      </c>
    </row>
    <row r="378" spans="1:9" x14ac:dyDescent="0.25">
      <c r="A378" s="12">
        <v>42142</v>
      </c>
      <c r="B378">
        <v>267.87700000000001</v>
      </c>
      <c r="C378">
        <v>242.102</v>
      </c>
      <c r="E378">
        <v>190.90600000000001</v>
      </c>
      <c r="F378">
        <v>165.55600000000001</v>
      </c>
      <c r="G378">
        <v>243.58699999999999</v>
      </c>
      <c r="H378">
        <v>201.57</v>
      </c>
      <c r="I378">
        <v>229.2</v>
      </c>
    </row>
    <row r="379" spans="1:9" x14ac:dyDescent="0.25">
      <c r="A379" s="12">
        <v>42143</v>
      </c>
      <c r="B379">
        <v>268.24900000000002</v>
      </c>
      <c r="C379">
        <v>242.33099999999999</v>
      </c>
      <c r="E379">
        <v>190.666</v>
      </c>
      <c r="F379">
        <v>165.60300000000001</v>
      </c>
      <c r="G379">
        <v>244.16300000000001</v>
      </c>
      <c r="H379">
        <v>201.61199999999999</v>
      </c>
      <c r="I379">
        <v>229.483</v>
      </c>
    </row>
    <row r="380" spans="1:9" x14ac:dyDescent="0.25">
      <c r="A380" s="12">
        <v>42144</v>
      </c>
      <c r="B380">
        <v>268.84899999999999</v>
      </c>
      <c r="C380">
        <v>242.80600000000001</v>
      </c>
      <c r="E380">
        <v>191.29</v>
      </c>
      <c r="F380">
        <v>165.74299999999999</v>
      </c>
      <c r="G380">
        <v>244.76</v>
      </c>
      <c r="H380">
        <v>202.02699999999999</v>
      </c>
      <c r="I380">
        <v>230.99799999999999</v>
      </c>
    </row>
    <row r="381" spans="1:9" x14ac:dyDescent="0.25">
      <c r="A381" s="12">
        <v>42145</v>
      </c>
      <c r="B381">
        <v>269.476</v>
      </c>
      <c r="C381">
        <v>242.79</v>
      </c>
      <c r="E381">
        <v>192.88</v>
      </c>
      <c r="F381">
        <v>166.14699999999999</v>
      </c>
      <c r="G381">
        <v>246.08500000000001</v>
      </c>
      <c r="H381">
        <v>202.042</v>
      </c>
      <c r="I381">
        <v>231.34200000000001</v>
      </c>
    </row>
    <row r="382" spans="1:9" x14ac:dyDescent="0.25">
      <c r="A382" s="12">
        <v>42146</v>
      </c>
      <c r="B382">
        <v>269.339</v>
      </c>
      <c r="C382">
        <v>242.77099999999999</v>
      </c>
      <c r="E382">
        <v>193.04900000000001</v>
      </c>
      <c r="F382">
        <v>166.09899999999999</v>
      </c>
      <c r="G382">
        <v>246.21</v>
      </c>
      <c r="H382">
        <v>201.833</v>
      </c>
      <c r="I382">
        <v>231.42400000000001</v>
      </c>
    </row>
    <row r="383" spans="1:9" x14ac:dyDescent="0.25">
      <c r="A383" s="12">
        <v>42149</v>
      </c>
      <c r="B383">
        <v>269.42500000000001</v>
      </c>
      <c r="C383">
        <v>242.86099999999999</v>
      </c>
      <c r="E383">
        <v>193.16399999999999</v>
      </c>
      <c r="F383">
        <v>166.08500000000001</v>
      </c>
      <c r="G383">
        <v>246.255</v>
      </c>
      <c r="H383">
        <v>201.797</v>
      </c>
      <c r="I383">
        <v>231.87799999999999</v>
      </c>
    </row>
    <row r="384" spans="1:9" x14ac:dyDescent="0.25">
      <c r="A384" s="12">
        <v>42150</v>
      </c>
      <c r="B384">
        <v>269.83199999999999</v>
      </c>
      <c r="C384">
        <v>243.245</v>
      </c>
      <c r="E384">
        <v>193.63900000000001</v>
      </c>
      <c r="F384">
        <v>166.26</v>
      </c>
      <c r="G384">
        <v>246.99799999999999</v>
      </c>
      <c r="H384">
        <v>202.17599999999999</v>
      </c>
      <c r="I384">
        <v>232.03800000000001</v>
      </c>
    </row>
    <row r="385" spans="1:9" x14ac:dyDescent="0.25">
      <c r="A385" s="12">
        <v>42151</v>
      </c>
      <c r="B385">
        <v>269.87900000000002</v>
      </c>
      <c r="C385">
        <v>243.42400000000001</v>
      </c>
      <c r="E385">
        <v>194.13399999999999</v>
      </c>
      <c r="F385">
        <v>166.52</v>
      </c>
      <c r="G385">
        <v>246.88499999999999</v>
      </c>
      <c r="H385">
        <v>202.13300000000001</v>
      </c>
      <c r="I385">
        <v>231.83600000000001</v>
      </c>
    </row>
    <row r="386" spans="1:9" x14ac:dyDescent="0.25">
      <c r="A386" s="12">
        <v>42152</v>
      </c>
      <c r="B386">
        <v>269.47500000000002</v>
      </c>
      <c r="C386">
        <v>244.07499999999999</v>
      </c>
      <c r="E386">
        <v>193.78100000000001</v>
      </c>
      <c r="F386">
        <v>166.52199999999999</v>
      </c>
      <c r="G386">
        <v>247.02600000000001</v>
      </c>
      <c r="H386">
        <v>202.21899999999999</v>
      </c>
      <c r="I386">
        <v>232.05799999999999</v>
      </c>
    </row>
    <row r="387" spans="1:9" x14ac:dyDescent="0.25">
      <c r="A387" s="12">
        <v>42153</v>
      </c>
      <c r="B387">
        <v>269.05</v>
      </c>
      <c r="C387">
        <v>243.90799999999999</v>
      </c>
      <c r="E387">
        <v>194.09899999999999</v>
      </c>
      <c r="F387">
        <v>166.523</v>
      </c>
      <c r="G387">
        <v>247.07300000000001</v>
      </c>
      <c r="H387">
        <v>202.072</v>
      </c>
      <c r="I387">
        <v>231.72300000000001</v>
      </c>
    </row>
    <row r="388" spans="1:9" x14ac:dyDescent="0.25">
      <c r="A388" s="12">
        <v>42156</v>
      </c>
      <c r="B388">
        <v>268.74299999999999</v>
      </c>
      <c r="C388">
        <v>243.691</v>
      </c>
      <c r="E388">
        <v>193.49299999999999</v>
      </c>
      <c r="F388">
        <v>166.405</v>
      </c>
      <c r="G388">
        <v>246.761</v>
      </c>
      <c r="H388">
        <v>201.93899999999999</v>
      </c>
      <c r="I388">
        <v>231.09899999999999</v>
      </c>
    </row>
    <row r="389" spans="1:9" x14ac:dyDescent="0.25">
      <c r="A389" s="12">
        <v>42157</v>
      </c>
      <c r="B389">
        <v>268.43900000000002</v>
      </c>
      <c r="C389">
        <v>243.649</v>
      </c>
      <c r="E389">
        <v>192.48599999999999</v>
      </c>
      <c r="F389">
        <v>166.43600000000001</v>
      </c>
      <c r="G389">
        <v>246.24600000000001</v>
      </c>
      <c r="H389">
        <v>201.989</v>
      </c>
      <c r="I389">
        <v>230.934</v>
      </c>
    </row>
    <row r="390" spans="1:9" x14ac:dyDescent="0.25">
      <c r="A390" s="12">
        <v>42158</v>
      </c>
      <c r="B390">
        <v>267.59399999999999</v>
      </c>
      <c r="C390">
        <v>243.18</v>
      </c>
      <c r="E390">
        <v>192.578</v>
      </c>
      <c r="F390">
        <v>166.292</v>
      </c>
      <c r="G390">
        <v>245.94300000000001</v>
      </c>
      <c r="H390">
        <v>201.828</v>
      </c>
      <c r="I390">
        <v>229.893</v>
      </c>
    </row>
    <row r="391" spans="1:9" x14ac:dyDescent="0.25">
      <c r="A391" s="12">
        <v>42159</v>
      </c>
      <c r="B391">
        <v>266.83100000000002</v>
      </c>
      <c r="C391">
        <v>242.64699999999999</v>
      </c>
      <c r="E391">
        <v>191.02799999999999</v>
      </c>
      <c r="F391">
        <v>165.50899999999999</v>
      </c>
      <c r="G391">
        <v>244.37899999999999</v>
      </c>
      <c r="H391">
        <v>201.488</v>
      </c>
      <c r="I391">
        <v>229.13399999999999</v>
      </c>
    </row>
    <row r="392" spans="1:9" x14ac:dyDescent="0.25">
      <c r="A392" s="12">
        <v>42160</v>
      </c>
      <c r="B392">
        <v>265.96800000000002</v>
      </c>
      <c r="C392">
        <v>241.851</v>
      </c>
      <c r="E392">
        <v>190.28399999999999</v>
      </c>
      <c r="F392">
        <v>164.809</v>
      </c>
      <c r="G392">
        <v>243.43100000000001</v>
      </c>
      <c r="H392">
        <v>200.971</v>
      </c>
      <c r="I392">
        <v>228.15899999999999</v>
      </c>
    </row>
    <row r="393" spans="1:9" x14ac:dyDescent="0.25">
      <c r="A393" s="12">
        <v>42163</v>
      </c>
      <c r="B393">
        <v>265.63400000000001</v>
      </c>
      <c r="C393">
        <v>241.71799999999999</v>
      </c>
      <c r="E393">
        <v>189.422</v>
      </c>
      <c r="F393">
        <v>164.74199999999999</v>
      </c>
      <c r="G393">
        <v>242.49100000000001</v>
      </c>
      <c r="H393">
        <v>200.86199999999999</v>
      </c>
      <c r="I393">
        <v>227.94</v>
      </c>
    </row>
    <row r="394" spans="1:9" x14ac:dyDescent="0.25">
      <c r="A394" s="12">
        <v>42164</v>
      </c>
      <c r="B394">
        <v>264.54399999999998</v>
      </c>
      <c r="C394">
        <v>241.55099999999999</v>
      </c>
      <c r="E394">
        <v>189.47</v>
      </c>
      <c r="F394">
        <v>164.733</v>
      </c>
      <c r="G394">
        <v>242.19</v>
      </c>
      <c r="H394">
        <v>200.554</v>
      </c>
      <c r="I394">
        <v>227.19399999999999</v>
      </c>
    </row>
    <row r="395" spans="1:9" x14ac:dyDescent="0.25">
      <c r="A395" s="12">
        <v>42165</v>
      </c>
      <c r="B395">
        <v>263.89800000000002</v>
      </c>
      <c r="C395">
        <v>241.21</v>
      </c>
      <c r="E395">
        <v>188.49799999999999</v>
      </c>
      <c r="F395">
        <v>164.489</v>
      </c>
      <c r="G395">
        <v>241.10900000000001</v>
      </c>
      <c r="H395">
        <v>200.31299999999999</v>
      </c>
      <c r="I395">
        <v>226.369</v>
      </c>
    </row>
    <row r="396" spans="1:9" x14ac:dyDescent="0.25">
      <c r="A396" s="12">
        <v>42166</v>
      </c>
      <c r="B396">
        <v>263.35700000000003</v>
      </c>
      <c r="C396">
        <v>240.905</v>
      </c>
      <c r="E396">
        <v>187.69200000000001</v>
      </c>
      <c r="F396">
        <v>164.38499999999999</v>
      </c>
      <c r="G396">
        <v>240.17400000000001</v>
      </c>
      <c r="H396">
        <v>200.17699999999999</v>
      </c>
      <c r="I396">
        <v>226.63900000000001</v>
      </c>
    </row>
    <row r="397" spans="1:9" x14ac:dyDescent="0.25">
      <c r="A397" s="12">
        <v>42167</v>
      </c>
      <c r="B397">
        <v>264.05599999999998</v>
      </c>
      <c r="C397">
        <v>240.755</v>
      </c>
      <c r="E397">
        <v>188.447</v>
      </c>
      <c r="F397">
        <v>164.18799999999999</v>
      </c>
      <c r="G397">
        <v>240.858</v>
      </c>
      <c r="H397">
        <v>200.006</v>
      </c>
      <c r="I397">
        <v>227.32599999999999</v>
      </c>
    </row>
    <row r="398" spans="1:9" x14ac:dyDescent="0.25">
      <c r="A398" s="12">
        <v>42170</v>
      </c>
      <c r="B398">
        <v>264.77100000000002</v>
      </c>
      <c r="C398">
        <v>241.012</v>
      </c>
      <c r="E398">
        <v>189.23099999999999</v>
      </c>
      <c r="F398">
        <v>164.46</v>
      </c>
      <c r="G398">
        <v>241.90199999999999</v>
      </c>
      <c r="H398">
        <v>199.98599999999999</v>
      </c>
      <c r="I398">
        <v>227.03700000000001</v>
      </c>
    </row>
    <row r="399" spans="1:9" x14ac:dyDescent="0.25">
      <c r="A399" s="12">
        <v>42171</v>
      </c>
      <c r="B399">
        <v>264.06700000000001</v>
      </c>
      <c r="C399">
        <v>241.02600000000001</v>
      </c>
      <c r="E399">
        <v>188.65100000000001</v>
      </c>
      <c r="F399">
        <v>164.50700000000001</v>
      </c>
      <c r="G399">
        <v>241.35400000000001</v>
      </c>
      <c r="H399">
        <v>200.03</v>
      </c>
      <c r="I399">
        <v>226.45099999999999</v>
      </c>
    </row>
    <row r="400" spans="1:9" x14ac:dyDescent="0.25">
      <c r="A400" s="12">
        <v>42172</v>
      </c>
      <c r="B400">
        <v>263.32499999999999</v>
      </c>
      <c r="C400">
        <v>240.78200000000001</v>
      </c>
      <c r="E400">
        <v>187.75700000000001</v>
      </c>
      <c r="F400">
        <v>164.41900000000001</v>
      </c>
      <c r="G400">
        <v>240.34399999999999</v>
      </c>
      <c r="H400">
        <v>199.92699999999999</v>
      </c>
      <c r="I400">
        <v>226.49</v>
      </c>
    </row>
    <row r="401" spans="1:9" x14ac:dyDescent="0.25">
      <c r="A401" s="12">
        <v>42173</v>
      </c>
      <c r="B401">
        <v>263.24299999999999</v>
      </c>
      <c r="C401">
        <v>240.68100000000001</v>
      </c>
      <c r="E401">
        <v>188.02</v>
      </c>
      <c r="F401">
        <v>164.34100000000001</v>
      </c>
      <c r="G401">
        <v>240.34</v>
      </c>
      <c r="H401">
        <v>199.84100000000001</v>
      </c>
      <c r="I401">
        <v>226.28</v>
      </c>
    </row>
    <row r="402" spans="1:9" x14ac:dyDescent="0.25">
      <c r="A402" s="12">
        <v>42174</v>
      </c>
      <c r="B402">
        <v>263.15300000000002</v>
      </c>
      <c r="C402">
        <v>240.44399999999999</v>
      </c>
      <c r="E402">
        <v>187.87899999999999</v>
      </c>
      <c r="F402">
        <v>164.304</v>
      </c>
      <c r="G402">
        <v>240.23400000000001</v>
      </c>
      <c r="H402">
        <v>199.77500000000001</v>
      </c>
      <c r="I402">
        <v>226.102</v>
      </c>
    </row>
    <row r="403" spans="1:9" x14ac:dyDescent="0.25">
      <c r="A403" s="12">
        <v>42180</v>
      </c>
      <c r="B403">
        <v>263.68900000000002</v>
      </c>
      <c r="C403">
        <v>240.602</v>
      </c>
      <c r="E403">
        <v>187.79900000000001</v>
      </c>
      <c r="F403">
        <v>164.15</v>
      </c>
      <c r="G403">
        <v>240.02199999999999</v>
      </c>
      <c r="H403">
        <v>199.857</v>
      </c>
      <c r="I403">
        <v>226.44900000000001</v>
      </c>
    </row>
    <row r="404" spans="1:9" x14ac:dyDescent="0.25">
      <c r="A404" s="12">
        <v>42181</v>
      </c>
      <c r="B404">
        <v>266.07</v>
      </c>
      <c r="C404">
        <v>241.172</v>
      </c>
      <c r="E404">
        <v>190.31800000000001</v>
      </c>
      <c r="F404">
        <v>164.619</v>
      </c>
      <c r="G404">
        <v>242.71799999999999</v>
      </c>
      <c r="H404">
        <v>200.01599999999999</v>
      </c>
      <c r="I404">
        <v>228.14</v>
      </c>
    </row>
    <row r="405" spans="1:9" x14ac:dyDescent="0.25">
      <c r="A405" s="12">
        <v>42182</v>
      </c>
      <c r="B405">
        <v>265.94299999999998</v>
      </c>
      <c r="C405">
        <v>241.209</v>
      </c>
      <c r="E405">
        <v>189.755</v>
      </c>
      <c r="F405">
        <v>164.26900000000001</v>
      </c>
      <c r="G405">
        <v>242.41</v>
      </c>
      <c r="H405">
        <v>199.99299999999999</v>
      </c>
      <c r="I405">
        <v>227.99700000000001</v>
      </c>
    </row>
    <row r="406" spans="1:9" x14ac:dyDescent="0.25">
      <c r="A406" s="12">
        <v>42184</v>
      </c>
      <c r="B406">
        <v>265.92700000000002</v>
      </c>
      <c r="C406">
        <v>241.191</v>
      </c>
      <c r="E406">
        <v>189.578</v>
      </c>
      <c r="F406">
        <v>164.12700000000001</v>
      </c>
      <c r="G406">
        <v>242.40299999999999</v>
      </c>
      <c r="H406">
        <v>199.99799999999999</v>
      </c>
      <c r="I406">
        <v>227.99299999999999</v>
      </c>
    </row>
    <row r="407" spans="1:9" x14ac:dyDescent="0.25">
      <c r="A407" s="12">
        <v>42185</v>
      </c>
      <c r="B407">
        <v>265.19600000000003</v>
      </c>
      <c r="C407">
        <v>240.94200000000001</v>
      </c>
      <c r="E407">
        <v>189.541</v>
      </c>
      <c r="F407">
        <v>164.09399999999999</v>
      </c>
      <c r="G407">
        <v>242.547</v>
      </c>
      <c r="H407">
        <v>200.001</v>
      </c>
      <c r="I407">
        <v>226.84800000000001</v>
      </c>
    </row>
    <row r="408" spans="1:9" x14ac:dyDescent="0.25">
      <c r="A408" s="12">
        <v>42186</v>
      </c>
      <c r="B408">
        <v>263.87200000000001</v>
      </c>
      <c r="C408">
        <v>240.65299999999999</v>
      </c>
      <c r="E408">
        <v>187.613</v>
      </c>
      <c r="F408">
        <v>163.994</v>
      </c>
      <c r="G408">
        <v>240.87</v>
      </c>
      <c r="H408">
        <v>199.786</v>
      </c>
      <c r="I408">
        <v>226.173</v>
      </c>
    </row>
    <row r="409" spans="1:9" x14ac:dyDescent="0.25">
      <c r="A409" s="12">
        <v>42187</v>
      </c>
      <c r="B409">
        <v>263.85199999999998</v>
      </c>
      <c r="C409">
        <v>240.828</v>
      </c>
      <c r="E409">
        <v>187.40899999999999</v>
      </c>
      <c r="F409">
        <v>164.119</v>
      </c>
      <c r="G409">
        <v>239.96</v>
      </c>
      <c r="H409">
        <v>199.59200000000001</v>
      </c>
      <c r="I409">
        <v>226.80799999999999</v>
      </c>
    </row>
    <row r="410" spans="1:9" x14ac:dyDescent="0.25">
      <c r="A410" s="12">
        <v>42188</v>
      </c>
      <c r="B410">
        <v>264.21100000000001</v>
      </c>
      <c r="C410">
        <v>240.85900000000001</v>
      </c>
      <c r="E410">
        <v>188.36699999999999</v>
      </c>
      <c r="F410">
        <v>164.13</v>
      </c>
      <c r="G410">
        <v>241.126</v>
      </c>
      <c r="H410">
        <v>199.673</v>
      </c>
      <c r="I410">
        <v>226.756</v>
      </c>
    </row>
    <row r="411" spans="1:9" x14ac:dyDescent="0.25">
      <c r="A411" s="12">
        <v>42191</v>
      </c>
      <c r="B411">
        <v>264.14600000000002</v>
      </c>
      <c r="C411">
        <v>240.94399999999999</v>
      </c>
      <c r="E411">
        <v>188.28100000000001</v>
      </c>
      <c r="F411">
        <v>164.161</v>
      </c>
      <c r="G411">
        <v>240.91</v>
      </c>
      <c r="H411">
        <v>199.684</v>
      </c>
      <c r="I411">
        <v>226.48400000000001</v>
      </c>
    </row>
    <row r="412" spans="1:9" x14ac:dyDescent="0.25">
      <c r="A412" s="12">
        <v>42192</v>
      </c>
      <c r="B412">
        <v>264.02499999999998</v>
      </c>
      <c r="C412">
        <v>241.08699999999999</v>
      </c>
      <c r="E412">
        <v>188.01400000000001</v>
      </c>
      <c r="F412">
        <v>164.30099999999999</v>
      </c>
      <c r="G412">
        <v>240.75399999999999</v>
      </c>
      <c r="H412">
        <v>199.75399999999999</v>
      </c>
      <c r="I412">
        <v>226.245</v>
      </c>
    </row>
    <row r="413" spans="1:9" x14ac:dyDescent="0.25">
      <c r="A413" s="12">
        <v>42193</v>
      </c>
      <c r="B413">
        <v>263.71300000000002</v>
      </c>
      <c r="C413">
        <v>241.39</v>
      </c>
      <c r="E413">
        <v>187.429</v>
      </c>
      <c r="F413">
        <v>164.286</v>
      </c>
      <c r="G413">
        <v>240.233</v>
      </c>
      <c r="H413">
        <v>199.82400000000001</v>
      </c>
      <c r="I413">
        <v>225.74600000000001</v>
      </c>
    </row>
    <row r="414" spans="1:9" x14ac:dyDescent="0.25">
      <c r="A414" s="12">
        <v>42194</v>
      </c>
      <c r="B414">
        <v>263.17500000000001</v>
      </c>
      <c r="C414">
        <v>241.166</v>
      </c>
      <c r="E414">
        <v>186.709</v>
      </c>
      <c r="F414">
        <v>164.59</v>
      </c>
      <c r="G414">
        <v>240.131</v>
      </c>
      <c r="H414">
        <v>199.863</v>
      </c>
      <c r="I414">
        <v>225.06100000000001</v>
      </c>
    </row>
    <row r="415" spans="1:9" x14ac:dyDescent="0.25">
      <c r="A415" s="12">
        <v>42195</v>
      </c>
      <c r="B415">
        <v>262.73899999999998</v>
      </c>
      <c r="C415">
        <v>240.96199999999999</v>
      </c>
      <c r="E415">
        <v>185.98699999999999</v>
      </c>
      <c r="F415">
        <v>164.35900000000001</v>
      </c>
      <c r="G415">
        <v>238.90700000000001</v>
      </c>
      <c r="H415">
        <v>199.77500000000001</v>
      </c>
      <c r="I415">
        <v>225.51900000000001</v>
      </c>
    </row>
    <row r="416" spans="1:9" x14ac:dyDescent="0.25">
      <c r="A416" s="12">
        <v>42198</v>
      </c>
      <c r="B416">
        <v>263.16899999999998</v>
      </c>
      <c r="C416">
        <v>240.685</v>
      </c>
      <c r="E416">
        <v>187.06100000000001</v>
      </c>
      <c r="F416">
        <v>164.35900000000001</v>
      </c>
      <c r="G416">
        <v>239.55</v>
      </c>
      <c r="H416">
        <v>199.721</v>
      </c>
      <c r="I416">
        <v>225.70500000000001</v>
      </c>
    </row>
    <row r="417" spans="1:9" x14ac:dyDescent="0.25">
      <c r="A417" s="12">
        <v>42199</v>
      </c>
      <c r="B417">
        <v>264.18799999999999</v>
      </c>
      <c r="C417">
        <v>240.99700000000001</v>
      </c>
      <c r="E417">
        <v>187.476</v>
      </c>
      <c r="F417">
        <v>164</v>
      </c>
      <c r="G417">
        <v>240.19399999999999</v>
      </c>
      <c r="H417">
        <v>199.828</v>
      </c>
      <c r="I417">
        <v>226.95400000000001</v>
      </c>
    </row>
    <row r="418" spans="1:9" x14ac:dyDescent="0.25">
      <c r="A418" s="12">
        <v>42200</v>
      </c>
      <c r="B418">
        <v>264.99099999999999</v>
      </c>
      <c r="C418">
        <v>241.20099999999999</v>
      </c>
      <c r="E418">
        <v>189.119</v>
      </c>
      <c r="F418">
        <v>164.28700000000001</v>
      </c>
      <c r="G418">
        <v>241.965</v>
      </c>
      <c r="H418">
        <v>199.905</v>
      </c>
      <c r="I418">
        <v>227.203</v>
      </c>
    </row>
    <row r="419" spans="1:9" x14ac:dyDescent="0.25">
      <c r="A419" s="12">
        <v>42201</v>
      </c>
      <c r="B419">
        <v>265.38499999999999</v>
      </c>
      <c r="C419">
        <v>241.35</v>
      </c>
      <c r="E419">
        <v>189.55799999999999</v>
      </c>
      <c r="F419">
        <v>164.369</v>
      </c>
      <c r="G419">
        <v>242.42500000000001</v>
      </c>
      <c r="H419">
        <v>199.923</v>
      </c>
      <c r="I419">
        <v>227.76900000000001</v>
      </c>
    </row>
    <row r="420" spans="1:9" x14ac:dyDescent="0.25">
      <c r="A420" s="12">
        <v>42202</v>
      </c>
      <c r="B420">
        <v>266.33600000000001</v>
      </c>
      <c r="C420">
        <v>241.822</v>
      </c>
      <c r="E420">
        <v>190.13800000000001</v>
      </c>
      <c r="F420">
        <v>164.756</v>
      </c>
      <c r="G420">
        <v>243.14099999999999</v>
      </c>
      <c r="H420">
        <v>200.10499999999999</v>
      </c>
      <c r="I420">
        <v>228.804</v>
      </c>
    </row>
    <row r="421" spans="1:9" x14ac:dyDescent="0.25">
      <c r="A421" s="12">
        <v>42205</v>
      </c>
      <c r="B421">
        <v>266.92099999999999</v>
      </c>
      <c r="C421">
        <v>241.91300000000001</v>
      </c>
      <c r="E421">
        <v>191.249</v>
      </c>
      <c r="F421">
        <v>164.92099999999999</v>
      </c>
      <c r="G421">
        <v>244.13499999999999</v>
      </c>
      <c r="H421">
        <v>200.11199999999999</v>
      </c>
      <c r="I421">
        <v>229.029</v>
      </c>
    </row>
    <row r="422" spans="1:9" x14ac:dyDescent="0.25">
      <c r="A422" s="12">
        <v>42206</v>
      </c>
      <c r="B422">
        <v>267.178</v>
      </c>
      <c r="C422">
        <v>242.16399999999999</v>
      </c>
      <c r="E422">
        <v>191.625</v>
      </c>
      <c r="F422">
        <v>165.22200000000001</v>
      </c>
      <c r="G422">
        <v>244.48699999999999</v>
      </c>
      <c r="H422">
        <v>200.22300000000001</v>
      </c>
      <c r="I422">
        <v>229.17099999999999</v>
      </c>
    </row>
    <row r="423" spans="1:9" x14ac:dyDescent="0.25">
      <c r="A423" s="12">
        <v>42207</v>
      </c>
      <c r="B423">
        <v>267.11799999999999</v>
      </c>
      <c r="C423">
        <v>242.10900000000001</v>
      </c>
      <c r="E423">
        <v>191.79300000000001</v>
      </c>
      <c r="F423">
        <v>165.28</v>
      </c>
      <c r="G423">
        <v>244.6</v>
      </c>
      <c r="H423">
        <v>200.23400000000001</v>
      </c>
      <c r="I423">
        <v>228.69499999999999</v>
      </c>
    </row>
    <row r="424" spans="1:9" x14ac:dyDescent="0.25">
      <c r="A424" s="12">
        <v>42208</v>
      </c>
      <c r="B424">
        <v>266.62200000000001</v>
      </c>
      <c r="C424">
        <v>242.042</v>
      </c>
      <c r="E424">
        <v>190.94800000000001</v>
      </c>
      <c r="F424">
        <v>165.13300000000001</v>
      </c>
      <c r="G424">
        <v>243.9</v>
      </c>
      <c r="H424">
        <v>200.19300000000001</v>
      </c>
      <c r="I424">
        <v>228.39099999999999</v>
      </c>
    </row>
    <row r="425" spans="1:9" x14ac:dyDescent="0.25">
      <c r="A425" s="12">
        <v>42209</v>
      </c>
      <c r="B425">
        <v>265.72500000000002</v>
      </c>
      <c r="C425">
        <v>241.85400000000001</v>
      </c>
      <c r="E425">
        <v>190.66499999999999</v>
      </c>
      <c r="F425">
        <v>165.24700000000001</v>
      </c>
      <c r="G425">
        <v>243.24799999999999</v>
      </c>
      <c r="H425">
        <v>200.13800000000001</v>
      </c>
      <c r="I425">
        <v>227.72800000000001</v>
      </c>
    </row>
    <row r="426" spans="1:9" x14ac:dyDescent="0.25">
      <c r="A426" s="12">
        <v>42212</v>
      </c>
      <c r="B426">
        <v>265.65300000000002</v>
      </c>
      <c r="C426">
        <v>241.845</v>
      </c>
      <c r="E426">
        <v>190.048</v>
      </c>
      <c r="F426">
        <v>165.15</v>
      </c>
      <c r="G426">
        <v>242.50899999999999</v>
      </c>
      <c r="H426">
        <v>200.15700000000001</v>
      </c>
      <c r="I426">
        <v>227.471</v>
      </c>
    </row>
    <row r="427" spans="1:9" x14ac:dyDescent="0.25">
      <c r="A427" s="12">
        <v>42213</v>
      </c>
      <c r="B427">
        <v>264.74</v>
      </c>
      <c r="C427">
        <v>241.37700000000001</v>
      </c>
      <c r="E427">
        <v>189.39</v>
      </c>
      <c r="F427">
        <v>165.22</v>
      </c>
      <c r="G427">
        <v>241.833</v>
      </c>
      <c r="H427">
        <v>200.023</v>
      </c>
      <c r="I427">
        <v>226.03100000000001</v>
      </c>
    </row>
    <row r="428" spans="1:9" x14ac:dyDescent="0.25">
      <c r="A428" s="12">
        <v>42214</v>
      </c>
      <c r="B428">
        <v>263.84199999999998</v>
      </c>
      <c r="C428">
        <v>241.172</v>
      </c>
      <c r="E428">
        <v>187.39400000000001</v>
      </c>
      <c r="F428">
        <v>165.04499999999999</v>
      </c>
      <c r="G428">
        <v>239.81899999999999</v>
      </c>
      <c r="H428">
        <v>200.00700000000001</v>
      </c>
      <c r="I428">
        <v>226.30600000000001</v>
      </c>
    </row>
    <row r="429" spans="1:9" x14ac:dyDescent="0.25">
      <c r="A429" s="12">
        <v>42215</v>
      </c>
      <c r="B429">
        <v>263.851</v>
      </c>
      <c r="C429">
        <v>241.06800000000001</v>
      </c>
      <c r="E429">
        <v>188.238</v>
      </c>
      <c r="F429">
        <v>165.077</v>
      </c>
      <c r="G429">
        <v>240.18199999999999</v>
      </c>
      <c r="H429">
        <v>199.96199999999999</v>
      </c>
      <c r="I429">
        <v>226.86199999999999</v>
      </c>
    </row>
    <row r="430" spans="1:9" x14ac:dyDescent="0.25">
      <c r="A430" s="12">
        <v>42216</v>
      </c>
      <c r="B430">
        <v>264.19</v>
      </c>
      <c r="C430">
        <v>241.30199999999999</v>
      </c>
      <c r="E430">
        <v>189.05799999999999</v>
      </c>
      <c r="F430">
        <v>165.09299999999999</v>
      </c>
      <c r="G430">
        <v>241.16499999999999</v>
      </c>
      <c r="H430">
        <v>200.03399999999999</v>
      </c>
      <c r="I430">
        <v>227.25700000000001</v>
      </c>
    </row>
    <row r="431" spans="1:9" x14ac:dyDescent="0.25">
      <c r="A431" s="12">
        <v>42219</v>
      </c>
      <c r="B431">
        <v>264.54500000000002</v>
      </c>
      <c r="C431">
        <v>241.38300000000001</v>
      </c>
      <c r="E431">
        <v>189.57400000000001</v>
      </c>
      <c r="F431">
        <v>165.33500000000001</v>
      </c>
      <c r="G431">
        <v>241.72900000000001</v>
      </c>
      <c r="H431">
        <v>200.089</v>
      </c>
      <c r="I431">
        <v>227.31800000000001</v>
      </c>
    </row>
    <row r="432" spans="1:9" x14ac:dyDescent="0.25">
      <c r="A432" s="12">
        <v>42220</v>
      </c>
      <c r="B432">
        <v>264.91699999999997</v>
      </c>
      <c r="C432">
        <v>241.57300000000001</v>
      </c>
      <c r="E432">
        <v>189.59200000000001</v>
      </c>
      <c r="F432">
        <v>165.364</v>
      </c>
      <c r="G432">
        <v>241.517</v>
      </c>
      <c r="H432">
        <v>200.16499999999999</v>
      </c>
      <c r="I432">
        <v>227.64099999999999</v>
      </c>
    </row>
    <row r="433" spans="1:9" x14ac:dyDescent="0.25">
      <c r="A433" s="12">
        <v>42221</v>
      </c>
      <c r="B433">
        <v>265.34800000000001</v>
      </c>
      <c r="C433">
        <v>241.61</v>
      </c>
      <c r="E433">
        <v>189.79900000000001</v>
      </c>
      <c r="F433">
        <v>165.42</v>
      </c>
      <c r="G433">
        <v>241.97300000000001</v>
      </c>
      <c r="H433">
        <v>200.17</v>
      </c>
      <c r="I433">
        <v>227.65899999999999</v>
      </c>
    </row>
    <row r="434" spans="1:9" x14ac:dyDescent="0.25">
      <c r="A434" s="12">
        <v>42222</v>
      </c>
      <c r="B434">
        <v>265.64299999999997</v>
      </c>
      <c r="C434">
        <v>241.648</v>
      </c>
      <c r="E434">
        <v>189.76400000000001</v>
      </c>
      <c r="F434">
        <v>165.41499999999999</v>
      </c>
      <c r="G434">
        <v>241.95099999999999</v>
      </c>
      <c r="H434">
        <v>200.24</v>
      </c>
      <c r="I434">
        <v>228.328</v>
      </c>
    </row>
    <row r="435" spans="1:9" x14ac:dyDescent="0.25">
      <c r="A435" s="12">
        <v>42223</v>
      </c>
      <c r="B435">
        <v>266.02999999999997</v>
      </c>
      <c r="C435">
        <v>241.46899999999999</v>
      </c>
      <c r="E435">
        <v>190.56100000000001</v>
      </c>
      <c r="F435">
        <v>165.22900000000001</v>
      </c>
      <c r="G435">
        <v>242.41900000000001</v>
      </c>
      <c r="H435">
        <v>200.23599999999999</v>
      </c>
      <c r="I435">
        <v>227.863</v>
      </c>
    </row>
    <row r="436" spans="1:9" x14ac:dyDescent="0.25">
      <c r="A436" s="12">
        <v>42226</v>
      </c>
      <c r="B436">
        <v>265.42500000000001</v>
      </c>
      <c r="C436">
        <v>241.25399999999999</v>
      </c>
      <c r="E436">
        <v>189.54900000000001</v>
      </c>
      <c r="F436">
        <v>165.268</v>
      </c>
      <c r="G436">
        <v>241.60499999999999</v>
      </c>
      <c r="H436">
        <v>200.12899999999999</v>
      </c>
      <c r="I436">
        <v>227.523</v>
      </c>
    </row>
    <row r="437" spans="1:9" x14ac:dyDescent="0.25">
      <c r="A437" s="12">
        <v>42227</v>
      </c>
      <c r="B437">
        <v>265.08600000000001</v>
      </c>
      <c r="C437">
        <v>241.19800000000001</v>
      </c>
      <c r="E437">
        <v>188.964</v>
      </c>
      <c r="F437">
        <v>165.31700000000001</v>
      </c>
      <c r="G437">
        <v>241.03299999999999</v>
      </c>
      <c r="H437">
        <v>200.101</v>
      </c>
      <c r="I437">
        <v>227.69300000000001</v>
      </c>
    </row>
    <row r="438" spans="1:9" x14ac:dyDescent="0.25">
      <c r="A438" s="12">
        <v>42228</v>
      </c>
      <c r="B438">
        <v>264.803</v>
      </c>
      <c r="C438">
        <v>240.98</v>
      </c>
      <c r="E438">
        <v>189.65100000000001</v>
      </c>
      <c r="F438">
        <v>165.202</v>
      </c>
      <c r="G438">
        <v>241.196</v>
      </c>
      <c r="H438">
        <v>200.02600000000001</v>
      </c>
      <c r="I438">
        <v>226.887</v>
      </c>
    </row>
    <row r="439" spans="1:9" x14ac:dyDescent="0.25">
      <c r="A439" s="12">
        <v>42229</v>
      </c>
      <c r="B439">
        <v>264.13299999999998</v>
      </c>
      <c r="C439">
        <v>240.88200000000001</v>
      </c>
      <c r="E439">
        <v>188.197</v>
      </c>
      <c r="F439">
        <v>165.291</v>
      </c>
      <c r="G439">
        <v>240.36099999999999</v>
      </c>
      <c r="H439">
        <v>200.03100000000001</v>
      </c>
      <c r="I439">
        <v>225.81200000000001</v>
      </c>
    </row>
    <row r="440" spans="1:9" x14ac:dyDescent="0.25">
      <c r="A440" s="12">
        <v>42230</v>
      </c>
      <c r="B440">
        <v>263.303</v>
      </c>
      <c r="C440">
        <v>240.84</v>
      </c>
      <c r="E440">
        <v>186.21</v>
      </c>
      <c r="F440">
        <v>165.16200000000001</v>
      </c>
      <c r="G440">
        <v>238.67699999999999</v>
      </c>
      <c r="H440">
        <v>200.077</v>
      </c>
      <c r="I440">
        <v>226.131</v>
      </c>
    </row>
    <row r="441" spans="1:9" x14ac:dyDescent="0.25">
      <c r="A441" s="12">
        <v>42233</v>
      </c>
      <c r="B441">
        <v>263.41699999999997</v>
      </c>
      <c r="C441">
        <v>240.583</v>
      </c>
      <c r="E441">
        <v>187.13499999999999</v>
      </c>
      <c r="F441">
        <v>165.107</v>
      </c>
      <c r="G441">
        <v>239.25299999999999</v>
      </c>
      <c r="H441">
        <v>200.113</v>
      </c>
      <c r="I441">
        <v>226.12100000000001</v>
      </c>
    </row>
    <row r="442" spans="1:9" x14ac:dyDescent="0.25">
      <c r="A442" s="12">
        <v>42234</v>
      </c>
      <c r="B442">
        <v>263.28300000000002</v>
      </c>
      <c r="C442">
        <v>240.61600000000001</v>
      </c>
      <c r="E442">
        <v>187.09</v>
      </c>
      <c r="F442">
        <v>165.08500000000001</v>
      </c>
      <c r="G442">
        <v>239.19800000000001</v>
      </c>
      <c r="H442">
        <v>200.14699999999999</v>
      </c>
      <c r="I442">
        <v>226.17</v>
      </c>
    </row>
    <row r="443" spans="1:9" x14ac:dyDescent="0.25">
      <c r="A443" s="12">
        <v>42235</v>
      </c>
      <c r="B443">
        <v>263.47899999999998</v>
      </c>
      <c r="C443">
        <v>240.755</v>
      </c>
      <c r="E443">
        <v>187.38200000000001</v>
      </c>
      <c r="F443">
        <v>165.18700000000001</v>
      </c>
      <c r="G443">
        <v>239.30199999999999</v>
      </c>
      <c r="H443">
        <v>200.209</v>
      </c>
      <c r="I443">
        <v>226.39400000000001</v>
      </c>
    </row>
    <row r="444" spans="1:9" x14ac:dyDescent="0.25">
      <c r="A444" s="12">
        <v>42236</v>
      </c>
      <c r="B444">
        <v>263.24799999999999</v>
      </c>
      <c r="C444">
        <v>240.703</v>
      </c>
      <c r="E444">
        <v>187.441</v>
      </c>
      <c r="F444">
        <v>165.124</v>
      </c>
      <c r="G444">
        <v>239.655</v>
      </c>
      <c r="H444">
        <v>200.23400000000001</v>
      </c>
      <c r="I444">
        <v>225.95099999999999</v>
      </c>
    </row>
    <row r="445" spans="1:9" x14ac:dyDescent="0.25">
      <c r="A445" s="12">
        <v>42237</v>
      </c>
      <c r="B445">
        <v>262.226</v>
      </c>
      <c r="C445">
        <v>240.321</v>
      </c>
      <c r="E445">
        <v>186.06</v>
      </c>
      <c r="F445">
        <v>165.04900000000001</v>
      </c>
      <c r="G445">
        <v>238.53800000000001</v>
      </c>
      <c r="H445">
        <v>200.09</v>
      </c>
      <c r="I445">
        <v>224.90100000000001</v>
      </c>
    </row>
    <row r="446" spans="1:9" x14ac:dyDescent="0.25">
      <c r="A446" s="12">
        <v>42240</v>
      </c>
      <c r="B446">
        <v>260.94600000000003</v>
      </c>
      <c r="C446">
        <v>240.041</v>
      </c>
      <c r="E446">
        <v>184.48699999999999</v>
      </c>
      <c r="F446">
        <v>164.94300000000001</v>
      </c>
      <c r="G446">
        <v>236.89099999999999</v>
      </c>
      <c r="H446">
        <v>200.00299999999999</v>
      </c>
      <c r="I446">
        <v>223.899</v>
      </c>
    </row>
    <row r="447" spans="1:9" x14ac:dyDescent="0.25">
      <c r="A447" s="12">
        <v>42241</v>
      </c>
      <c r="B447">
        <v>258.59899999999999</v>
      </c>
      <c r="C447">
        <v>239.321</v>
      </c>
      <c r="E447">
        <v>181.8</v>
      </c>
      <c r="F447">
        <v>164.80699999999999</v>
      </c>
      <c r="G447">
        <v>234.72800000000001</v>
      </c>
      <c r="H447">
        <v>199.80600000000001</v>
      </c>
      <c r="I447">
        <v>221.55099999999999</v>
      </c>
    </row>
    <row r="448" spans="1:9" x14ac:dyDescent="0.25">
      <c r="A448" s="12">
        <v>42242</v>
      </c>
      <c r="B448">
        <v>255.06399999999999</v>
      </c>
      <c r="C448">
        <v>238.803</v>
      </c>
      <c r="E448">
        <v>177.70699999999999</v>
      </c>
      <c r="F448">
        <v>164.38499999999999</v>
      </c>
      <c r="G448">
        <v>229.96199999999999</v>
      </c>
      <c r="H448">
        <v>199.59899999999999</v>
      </c>
      <c r="I448">
        <v>222.19300000000001</v>
      </c>
    </row>
    <row r="449" spans="1:9" x14ac:dyDescent="0.25">
      <c r="A449" s="12">
        <v>42243</v>
      </c>
      <c r="B449">
        <v>256.209</v>
      </c>
      <c r="C449">
        <v>238.602</v>
      </c>
      <c r="E449">
        <v>180.708</v>
      </c>
      <c r="F449">
        <v>164.17400000000001</v>
      </c>
      <c r="G449">
        <v>231.55600000000001</v>
      </c>
      <c r="H449">
        <v>199.60300000000001</v>
      </c>
      <c r="I449">
        <v>221.86699999999999</v>
      </c>
    </row>
    <row r="450" spans="1:9" x14ac:dyDescent="0.25">
      <c r="A450" s="12">
        <v>42244</v>
      </c>
      <c r="B450">
        <v>256.45999999999998</v>
      </c>
      <c r="C450">
        <v>238.89599999999999</v>
      </c>
      <c r="E450">
        <v>179.292</v>
      </c>
      <c r="F450">
        <v>164.21799999999999</v>
      </c>
      <c r="G450">
        <v>231.67099999999999</v>
      </c>
      <c r="H450">
        <v>199.69300000000001</v>
      </c>
      <c r="I450">
        <v>223.11199999999999</v>
      </c>
    </row>
    <row r="451" spans="1:9" x14ac:dyDescent="0.25">
      <c r="A451" s="12">
        <v>42247</v>
      </c>
      <c r="B451">
        <v>258.08</v>
      </c>
      <c r="C451">
        <v>239.40199999999999</v>
      </c>
      <c r="E451">
        <v>182.364</v>
      </c>
      <c r="F451">
        <v>164.35599999999999</v>
      </c>
      <c r="G451">
        <v>233.631</v>
      </c>
      <c r="H451">
        <v>199.72499999999999</v>
      </c>
      <c r="I451">
        <v>223.46700000000001</v>
      </c>
    </row>
    <row r="452" spans="1:9" x14ac:dyDescent="0.25">
      <c r="A452" s="12">
        <v>42248</v>
      </c>
      <c r="B452">
        <v>258.48200000000003</v>
      </c>
      <c r="C452">
        <v>239.72800000000001</v>
      </c>
      <c r="E452">
        <v>182.81399999999999</v>
      </c>
      <c r="F452">
        <v>164.428</v>
      </c>
      <c r="G452">
        <v>234.27500000000001</v>
      </c>
      <c r="H452">
        <v>199.83199999999999</v>
      </c>
      <c r="I452">
        <v>223.489</v>
      </c>
    </row>
    <row r="453" spans="1:9" x14ac:dyDescent="0.25">
      <c r="A453" s="12">
        <v>42249</v>
      </c>
      <c r="B453">
        <v>258.08199999999999</v>
      </c>
      <c r="C453">
        <v>239.67</v>
      </c>
      <c r="E453">
        <v>182.34899999999999</v>
      </c>
      <c r="F453">
        <v>164.387</v>
      </c>
      <c r="G453">
        <v>234.053</v>
      </c>
      <c r="H453">
        <v>199.81100000000001</v>
      </c>
      <c r="I453">
        <v>222.56299999999999</v>
      </c>
    </row>
    <row r="454" spans="1:9" x14ac:dyDescent="0.25">
      <c r="A454" s="12">
        <v>42250</v>
      </c>
      <c r="B454">
        <v>256.584</v>
      </c>
      <c r="C454">
        <v>239.44200000000001</v>
      </c>
      <c r="E454">
        <v>180.51</v>
      </c>
      <c r="F454">
        <v>164.25800000000001</v>
      </c>
      <c r="G454">
        <v>232.68899999999999</v>
      </c>
      <c r="H454">
        <v>199.721</v>
      </c>
      <c r="I454">
        <v>222.40799999999999</v>
      </c>
    </row>
    <row r="455" spans="1:9" x14ac:dyDescent="0.25">
      <c r="A455" s="12">
        <v>42251</v>
      </c>
      <c r="B455">
        <v>256.78199999999998</v>
      </c>
      <c r="C455">
        <v>239.53700000000001</v>
      </c>
      <c r="E455">
        <v>180.49600000000001</v>
      </c>
      <c r="F455">
        <v>164.21700000000001</v>
      </c>
      <c r="G455">
        <v>232.65600000000001</v>
      </c>
      <c r="H455">
        <v>199.643</v>
      </c>
      <c r="I455">
        <v>223.17400000000001</v>
      </c>
    </row>
    <row r="456" spans="1:9" x14ac:dyDescent="0.25">
      <c r="A456" s="12">
        <v>42254</v>
      </c>
      <c r="B456">
        <v>257.74099999999999</v>
      </c>
      <c r="C456">
        <v>239.732</v>
      </c>
      <c r="E456">
        <v>182.274</v>
      </c>
      <c r="F456">
        <v>164.52199999999999</v>
      </c>
      <c r="G456">
        <v>233.87799999999999</v>
      </c>
      <c r="H456">
        <v>199.72900000000001</v>
      </c>
      <c r="I456">
        <v>222.66300000000001</v>
      </c>
    </row>
    <row r="457" spans="1:9" x14ac:dyDescent="0.25">
      <c r="A457" s="12">
        <v>42255</v>
      </c>
      <c r="B457">
        <v>257.00900000000001</v>
      </c>
      <c r="C457">
        <v>239.73099999999999</v>
      </c>
      <c r="E457">
        <v>180.75899999999999</v>
      </c>
      <c r="F457">
        <v>164.65</v>
      </c>
      <c r="G457">
        <v>232.96299999999999</v>
      </c>
      <c r="H457">
        <v>199.761</v>
      </c>
      <c r="I457">
        <v>222.565</v>
      </c>
    </row>
    <row r="458" spans="1:9" x14ac:dyDescent="0.25">
      <c r="A458" s="12">
        <v>42256</v>
      </c>
      <c r="B458">
        <v>257.06099999999998</v>
      </c>
      <c r="C458">
        <v>239.66300000000001</v>
      </c>
      <c r="E458">
        <v>180.88</v>
      </c>
      <c r="F458">
        <v>164.58600000000001</v>
      </c>
      <c r="G458">
        <v>232.852</v>
      </c>
      <c r="H458">
        <v>199.69900000000001</v>
      </c>
      <c r="I458">
        <v>222.958</v>
      </c>
    </row>
    <row r="459" spans="1:9" x14ac:dyDescent="0.25">
      <c r="A459" s="12">
        <v>42257</v>
      </c>
      <c r="B459">
        <v>258.22699999999998</v>
      </c>
      <c r="C459">
        <v>239.65600000000001</v>
      </c>
      <c r="E459">
        <v>181.636</v>
      </c>
      <c r="F459">
        <v>164.56899999999999</v>
      </c>
      <c r="G459">
        <v>233.506</v>
      </c>
      <c r="H459">
        <v>199.74199999999999</v>
      </c>
      <c r="I459">
        <v>223.29499999999999</v>
      </c>
    </row>
    <row r="460" spans="1:9" x14ac:dyDescent="0.25">
      <c r="A460" s="12">
        <v>42258</v>
      </c>
      <c r="B460">
        <v>258.654</v>
      </c>
      <c r="C460">
        <v>239.64699999999999</v>
      </c>
      <c r="E460">
        <v>182.53100000000001</v>
      </c>
      <c r="F460">
        <v>164.596</v>
      </c>
      <c r="G460">
        <v>234.465</v>
      </c>
      <c r="H460">
        <v>199.77199999999999</v>
      </c>
      <c r="I460">
        <v>223.04599999999999</v>
      </c>
    </row>
    <row r="461" spans="1:9" x14ac:dyDescent="0.25">
      <c r="A461" s="12">
        <v>42261</v>
      </c>
      <c r="B461">
        <v>257.73500000000001</v>
      </c>
      <c r="C461">
        <v>239.46299999999999</v>
      </c>
      <c r="E461">
        <v>181.441</v>
      </c>
      <c r="F461">
        <v>164.465</v>
      </c>
      <c r="G461">
        <v>233.36600000000001</v>
      </c>
      <c r="H461">
        <v>199.702</v>
      </c>
      <c r="I461">
        <v>222.792</v>
      </c>
    </row>
    <row r="462" spans="1:9" x14ac:dyDescent="0.25">
      <c r="A462" s="12">
        <v>42262</v>
      </c>
      <c r="B462">
        <v>257.14100000000002</v>
      </c>
      <c r="C462">
        <v>239.40899999999999</v>
      </c>
      <c r="E462">
        <v>180.99100000000001</v>
      </c>
      <c r="F462">
        <v>164.476</v>
      </c>
      <c r="G462">
        <v>232.869</v>
      </c>
      <c r="H462">
        <v>199.59899999999999</v>
      </c>
      <c r="I462">
        <v>222.48099999999999</v>
      </c>
    </row>
    <row r="463" spans="1:9" x14ac:dyDescent="0.25">
      <c r="A463" s="12">
        <v>42263</v>
      </c>
      <c r="B463">
        <v>257.10000000000002</v>
      </c>
      <c r="C463">
        <v>239.34299999999999</v>
      </c>
      <c r="E463">
        <v>180.98500000000001</v>
      </c>
      <c r="F463">
        <v>164.477</v>
      </c>
      <c r="G463">
        <v>232.64099999999999</v>
      </c>
      <c r="H463">
        <v>199.59899999999999</v>
      </c>
      <c r="I463">
        <v>222.63200000000001</v>
      </c>
    </row>
    <row r="464" spans="1:9" x14ac:dyDescent="0.25">
      <c r="A464" s="12">
        <v>42264</v>
      </c>
      <c r="B464">
        <v>257.25</v>
      </c>
      <c r="C464">
        <v>239.32900000000001</v>
      </c>
      <c r="E464">
        <v>181.392</v>
      </c>
      <c r="F464">
        <v>164.31</v>
      </c>
      <c r="G464">
        <v>232.96899999999999</v>
      </c>
      <c r="H464">
        <v>199.57300000000001</v>
      </c>
      <c r="I464">
        <v>223.09899999999999</v>
      </c>
    </row>
    <row r="465" spans="1:9" x14ac:dyDescent="0.25">
      <c r="A465" s="12">
        <v>42265</v>
      </c>
      <c r="B465">
        <v>257.904</v>
      </c>
      <c r="C465">
        <v>239.18199999999999</v>
      </c>
      <c r="E465">
        <v>182.09200000000001</v>
      </c>
      <c r="F465">
        <v>164.16900000000001</v>
      </c>
      <c r="G465">
        <v>233.66499999999999</v>
      </c>
      <c r="H465">
        <v>199.41399999999999</v>
      </c>
      <c r="I465">
        <v>223.06800000000001</v>
      </c>
    </row>
    <row r="466" spans="1:9" x14ac:dyDescent="0.25">
      <c r="A466" s="12">
        <v>42268</v>
      </c>
      <c r="B466">
        <v>257.93200000000002</v>
      </c>
      <c r="C466">
        <v>239.27600000000001</v>
      </c>
      <c r="E466">
        <v>182.14500000000001</v>
      </c>
      <c r="F466">
        <v>164.25200000000001</v>
      </c>
      <c r="G466">
        <v>233.68</v>
      </c>
      <c r="H466">
        <v>199.37799999999999</v>
      </c>
      <c r="I466">
        <v>222.506</v>
      </c>
    </row>
    <row r="467" spans="1:9" x14ac:dyDescent="0.25">
      <c r="A467" s="12">
        <v>42269</v>
      </c>
      <c r="B467">
        <v>257.44299999999998</v>
      </c>
      <c r="C467">
        <v>239.858</v>
      </c>
      <c r="E467">
        <v>181.36099999999999</v>
      </c>
      <c r="F467">
        <v>164.602</v>
      </c>
      <c r="G467">
        <v>233.01</v>
      </c>
      <c r="H467">
        <v>199.61699999999999</v>
      </c>
      <c r="I467">
        <v>222.904</v>
      </c>
    </row>
    <row r="468" spans="1:9" x14ac:dyDescent="0.25">
      <c r="A468" s="12">
        <v>42270</v>
      </c>
      <c r="B468">
        <v>256.815</v>
      </c>
      <c r="C468">
        <v>239.84299999999999</v>
      </c>
      <c r="E468">
        <v>182.01300000000001</v>
      </c>
      <c r="F468">
        <v>164.65</v>
      </c>
      <c r="G468">
        <v>233.81</v>
      </c>
      <c r="H468">
        <v>199.71799999999999</v>
      </c>
      <c r="I468">
        <v>222.24100000000001</v>
      </c>
    </row>
    <row r="469" spans="1:9" x14ac:dyDescent="0.25">
      <c r="A469" s="12">
        <v>42271</v>
      </c>
      <c r="B469">
        <v>255.672</v>
      </c>
      <c r="C469">
        <v>239.65</v>
      </c>
      <c r="E469">
        <v>180.744</v>
      </c>
      <c r="F469">
        <v>164.696</v>
      </c>
      <c r="G469">
        <v>232.965</v>
      </c>
      <c r="H469">
        <v>199.64599999999999</v>
      </c>
      <c r="I469">
        <v>222.18899999999999</v>
      </c>
    </row>
    <row r="470" spans="1:9" x14ac:dyDescent="0.25">
      <c r="A470" s="12">
        <v>42272</v>
      </c>
      <c r="B470">
        <v>254.71</v>
      </c>
      <c r="C470">
        <v>239.19</v>
      </c>
      <c r="E470">
        <v>180.56700000000001</v>
      </c>
      <c r="F470">
        <v>164.56200000000001</v>
      </c>
      <c r="G470">
        <v>232.435</v>
      </c>
      <c r="H470">
        <v>199.51499999999999</v>
      </c>
      <c r="I470">
        <v>221.32</v>
      </c>
    </row>
    <row r="471" spans="1:9" x14ac:dyDescent="0.25">
      <c r="A471" s="12">
        <v>42275</v>
      </c>
      <c r="B471">
        <v>253.95099999999999</v>
      </c>
      <c r="C471">
        <v>239.06800000000001</v>
      </c>
      <c r="E471">
        <v>178.89699999999999</v>
      </c>
      <c r="F471">
        <v>164.36799999999999</v>
      </c>
      <c r="G471">
        <v>231.30099999999999</v>
      </c>
      <c r="H471">
        <v>199.46899999999999</v>
      </c>
      <c r="I471">
        <v>222.02799999999999</v>
      </c>
    </row>
    <row r="472" spans="1:9" x14ac:dyDescent="0.25">
      <c r="A472" s="12">
        <v>42276</v>
      </c>
      <c r="B472">
        <v>254.35</v>
      </c>
      <c r="C472">
        <v>238.715</v>
      </c>
      <c r="E472">
        <v>180.58</v>
      </c>
      <c r="F472">
        <v>164.23500000000001</v>
      </c>
      <c r="G472">
        <v>232.298</v>
      </c>
      <c r="H472">
        <v>199.399</v>
      </c>
      <c r="I472">
        <v>221.404</v>
      </c>
    </row>
    <row r="473" spans="1:9" x14ac:dyDescent="0.25">
      <c r="A473" s="12">
        <v>42277</v>
      </c>
      <c r="B473">
        <v>253.404</v>
      </c>
      <c r="C473">
        <v>238.24600000000001</v>
      </c>
      <c r="E473">
        <v>178.726</v>
      </c>
      <c r="F473">
        <v>164.053</v>
      </c>
      <c r="G473">
        <v>231.17400000000001</v>
      </c>
      <c r="H473">
        <v>199.262</v>
      </c>
      <c r="I473">
        <v>220.91200000000001</v>
      </c>
    </row>
    <row r="474" spans="1:9" x14ac:dyDescent="0.25">
      <c r="A474" s="12">
        <v>42278</v>
      </c>
      <c r="B474">
        <v>252.541</v>
      </c>
      <c r="C474">
        <v>237.89</v>
      </c>
      <c r="E474">
        <v>177.97300000000001</v>
      </c>
      <c r="F474">
        <v>163.69399999999999</v>
      </c>
      <c r="G474">
        <v>229.929</v>
      </c>
      <c r="H474">
        <v>199.107</v>
      </c>
      <c r="I474">
        <v>221.41900000000001</v>
      </c>
    </row>
    <row r="475" spans="1:9" x14ac:dyDescent="0.25">
      <c r="A475" s="12">
        <v>42279</v>
      </c>
      <c r="B475">
        <v>253.74799999999999</v>
      </c>
      <c r="C475">
        <v>238.18600000000001</v>
      </c>
      <c r="E475">
        <v>179.745</v>
      </c>
      <c r="F475">
        <v>163.94800000000001</v>
      </c>
      <c r="G475">
        <v>231.1</v>
      </c>
      <c r="H475">
        <v>199.13200000000001</v>
      </c>
      <c r="I475">
        <v>221.654</v>
      </c>
    </row>
    <row r="476" spans="1:9" x14ac:dyDescent="0.25">
      <c r="A476" s="12">
        <v>42282</v>
      </c>
      <c r="B476">
        <v>254.18100000000001</v>
      </c>
      <c r="C476">
        <v>238.346</v>
      </c>
      <c r="E476">
        <v>179.79</v>
      </c>
      <c r="F476">
        <v>164.16300000000001</v>
      </c>
      <c r="G476">
        <v>231.56899999999999</v>
      </c>
      <c r="H476">
        <v>199.226</v>
      </c>
      <c r="I476">
        <v>221.67500000000001</v>
      </c>
    </row>
    <row r="477" spans="1:9" x14ac:dyDescent="0.25">
      <c r="A477" s="12">
        <v>42283</v>
      </c>
      <c r="B477">
        <v>254.26400000000001</v>
      </c>
      <c r="C477">
        <v>238.45500000000001</v>
      </c>
      <c r="E477">
        <v>179.899</v>
      </c>
      <c r="F477">
        <v>164.25899999999999</v>
      </c>
      <c r="G477">
        <v>231.33699999999999</v>
      </c>
      <c r="H477">
        <v>199.24299999999999</v>
      </c>
      <c r="I477">
        <v>222.71700000000001</v>
      </c>
    </row>
    <row r="478" spans="1:9" x14ac:dyDescent="0.25">
      <c r="A478" s="12">
        <v>42284</v>
      </c>
      <c r="B478">
        <v>255.89400000000001</v>
      </c>
      <c r="C478">
        <v>238.75</v>
      </c>
      <c r="E478">
        <v>181.96600000000001</v>
      </c>
      <c r="F478">
        <v>164.239</v>
      </c>
      <c r="G478">
        <v>233.251</v>
      </c>
      <c r="H478">
        <v>199.37899999999999</v>
      </c>
      <c r="I478">
        <v>222.977</v>
      </c>
    </row>
    <row r="479" spans="1:9" x14ac:dyDescent="0.25">
      <c r="A479" s="12">
        <v>42285</v>
      </c>
      <c r="B479">
        <v>257.36700000000002</v>
      </c>
      <c r="C479">
        <v>239.00800000000001</v>
      </c>
      <c r="E479">
        <v>182.04400000000001</v>
      </c>
      <c r="F479">
        <v>164.26499999999999</v>
      </c>
      <c r="G479">
        <v>233.696</v>
      </c>
      <c r="H479">
        <v>199.47499999999999</v>
      </c>
      <c r="I479">
        <v>223.179</v>
      </c>
    </row>
    <row r="480" spans="1:9" x14ac:dyDescent="0.25">
      <c r="A480" s="12">
        <v>42286</v>
      </c>
      <c r="B480">
        <v>257.91300000000001</v>
      </c>
      <c r="C480">
        <v>239.279</v>
      </c>
      <c r="E480">
        <v>182.52</v>
      </c>
      <c r="F480">
        <v>164.483</v>
      </c>
      <c r="G480">
        <v>233.90100000000001</v>
      </c>
      <c r="H480">
        <v>199.607</v>
      </c>
      <c r="I480">
        <v>223.249</v>
      </c>
    </row>
    <row r="481" spans="1:9" x14ac:dyDescent="0.25">
      <c r="A481" s="12">
        <v>42289</v>
      </c>
      <c r="B481">
        <v>257.87799999999999</v>
      </c>
      <c r="C481">
        <v>239.31700000000001</v>
      </c>
      <c r="E481">
        <v>182.678</v>
      </c>
      <c r="F481">
        <v>164.489</v>
      </c>
      <c r="G481">
        <v>233.95599999999999</v>
      </c>
      <c r="H481">
        <v>199.648</v>
      </c>
      <c r="I481">
        <v>223.22300000000001</v>
      </c>
    </row>
    <row r="482" spans="1:9" x14ac:dyDescent="0.25">
      <c r="A482" s="12">
        <v>42290</v>
      </c>
      <c r="B482">
        <v>258.41800000000001</v>
      </c>
      <c r="C482">
        <v>239.39599999999999</v>
      </c>
      <c r="E482">
        <v>182.97</v>
      </c>
      <c r="F482">
        <v>164.44</v>
      </c>
      <c r="G482">
        <v>234.20699999999999</v>
      </c>
      <c r="H482">
        <v>199.642</v>
      </c>
      <c r="I482">
        <v>223.20699999999999</v>
      </c>
    </row>
    <row r="483" spans="1:9" x14ac:dyDescent="0.25">
      <c r="A483" s="12">
        <v>42291</v>
      </c>
      <c r="B483">
        <v>258.16300000000001</v>
      </c>
      <c r="C483">
        <v>239.571</v>
      </c>
      <c r="E483">
        <v>182.964</v>
      </c>
      <c r="F483">
        <v>164.602</v>
      </c>
      <c r="G483">
        <v>234.07900000000001</v>
      </c>
      <c r="H483">
        <v>199.70400000000001</v>
      </c>
      <c r="I483">
        <v>222.87200000000001</v>
      </c>
    </row>
    <row r="484" spans="1:9" x14ac:dyDescent="0.25">
      <c r="A484" s="12">
        <v>42292</v>
      </c>
      <c r="B484">
        <v>257.75</v>
      </c>
      <c r="C484">
        <v>239.459</v>
      </c>
      <c r="E484">
        <v>182.62299999999999</v>
      </c>
      <c r="F484">
        <v>164.56</v>
      </c>
      <c r="G484">
        <v>233.65299999999999</v>
      </c>
      <c r="H484">
        <v>199.66300000000001</v>
      </c>
      <c r="I484">
        <v>222.83699999999999</v>
      </c>
    </row>
    <row r="485" spans="1:9" x14ac:dyDescent="0.25">
      <c r="A485" s="12">
        <v>42293</v>
      </c>
      <c r="B485">
        <v>257.57400000000001</v>
      </c>
      <c r="C485">
        <v>239.482</v>
      </c>
      <c r="E485">
        <v>182.005</v>
      </c>
      <c r="F485">
        <v>164.6</v>
      </c>
      <c r="G485">
        <v>233.172</v>
      </c>
      <c r="H485">
        <v>199.67</v>
      </c>
      <c r="I485">
        <v>222.976</v>
      </c>
    </row>
    <row r="486" spans="1:9" x14ac:dyDescent="0.25">
      <c r="A486" s="12">
        <v>42296</v>
      </c>
      <c r="B486">
        <v>258.26799999999997</v>
      </c>
      <c r="C486">
        <v>239.761</v>
      </c>
      <c r="E486">
        <v>182.72800000000001</v>
      </c>
      <c r="F486">
        <v>164.649</v>
      </c>
      <c r="G486">
        <v>233.76300000000001</v>
      </c>
      <c r="H486">
        <v>199.751</v>
      </c>
      <c r="I486">
        <v>223.33600000000001</v>
      </c>
    </row>
    <row r="487" spans="1:9" x14ac:dyDescent="0.25">
      <c r="A487" s="12">
        <v>42297</v>
      </c>
      <c r="B487">
        <v>258.78899999999999</v>
      </c>
      <c r="C487">
        <v>239.96100000000001</v>
      </c>
      <c r="E487">
        <v>183.44800000000001</v>
      </c>
      <c r="F487">
        <v>164.75299999999999</v>
      </c>
      <c r="G487">
        <v>234.40199999999999</v>
      </c>
      <c r="H487">
        <v>199.85300000000001</v>
      </c>
      <c r="I487">
        <v>223.54</v>
      </c>
    </row>
    <row r="488" spans="1:9" x14ac:dyDescent="0.25">
      <c r="A488" s="12">
        <v>42298</v>
      </c>
      <c r="B488">
        <v>258.79899999999998</v>
      </c>
      <c r="C488">
        <v>239.95599999999999</v>
      </c>
      <c r="E488">
        <v>183.53200000000001</v>
      </c>
      <c r="F488">
        <v>164.767</v>
      </c>
      <c r="G488">
        <v>234.57900000000001</v>
      </c>
      <c r="H488">
        <v>199.88800000000001</v>
      </c>
      <c r="I488">
        <v>223.31</v>
      </c>
    </row>
    <row r="489" spans="1:9" x14ac:dyDescent="0.25">
      <c r="A489" s="12">
        <v>42299</v>
      </c>
      <c r="B489">
        <v>258.90600000000001</v>
      </c>
      <c r="C489">
        <v>239.93899999999999</v>
      </c>
      <c r="E489">
        <v>183.27699999999999</v>
      </c>
      <c r="F489">
        <v>164.589</v>
      </c>
      <c r="G489">
        <v>234.41</v>
      </c>
      <c r="H489">
        <v>199.83699999999999</v>
      </c>
      <c r="I489">
        <v>223.322</v>
      </c>
    </row>
    <row r="490" spans="1:9" x14ac:dyDescent="0.25">
      <c r="A490" s="12">
        <v>42300</v>
      </c>
      <c r="B490">
        <v>259.18</v>
      </c>
      <c r="C490">
        <v>240.03399999999999</v>
      </c>
      <c r="E490">
        <v>183.41200000000001</v>
      </c>
      <c r="F490">
        <v>164.71</v>
      </c>
      <c r="G490">
        <v>234.37700000000001</v>
      </c>
      <c r="H490">
        <v>199.834</v>
      </c>
      <c r="I490">
        <v>223.934</v>
      </c>
    </row>
    <row r="491" spans="1:9" x14ac:dyDescent="0.25">
      <c r="A491" s="12">
        <v>42303</v>
      </c>
      <c r="B491">
        <v>260.07900000000001</v>
      </c>
      <c r="C491">
        <v>240.66399999999999</v>
      </c>
      <c r="E491">
        <v>184.82900000000001</v>
      </c>
      <c r="F491">
        <v>165.089</v>
      </c>
      <c r="G491">
        <v>235.39699999999999</v>
      </c>
      <c r="H491">
        <v>199.995</v>
      </c>
      <c r="I491">
        <v>224.89099999999999</v>
      </c>
    </row>
    <row r="492" spans="1:9" x14ac:dyDescent="0.25">
      <c r="A492" s="12">
        <v>42304</v>
      </c>
      <c r="B492">
        <v>261.60300000000001</v>
      </c>
      <c r="C492">
        <v>240.87</v>
      </c>
      <c r="E492">
        <v>186.14599999999999</v>
      </c>
      <c r="F492">
        <v>165.24700000000001</v>
      </c>
      <c r="G492">
        <v>236.91900000000001</v>
      </c>
      <c r="H492">
        <v>200.11799999999999</v>
      </c>
      <c r="I492">
        <v>225.096</v>
      </c>
    </row>
    <row r="493" spans="1:9" x14ac:dyDescent="0.25">
      <c r="A493" s="12">
        <v>42305</v>
      </c>
      <c r="B493">
        <v>261.49099999999999</v>
      </c>
      <c r="C493">
        <v>241.042</v>
      </c>
      <c r="E493">
        <v>186.00899999999999</v>
      </c>
      <c r="F493">
        <v>165.33699999999999</v>
      </c>
      <c r="G493">
        <v>236.732</v>
      </c>
      <c r="H493">
        <v>200.13200000000001</v>
      </c>
      <c r="I493">
        <v>224.87200000000001</v>
      </c>
    </row>
    <row r="494" spans="1:9" x14ac:dyDescent="0.25">
      <c r="A494" s="12">
        <v>42306</v>
      </c>
      <c r="B494">
        <v>261.09199999999998</v>
      </c>
      <c r="C494">
        <v>240.98</v>
      </c>
      <c r="E494">
        <v>185.608</v>
      </c>
      <c r="F494">
        <v>165.48099999999999</v>
      </c>
      <c r="G494">
        <v>236.476</v>
      </c>
      <c r="H494">
        <v>200.215</v>
      </c>
      <c r="I494">
        <v>224.95400000000001</v>
      </c>
    </row>
    <row r="495" spans="1:9" x14ac:dyDescent="0.25">
      <c r="A495" s="12">
        <v>42307</v>
      </c>
      <c r="B495">
        <v>261.57499999999999</v>
      </c>
      <c r="C495">
        <v>241.18899999999999</v>
      </c>
      <c r="E495">
        <v>186.03299999999999</v>
      </c>
      <c r="F495">
        <v>165.5</v>
      </c>
      <c r="G495">
        <v>236.98400000000001</v>
      </c>
      <c r="H495">
        <v>200.286</v>
      </c>
      <c r="I495">
        <v>225.21199999999999</v>
      </c>
    </row>
    <row r="496" spans="1:9" x14ac:dyDescent="0.25">
      <c r="A496" s="12">
        <v>42310</v>
      </c>
      <c r="B496">
        <v>261.23099999999999</v>
      </c>
      <c r="C496">
        <v>240.999</v>
      </c>
      <c r="E496">
        <v>186.01900000000001</v>
      </c>
      <c r="F496">
        <v>165.33099999999999</v>
      </c>
      <c r="G496">
        <v>237.023</v>
      </c>
      <c r="H496">
        <v>200.13</v>
      </c>
      <c r="I496">
        <v>224.95699999999999</v>
      </c>
    </row>
    <row r="497" spans="1:9" x14ac:dyDescent="0.25">
      <c r="A497" s="12">
        <v>42311</v>
      </c>
      <c r="B497">
        <v>261.35199999999998</v>
      </c>
      <c r="C497">
        <v>240.99600000000001</v>
      </c>
      <c r="E497">
        <v>185.828</v>
      </c>
      <c r="F497">
        <v>165.30699999999999</v>
      </c>
      <c r="G497">
        <v>236.74199999999999</v>
      </c>
      <c r="H497">
        <v>200.065</v>
      </c>
      <c r="I497">
        <v>225.14500000000001</v>
      </c>
    </row>
    <row r="498" spans="1:9" x14ac:dyDescent="0.25">
      <c r="A498" s="12">
        <v>42312</v>
      </c>
      <c r="B498">
        <v>261.54500000000002</v>
      </c>
      <c r="C498">
        <v>241.16499999999999</v>
      </c>
      <c r="E498">
        <v>185.94200000000001</v>
      </c>
      <c r="F498">
        <v>165.23500000000001</v>
      </c>
      <c r="G498">
        <v>237.19</v>
      </c>
      <c r="H498">
        <v>200.173</v>
      </c>
      <c r="I498">
        <v>225.31200000000001</v>
      </c>
    </row>
    <row r="499" spans="1:9" x14ac:dyDescent="0.25">
      <c r="A499" s="12">
        <v>42313</v>
      </c>
      <c r="B499">
        <v>261.69799999999998</v>
      </c>
      <c r="C499">
        <v>241.27099999999999</v>
      </c>
      <c r="E499">
        <v>186.62100000000001</v>
      </c>
      <c r="F499">
        <v>165.36699999999999</v>
      </c>
      <c r="G499">
        <v>237.70699999999999</v>
      </c>
      <c r="H499">
        <v>200.22800000000001</v>
      </c>
      <c r="I499">
        <v>225.58699999999999</v>
      </c>
    </row>
    <row r="500" spans="1:9" x14ac:dyDescent="0.25">
      <c r="A500" s="12">
        <v>42314</v>
      </c>
      <c r="B500">
        <v>262.23500000000001</v>
      </c>
      <c r="C500">
        <v>241.452</v>
      </c>
      <c r="E500">
        <v>187.02500000000001</v>
      </c>
      <c r="F500">
        <v>165.41</v>
      </c>
      <c r="G500">
        <v>238.17099999999999</v>
      </c>
      <c r="H500">
        <v>200.30600000000001</v>
      </c>
      <c r="I500">
        <v>225.60900000000001</v>
      </c>
    </row>
    <row r="501" spans="1:9" x14ac:dyDescent="0.25">
      <c r="A501" s="12">
        <v>42317</v>
      </c>
      <c r="B501">
        <v>262.17899999999997</v>
      </c>
      <c r="C501">
        <v>241.38</v>
      </c>
      <c r="E501">
        <v>186.881</v>
      </c>
      <c r="F501">
        <v>165.4</v>
      </c>
      <c r="G501">
        <v>238.08699999999999</v>
      </c>
      <c r="H501">
        <v>200.24100000000001</v>
      </c>
      <c r="I501">
        <v>225.62100000000001</v>
      </c>
    </row>
    <row r="502" spans="1:9" x14ac:dyDescent="0.25">
      <c r="A502" s="12">
        <v>42318</v>
      </c>
      <c r="B502">
        <v>261.50200000000001</v>
      </c>
      <c r="C502">
        <v>241.36099999999999</v>
      </c>
      <c r="E502">
        <v>186.869</v>
      </c>
      <c r="F502">
        <v>165.13399999999999</v>
      </c>
      <c r="G502">
        <v>238.04599999999999</v>
      </c>
      <c r="H502">
        <v>200.232</v>
      </c>
      <c r="I502">
        <v>225.483</v>
      </c>
    </row>
    <row r="503" spans="1:9" x14ac:dyDescent="0.25">
      <c r="A503" s="12">
        <v>42319</v>
      </c>
      <c r="B503">
        <v>261.25099999999998</v>
      </c>
      <c r="C503">
        <v>241.28700000000001</v>
      </c>
      <c r="E503">
        <v>186.04</v>
      </c>
      <c r="F503">
        <v>165.15899999999999</v>
      </c>
      <c r="G503">
        <v>237.58500000000001</v>
      </c>
      <c r="H503">
        <v>200.08699999999999</v>
      </c>
      <c r="I503">
        <v>225.727</v>
      </c>
    </row>
    <row r="504" spans="1:9" x14ac:dyDescent="0.25">
      <c r="A504" s="12">
        <v>42320</v>
      </c>
      <c r="B504">
        <v>260.89600000000002</v>
      </c>
      <c r="C504">
        <v>241.316</v>
      </c>
      <c r="E504">
        <v>186.41300000000001</v>
      </c>
      <c r="F504">
        <v>165.316</v>
      </c>
      <c r="G504">
        <v>237.63399999999999</v>
      </c>
      <c r="H504">
        <v>200.125</v>
      </c>
      <c r="I504">
        <v>225.791</v>
      </c>
    </row>
    <row r="505" spans="1:9" x14ac:dyDescent="0.25">
      <c r="A505" s="12">
        <v>42321</v>
      </c>
      <c r="B505">
        <v>261.18599999999998</v>
      </c>
      <c r="C505">
        <v>241.34299999999999</v>
      </c>
      <c r="E505">
        <v>186.548</v>
      </c>
      <c r="F505">
        <v>165.31200000000001</v>
      </c>
      <c r="G505">
        <v>237.86099999999999</v>
      </c>
      <c r="H505">
        <v>200.11699999999999</v>
      </c>
      <c r="I505">
        <v>225.535</v>
      </c>
    </row>
    <row r="506" spans="1:9" x14ac:dyDescent="0.25">
      <c r="A506" s="12">
        <v>42324</v>
      </c>
      <c r="B506">
        <v>260.65899999999999</v>
      </c>
      <c r="C506">
        <v>241.28899999999999</v>
      </c>
      <c r="E506">
        <v>185.80199999999999</v>
      </c>
      <c r="F506">
        <v>165.27600000000001</v>
      </c>
      <c r="G506">
        <v>237.096</v>
      </c>
      <c r="H506">
        <v>200.06200000000001</v>
      </c>
      <c r="I506">
        <v>225.292</v>
      </c>
    </row>
    <row r="507" spans="1:9" x14ac:dyDescent="0.25">
      <c r="A507" s="12">
        <v>42325</v>
      </c>
      <c r="B507">
        <v>260.108</v>
      </c>
      <c r="C507">
        <v>241.42099999999999</v>
      </c>
      <c r="E507">
        <v>185.28299999999999</v>
      </c>
      <c r="F507">
        <v>165.35300000000001</v>
      </c>
      <c r="G507">
        <v>236.46</v>
      </c>
      <c r="H507">
        <v>200.09700000000001</v>
      </c>
      <c r="I507">
        <v>225.35300000000001</v>
      </c>
    </row>
    <row r="508" spans="1:9" x14ac:dyDescent="0.25">
      <c r="A508" s="12">
        <v>42327</v>
      </c>
      <c r="B508">
        <v>260.33199999999999</v>
      </c>
      <c r="C508">
        <v>241.53</v>
      </c>
      <c r="E508">
        <v>185.327</v>
      </c>
      <c r="F508">
        <v>165.328</v>
      </c>
      <c r="G508">
        <v>236.595</v>
      </c>
      <c r="H508">
        <v>200.16200000000001</v>
      </c>
      <c r="I508">
        <v>225.93899999999999</v>
      </c>
    </row>
    <row r="509" spans="1:9" x14ac:dyDescent="0.25">
      <c r="A509" s="12">
        <v>42328</v>
      </c>
      <c r="B509">
        <v>261.53500000000003</v>
      </c>
      <c r="C509">
        <v>241.81899999999999</v>
      </c>
      <c r="E509">
        <v>186.851</v>
      </c>
      <c r="F509">
        <v>165.542</v>
      </c>
      <c r="G509">
        <v>237.72900000000001</v>
      </c>
      <c r="H509">
        <v>200.27500000000001</v>
      </c>
      <c r="I509">
        <v>226.06</v>
      </c>
    </row>
    <row r="510" spans="1:9" x14ac:dyDescent="0.25">
      <c r="A510" s="12">
        <v>42331</v>
      </c>
      <c r="B510">
        <v>262.33600000000001</v>
      </c>
      <c r="C510">
        <v>241.94399999999999</v>
      </c>
      <c r="E510">
        <v>187.07599999999999</v>
      </c>
      <c r="F510">
        <v>165.58099999999999</v>
      </c>
      <c r="G510">
        <v>238.06700000000001</v>
      </c>
      <c r="H510">
        <v>200.27199999999999</v>
      </c>
      <c r="I510">
        <v>226.30600000000001</v>
      </c>
    </row>
    <row r="511" spans="1:9" x14ac:dyDescent="0.25">
      <c r="A511" s="12">
        <v>42332</v>
      </c>
      <c r="B511">
        <v>262.577</v>
      </c>
      <c r="C511">
        <v>242.18299999999999</v>
      </c>
      <c r="E511">
        <v>187.898</v>
      </c>
      <c r="F511">
        <v>165.72200000000001</v>
      </c>
      <c r="G511">
        <v>238.565</v>
      </c>
      <c r="H511">
        <v>200.392</v>
      </c>
      <c r="I511">
        <v>226.34200000000001</v>
      </c>
    </row>
    <row r="512" spans="1:9" x14ac:dyDescent="0.25">
      <c r="A512" s="12">
        <v>42333</v>
      </c>
      <c r="B512">
        <v>262.33199999999999</v>
      </c>
      <c r="C512">
        <v>242.13399999999999</v>
      </c>
      <c r="E512">
        <v>187.87299999999999</v>
      </c>
      <c r="F512">
        <v>165.696</v>
      </c>
      <c r="G512">
        <v>238.36</v>
      </c>
      <c r="H512">
        <v>200.35</v>
      </c>
      <c r="I512">
        <v>226.083</v>
      </c>
    </row>
    <row r="513" spans="1:9" x14ac:dyDescent="0.25">
      <c r="A513" s="12">
        <v>42334</v>
      </c>
      <c r="B513">
        <v>262.06299999999999</v>
      </c>
      <c r="C513">
        <v>242.209</v>
      </c>
      <c r="E513">
        <v>187.095</v>
      </c>
      <c r="F513">
        <v>165.64099999999999</v>
      </c>
      <c r="G513">
        <v>237.86199999999999</v>
      </c>
      <c r="H513">
        <v>200.453</v>
      </c>
      <c r="I513">
        <v>226.47300000000001</v>
      </c>
    </row>
    <row r="514" spans="1:9" x14ac:dyDescent="0.25">
      <c r="A514" s="12">
        <v>42335</v>
      </c>
      <c r="B514">
        <v>262.69200000000001</v>
      </c>
      <c r="C514">
        <v>242.16300000000001</v>
      </c>
      <c r="E514">
        <v>187.863</v>
      </c>
      <c r="F514">
        <v>165.767</v>
      </c>
      <c r="G514">
        <v>238.477</v>
      </c>
      <c r="H514">
        <v>200.44300000000001</v>
      </c>
      <c r="I514">
        <v>226.559</v>
      </c>
    </row>
    <row r="515" spans="1:9" x14ac:dyDescent="0.25">
      <c r="A515" s="12">
        <v>42338</v>
      </c>
      <c r="B515">
        <v>263.10000000000002</v>
      </c>
      <c r="C515">
        <v>242.21799999999999</v>
      </c>
      <c r="E515">
        <v>188.36</v>
      </c>
      <c r="F515">
        <v>165.77500000000001</v>
      </c>
      <c r="G515">
        <v>238.63200000000001</v>
      </c>
      <c r="H515">
        <v>200.518</v>
      </c>
      <c r="I515">
        <v>226.57400000000001</v>
      </c>
    </row>
    <row r="516" spans="1:9" x14ac:dyDescent="0.25">
      <c r="A516" s="12">
        <v>42339</v>
      </c>
      <c r="B516">
        <v>263.17</v>
      </c>
      <c r="C516">
        <v>242.22399999999999</v>
      </c>
      <c r="E516">
        <v>188.024</v>
      </c>
      <c r="F516">
        <v>165.81399999999999</v>
      </c>
      <c r="G516">
        <v>238.62700000000001</v>
      </c>
      <c r="H516">
        <v>200.56100000000001</v>
      </c>
      <c r="I516">
        <v>226.578</v>
      </c>
    </row>
    <row r="517" spans="1:9" x14ac:dyDescent="0.25">
      <c r="A517" s="12">
        <v>42340</v>
      </c>
      <c r="B517">
        <v>263.21199999999999</v>
      </c>
      <c r="C517">
        <v>242.25399999999999</v>
      </c>
      <c r="E517">
        <v>188.15799999999999</v>
      </c>
      <c r="F517">
        <v>165.80699999999999</v>
      </c>
      <c r="G517">
        <v>238.637</v>
      </c>
      <c r="H517">
        <v>200.631</v>
      </c>
      <c r="I517">
        <v>226.55099999999999</v>
      </c>
    </row>
    <row r="518" spans="1:9" x14ac:dyDescent="0.25">
      <c r="A518" s="12">
        <v>42341</v>
      </c>
      <c r="B518">
        <v>263.39</v>
      </c>
      <c r="C518">
        <v>242.34100000000001</v>
      </c>
      <c r="E518">
        <v>188.154</v>
      </c>
      <c r="F518">
        <v>165.84399999999999</v>
      </c>
      <c r="G518">
        <v>238.727</v>
      </c>
      <c r="H518">
        <v>200.749</v>
      </c>
      <c r="I518">
        <v>226.613</v>
      </c>
    </row>
    <row r="519" spans="1:9" x14ac:dyDescent="0.25">
      <c r="A519" s="12">
        <v>42342</v>
      </c>
      <c r="B519">
        <v>263.29300000000001</v>
      </c>
      <c r="C519">
        <v>242.333</v>
      </c>
      <c r="E519">
        <v>188.43799999999999</v>
      </c>
      <c r="F519">
        <v>165.934</v>
      </c>
      <c r="G519">
        <v>238.87299999999999</v>
      </c>
      <c r="H519">
        <v>200.76300000000001</v>
      </c>
      <c r="I519">
        <v>225.8</v>
      </c>
    </row>
    <row r="520" spans="1:9" x14ac:dyDescent="0.25">
      <c r="A520" s="12">
        <v>42345</v>
      </c>
      <c r="B520">
        <v>261.56700000000001</v>
      </c>
      <c r="C520">
        <v>241.398</v>
      </c>
      <c r="E520">
        <v>185.34399999999999</v>
      </c>
      <c r="F520">
        <v>164.971</v>
      </c>
      <c r="G520">
        <v>236.82</v>
      </c>
      <c r="H520">
        <v>200.27099999999999</v>
      </c>
      <c r="I520">
        <v>225.291</v>
      </c>
    </row>
    <row r="521" spans="1:9" x14ac:dyDescent="0.25">
      <c r="A521" s="12">
        <v>42346</v>
      </c>
      <c r="B521">
        <v>260.76600000000002</v>
      </c>
      <c r="C521">
        <v>241.541</v>
      </c>
      <c r="E521">
        <v>185.27</v>
      </c>
      <c r="F521">
        <v>164.876</v>
      </c>
      <c r="G521">
        <v>235.98599999999999</v>
      </c>
      <c r="H521">
        <v>200.21799999999999</v>
      </c>
      <c r="I521">
        <v>225.48</v>
      </c>
    </row>
    <row r="522" spans="1:9" x14ac:dyDescent="0.25">
      <c r="A522" s="12">
        <v>42347</v>
      </c>
      <c r="B522">
        <v>261.13799999999998</v>
      </c>
      <c r="C522">
        <v>241.39699999999999</v>
      </c>
      <c r="E522">
        <v>185.60300000000001</v>
      </c>
      <c r="F522">
        <v>165.16399999999999</v>
      </c>
      <c r="G522">
        <v>236.499</v>
      </c>
      <c r="H522">
        <v>200.226</v>
      </c>
      <c r="I522">
        <v>225.05199999999999</v>
      </c>
    </row>
    <row r="523" spans="1:9" x14ac:dyDescent="0.25">
      <c r="A523" s="12">
        <v>42348</v>
      </c>
      <c r="B523">
        <v>259.86099999999999</v>
      </c>
      <c r="C523">
        <v>241.095</v>
      </c>
      <c r="E523">
        <v>184.74799999999999</v>
      </c>
      <c r="F523">
        <v>165.108</v>
      </c>
      <c r="G523">
        <v>235.39</v>
      </c>
      <c r="H523">
        <v>200.10400000000001</v>
      </c>
      <c r="I523">
        <v>224.822</v>
      </c>
    </row>
    <row r="524" spans="1:9" x14ac:dyDescent="0.25">
      <c r="A524" s="12">
        <v>42349</v>
      </c>
      <c r="B524">
        <v>259.73099999999999</v>
      </c>
      <c r="C524">
        <v>240.95599999999999</v>
      </c>
      <c r="E524">
        <v>184.17699999999999</v>
      </c>
      <c r="F524">
        <v>164.89400000000001</v>
      </c>
      <c r="G524">
        <v>234.89099999999999</v>
      </c>
      <c r="H524">
        <v>199.98599999999999</v>
      </c>
      <c r="I524">
        <v>224.78800000000001</v>
      </c>
    </row>
    <row r="525" spans="1:9" x14ac:dyDescent="0.25">
      <c r="A525" s="12">
        <v>42352</v>
      </c>
      <c r="B525">
        <v>259.16800000000001</v>
      </c>
      <c r="C525">
        <v>240.804</v>
      </c>
      <c r="E525">
        <v>184.05500000000001</v>
      </c>
      <c r="F525">
        <v>164.91399999999999</v>
      </c>
      <c r="G525">
        <v>234.602</v>
      </c>
      <c r="H525">
        <v>199.97499999999999</v>
      </c>
      <c r="I525">
        <v>224.39599999999999</v>
      </c>
    </row>
    <row r="526" spans="1:9" x14ac:dyDescent="0.25">
      <c r="A526" s="12">
        <v>42353</v>
      </c>
      <c r="B526">
        <v>258.06799999999998</v>
      </c>
      <c r="C526">
        <v>240.49</v>
      </c>
      <c r="E526">
        <v>182.69300000000001</v>
      </c>
      <c r="F526">
        <v>164.80500000000001</v>
      </c>
      <c r="G526">
        <v>233.351</v>
      </c>
      <c r="H526">
        <v>199.828</v>
      </c>
      <c r="I526">
        <v>224.03700000000001</v>
      </c>
    </row>
    <row r="527" spans="1:9" x14ac:dyDescent="0.25">
      <c r="A527" s="12">
        <v>42354</v>
      </c>
      <c r="B527">
        <v>257.38099999999997</v>
      </c>
      <c r="C527">
        <v>240.012</v>
      </c>
      <c r="E527">
        <v>181.565</v>
      </c>
      <c r="F527">
        <v>164.38800000000001</v>
      </c>
      <c r="G527">
        <v>232.56100000000001</v>
      </c>
      <c r="H527">
        <v>199.637</v>
      </c>
      <c r="I527">
        <v>224.547</v>
      </c>
    </row>
    <row r="528" spans="1:9" x14ac:dyDescent="0.25">
      <c r="A528" s="12">
        <v>42355</v>
      </c>
      <c r="B528">
        <v>258.04199999999997</v>
      </c>
      <c r="C528">
        <v>239.99799999999999</v>
      </c>
      <c r="E528">
        <v>183.209</v>
      </c>
      <c r="F528">
        <v>164.33699999999999</v>
      </c>
      <c r="G528">
        <v>233.536</v>
      </c>
      <c r="H528">
        <v>199.63399999999999</v>
      </c>
      <c r="I528">
        <v>224.51400000000001</v>
      </c>
    </row>
    <row r="529" spans="1:9" x14ac:dyDescent="0.25">
      <c r="A529" s="12">
        <v>42356</v>
      </c>
      <c r="B529">
        <v>259.02999999999997</v>
      </c>
      <c r="C529">
        <v>240.286</v>
      </c>
      <c r="E529">
        <v>183.42699999999999</v>
      </c>
      <c r="F529">
        <v>164.31800000000001</v>
      </c>
      <c r="G529">
        <v>234.24299999999999</v>
      </c>
      <c r="H529">
        <v>199.74600000000001</v>
      </c>
      <c r="I529">
        <v>225.012</v>
      </c>
    </row>
    <row r="530" spans="1:9" x14ac:dyDescent="0.25">
      <c r="A530" s="12">
        <v>42359</v>
      </c>
      <c r="B530">
        <v>259.80900000000003</v>
      </c>
      <c r="C530">
        <v>240.374</v>
      </c>
      <c r="E530">
        <v>184.434</v>
      </c>
      <c r="F530">
        <v>164.66200000000001</v>
      </c>
      <c r="G530">
        <v>234.95500000000001</v>
      </c>
      <c r="H530">
        <v>199.78700000000001</v>
      </c>
      <c r="I530">
        <v>224.786</v>
      </c>
    </row>
    <row r="531" spans="1:9" x14ac:dyDescent="0.25">
      <c r="A531" s="12">
        <v>42360</v>
      </c>
      <c r="B531">
        <v>258.92700000000002</v>
      </c>
      <c r="C531">
        <v>240.35300000000001</v>
      </c>
      <c r="E531">
        <v>183.7</v>
      </c>
      <c r="F531">
        <v>164.73599999999999</v>
      </c>
      <c r="G531">
        <v>234.227</v>
      </c>
      <c r="H531">
        <v>199.80099999999999</v>
      </c>
      <c r="I531">
        <v>224.38</v>
      </c>
    </row>
    <row r="532" spans="1:9" x14ac:dyDescent="0.25">
      <c r="A532" s="12">
        <v>42361</v>
      </c>
      <c r="B532">
        <v>258.59899999999999</v>
      </c>
      <c r="C532">
        <v>240.149</v>
      </c>
      <c r="E532">
        <v>182.90899999999999</v>
      </c>
      <c r="F532">
        <v>164.608</v>
      </c>
      <c r="G532">
        <v>234.01400000000001</v>
      </c>
      <c r="H532">
        <v>199.71799999999999</v>
      </c>
      <c r="I532">
        <v>224.363</v>
      </c>
    </row>
    <row r="533" spans="1:9" x14ac:dyDescent="0.25">
      <c r="A533" s="12">
        <v>42366</v>
      </c>
      <c r="B533">
        <v>258.21600000000001</v>
      </c>
      <c r="C533">
        <v>240.136</v>
      </c>
      <c r="E533">
        <v>183.02099999999999</v>
      </c>
      <c r="F533">
        <v>164.417</v>
      </c>
      <c r="G533">
        <v>233.72300000000001</v>
      </c>
      <c r="H533">
        <v>199.76599999999999</v>
      </c>
      <c r="I533">
        <v>225.042</v>
      </c>
    </row>
    <row r="534" spans="1:9" x14ac:dyDescent="0.25">
      <c r="A534" s="12">
        <v>42367</v>
      </c>
      <c r="B534">
        <v>259.05700000000002</v>
      </c>
      <c r="C534">
        <v>240.11500000000001</v>
      </c>
      <c r="E534">
        <v>184.441</v>
      </c>
      <c r="F534">
        <v>164.464</v>
      </c>
      <c r="G534">
        <v>234.81100000000001</v>
      </c>
      <c r="H534">
        <v>199.774</v>
      </c>
      <c r="I534">
        <v>224.62799999999999</v>
      </c>
    </row>
    <row r="535" spans="1:9" x14ac:dyDescent="0.25">
      <c r="A535" s="12">
        <v>42368</v>
      </c>
      <c r="B535">
        <v>259.25799999999998</v>
      </c>
      <c r="C535">
        <v>240.23500000000001</v>
      </c>
      <c r="E535">
        <v>183.81399999999999</v>
      </c>
      <c r="F535">
        <v>164.55500000000001</v>
      </c>
      <c r="G535">
        <v>234.56100000000001</v>
      </c>
      <c r="H535">
        <v>199.732</v>
      </c>
      <c r="I535">
        <v>225.065</v>
      </c>
    </row>
    <row r="536" spans="1:9" x14ac:dyDescent="0.25">
      <c r="A536" s="12">
        <v>42369</v>
      </c>
      <c r="B536">
        <v>259.798</v>
      </c>
      <c r="C536">
        <v>240.297</v>
      </c>
      <c r="E536">
        <v>184.60400000000001</v>
      </c>
      <c r="F536">
        <v>164.494</v>
      </c>
      <c r="G536">
        <v>235.44900000000001</v>
      </c>
      <c r="H536">
        <v>199.84100000000001</v>
      </c>
      <c r="I536">
        <v>224.94</v>
      </c>
    </row>
    <row r="537" spans="1:9" x14ac:dyDescent="0.25">
      <c r="A537" s="12">
        <v>42373</v>
      </c>
      <c r="B537">
        <v>259.70499999999998</v>
      </c>
      <c r="C537">
        <v>240.20699999999999</v>
      </c>
      <c r="E537">
        <v>184.935</v>
      </c>
      <c r="F537">
        <v>164.51900000000001</v>
      </c>
      <c r="G537">
        <v>235.45099999999999</v>
      </c>
      <c r="H537">
        <v>199.84</v>
      </c>
      <c r="I537">
        <v>224.93799999999999</v>
      </c>
    </row>
    <row r="538" spans="1:9" x14ac:dyDescent="0.25">
      <c r="A538" s="12">
        <v>42374</v>
      </c>
      <c r="B538">
        <v>259.10899999999998</v>
      </c>
      <c r="C538">
        <v>240.226</v>
      </c>
      <c r="E538">
        <v>184.66900000000001</v>
      </c>
      <c r="F538">
        <v>164.517</v>
      </c>
      <c r="G538">
        <v>235.048</v>
      </c>
      <c r="H538">
        <v>199.708</v>
      </c>
      <c r="I538">
        <v>224.08</v>
      </c>
    </row>
    <row r="539" spans="1:9" x14ac:dyDescent="0.25">
      <c r="A539" s="12">
        <v>42375</v>
      </c>
      <c r="B539">
        <v>257.38099999999997</v>
      </c>
      <c r="C539">
        <v>240.55</v>
      </c>
      <c r="E539">
        <v>182.60599999999999</v>
      </c>
      <c r="F539">
        <v>164.81800000000001</v>
      </c>
      <c r="G539">
        <v>233.64</v>
      </c>
      <c r="H539">
        <v>200.096</v>
      </c>
      <c r="I539">
        <v>224.65100000000001</v>
      </c>
    </row>
    <row r="540" spans="1:9" x14ac:dyDescent="0.25">
      <c r="A540" s="12">
        <v>42376</v>
      </c>
      <c r="B540">
        <v>257.238</v>
      </c>
      <c r="C540">
        <v>240.584</v>
      </c>
      <c r="E540">
        <v>183.511</v>
      </c>
      <c r="F540">
        <v>164.99299999999999</v>
      </c>
      <c r="G540">
        <v>234.15700000000001</v>
      </c>
      <c r="H540">
        <v>200.18299999999999</v>
      </c>
      <c r="I540">
        <v>224.245</v>
      </c>
    </row>
    <row r="541" spans="1:9" x14ac:dyDescent="0.25">
      <c r="A541" s="12">
        <v>42377</v>
      </c>
      <c r="B541">
        <v>256.084</v>
      </c>
      <c r="C541">
        <v>240.30500000000001</v>
      </c>
      <c r="E541">
        <v>182.56100000000001</v>
      </c>
      <c r="F541">
        <v>165.059</v>
      </c>
      <c r="G541">
        <v>233.31299999999999</v>
      </c>
      <c r="H541">
        <v>200.12</v>
      </c>
      <c r="I541">
        <v>223.19200000000001</v>
      </c>
    </row>
    <row r="542" spans="1:9" x14ac:dyDescent="0.25">
      <c r="A542" s="12">
        <v>42380</v>
      </c>
      <c r="B542">
        <v>254.709</v>
      </c>
      <c r="C542">
        <v>240.07400000000001</v>
      </c>
      <c r="E542">
        <v>180.58799999999999</v>
      </c>
      <c r="F542">
        <v>164.74799999999999</v>
      </c>
      <c r="G542">
        <v>231.61500000000001</v>
      </c>
      <c r="H542">
        <v>200.01900000000001</v>
      </c>
      <c r="I542">
        <v>222.44499999999999</v>
      </c>
    </row>
    <row r="543" spans="1:9" x14ac:dyDescent="0.25">
      <c r="A543" s="12">
        <v>42381</v>
      </c>
      <c r="B543">
        <v>254.721</v>
      </c>
      <c r="C543">
        <v>239.91200000000001</v>
      </c>
      <c r="E543">
        <v>179.203</v>
      </c>
      <c r="F543">
        <v>164.774</v>
      </c>
      <c r="G543">
        <v>231.071</v>
      </c>
      <c r="H543">
        <v>199.93100000000001</v>
      </c>
      <c r="I543">
        <v>222.24</v>
      </c>
    </row>
    <row r="544" spans="1:9" x14ac:dyDescent="0.25">
      <c r="A544" s="12">
        <v>42382</v>
      </c>
      <c r="B544">
        <v>254.142</v>
      </c>
      <c r="C544">
        <v>239.81700000000001</v>
      </c>
      <c r="E544">
        <v>178.86500000000001</v>
      </c>
      <c r="F544">
        <v>164.67500000000001</v>
      </c>
      <c r="G544">
        <v>230.24100000000001</v>
      </c>
      <c r="H544">
        <v>199.88</v>
      </c>
      <c r="I544">
        <v>222.602</v>
      </c>
    </row>
    <row r="545" spans="1:9" x14ac:dyDescent="0.25">
      <c r="A545" s="12">
        <v>42383</v>
      </c>
      <c r="B545">
        <v>254.54900000000001</v>
      </c>
      <c r="C545">
        <v>239.86500000000001</v>
      </c>
      <c r="E545">
        <v>179.34700000000001</v>
      </c>
      <c r="F545">
        <v>164.67400000000001</v>
      </c>
      <c r="G545">
        <v>230.94399999999999</v>
      </c>
      <c r="H545">
        <v>199.79400000000001</v>
      </c>
      <c r="I545">
        <v>222.673</v>
      </c>
    </row>
    <row r="546" spans="1:9" x14ac:dyDescent="0.25">
      <c r="A546" s="12">
        <v>42384</v>
      </c>
      <c r="B546">
        <v>254.386</v>
      </c>
      <c r="C546">
        <v>239.666</v>
      </c>
      <c r="E546">
        <v>179.827</v>
      </c>
      <c r="F546">
        <v>164.62100000000001</v>
      </c>
      <c r="G546">
        <v>230.845</v>
      </c>
      <c r="H546">
        <v>199.72200000000001</v>
      </c>
      <c r="I546">
        <v>222.03299999999999</v>
      </c>
    </row>
    <row r="547" spans="1:9" x14ac:dyDescent="0.25">
      <c r="A547" s="12">
        <v>42387</v>
      </c>
      <c r="B547">
        <v>252.43199999999999</v>
      </c>
      <c r="C547">
        <v>239.43600000000001</v>
      </c>
      <c r="E547">
        <v>178.21700000000001</v>
      </c>
      <c r="F547">
        <v>164.15700000000001</v>
      </c>
      <c r="G547">
        <v>229.11500000000001</v>
      </c>
      <c r="H547">
        <v>199.608</v>
      </c>
      <c r="I547">
        <v>221.09</v>
      </c>
    </row>
    <row r="548" spans="1:9" x14ac:dyDescent="0.25">
      <c r="A548" s="12">
        <v>42388</v>
      </c>
      <c r="B548">
        <v>251.49100000000001</v>
      </c>
      <c r="C548">
        <v>239.07900000000001</v>
      </c>
      <c r="E548">
        <v>176.28899999999999</v>
      </c>
      <c r="F548">
        <v>163.91399999999999</v>
      </c>
      <c r="G548">
        <v>227.70599999999999</v>
      </c>
      <c r="H548">
        <v>199.44300000000001</v>
      </c>
      <c r="I548">
        <v>221.126</v>
      </c>
    </row>
    <row r="549" spans="1:9" x14ac:dyDescent="0.25">
      <c r="A549" s="12">
        <v>42389</v>
      </c>
      <c r="B549">
        <v>251.18199999999999</v>
      </c>
      <c r="C549">
        <v>238.999</v>
      </c>
      <c r="E549">
        <v>176.483</v>
      </c>
      <c r="F549">
        <v>163.87799999999999</v>
      </c>
      <c r="G549">
        <v>227.43299999999999</v>
      </c>
      <c r="H549">
        <v>199.285</v>
      </c>
      <c r="I549">
        <v>221.39599999999999</v>
      </c>
    </row>
    <row r="550" spans="1:9" x14ac:dyDescent="0.25">
      <c r="A550" s="12">
        <v>42390</v>
      </c>
      <c r="B550">
        <v>251.67099999999999</v>
      </c>
      <c r="C550">
        <v>238.727</v>
      </c>
      <c r="E550">
        <v>177.197</v>
      </c>
      <c r="F550">
        <v>163.834</v>
      </c>
      <c r="G550">
        <v>228.02</v>
      </c>
      <c r="H550">
        <v>199.167</v>
      </c>
      <c r="I550">
        <v>220.13</v>
      </c>
    </row>
    <row r="551" spans="1:9" x14ac:dyDescent="0.25">
      <c r="A551" s="12">
        <v>42391</v>
      </c>
      <c r="B551">
        <v>249.916</v>
      </c>
      <c r="C551">
        <v>238.38200000000001</v>
      </c>
      <c r="E551">
        <v>174.82499999999999</v>
      </c>
      <c r="F551">
        <v>163.744</v>
      </c>
      <c r="G551">
        <v>226.21</v>
      </c>
      <c r="H551">
        <v>199.047</v>
      </c>
      <c r="I551">
        <v>220.815</v>
      </c>
    </row>
    <row r="552" spans="1:9" x14ac:dyDescent="0.25">
      <c r="A552" s="12">
        <v>42394</v>
      </c>
      <c r="B552">
        <v>249.90799999999999</v>
      </c>
      <c r="C552">
        <v>238.363</v>
      </c>
      <c r="E552">
        <v>176.441</v>
      </c>
      <c r="F552">
        <v>163.929</v>
      </c>
      <c r="G552">
        <v>226.64400000000001</v>
      </c>
      <c r="H552">
        <v>199.03</v>
      </c>
      <c r="I552">
        <v>221.74799999999999</v>
      </c>
    </row>
    <row r="553" spans="1:9" x14ac:dyDescent="0.25">
      <c r="A553" s="12">
        <v>42395</v>
      </c>
      <c r="B553">
        <v>252.172</v>
      </c>
      <c r="C553">
        <v>238.72800000000001</v>
      </c>
      <c r="E553">
        <v>178.16499999999999</v>
      </c>
      <c r="F553">
        <v>164.19399999999999</v>
      </c>
      <c r="G553">
        <v>228.91399999999999</v>
      </c>
      <c r="H553">
        <v>199.209</v>
      </c>
      <c r="I553">
        <v>221.71</v>
      </c>
    </row>
    <row r="554" spans="1:9" x14ac:dyDescent="0.25">
      <c r="A554" s="12">
        <v>42396</v>
      </c>
      <c r="B554">
        <v>252.37100000000001</v>
      </c>
      <c r="C554">
        <v>238.755</v>
      </c>
      <c r="E554">
        <v>177.99600000000001</v>
      </c>
      <c r="F554">
        <v>164.25200000000001</v>
      </c>
      <c r="G554">
        <v>228.86</v>
      </c>
      <c r="H554">
        <v>199.351</v>
      </c>
      <c r="I554">
        <v>221.89099999999999</v>
      </c>
    </row>
    <row r="555" spans="1:9" x14ac:dyDescent="0.25">
      <c r="A555" s="12">
        <v>42397</v>
      </c>
      <c r="B555">
        <v>252.02099999999999</v>
      </c>
      <c r="C555">
        <v>238.77799999999999</v>
      </c>
      <c r="E555">
        <v>178.22200000000001</v>
      </c>
      <c r="F555">
        <v>164.30699999999999</v>
      </c>
      <c r="G555">
        <v>228.88399999999999</v>
      </c>
      <c r="H555">
        <v>199.364</v>
      </c>
      <c r="I555">
        <v>221.99700000000001</v>
      </c>
    </row>
    <row r="556" spans="1:9" x14ac:dyDescent="0.25">
      <c r="A556" s="12">
        <v>42398</v>
      </c>
      <c r="B556">
        <v>252.583</v>
      </c>
      <c r="C556">
        <v>238.91800000000001</v>
      </c>
      <c r="E556">
        <v>178.667</v>
      </c>
      <c r="F556">
        <v>164.39500000000001</v>
      </c>
      <c r="G556">
        <v>229.17699999999999</v>
      </c>
      <c r="H556">
        <v>199.44200000000001</v>
      </c>
      <c r="I556">
        <v>221.39</v>
      </c>
    </row>
    <row r="557" spans="1:9" x14ac:dyDescent="0.25">
      <c r="A557" s="12">
        <v>42401</v>
      </c>
      <c r="B557">
        <v>252.75800000000001</v>
      </c>
      <c r="C557">
        <v>239.14500000000001</v>
      </c>
      <c r="E557">
        <v>177.702</v>
      </c>
      <c r="F557">
        <v>164.709</v>
      </c>
      <c r="G557">
        <v>229.251</v>
      </c>
      <c r="H557">
        <v>199.53899999999999</v>
      </c>
      <c r="I557">
        <v>222.52600000000001</v>
      </c>
    </row>
    <row r="558" spans="1:9" x14ac:dyDescent="0.25">
      <c r="A558" s="12">
        <v>42402</v>
      </c>
      <c r="B558">
        <v>253.39400000000001</v>
      </c>
      <c r="C558">
        <v>239.614</v>
      </c>
      <c r="E558">
        <v>179.96199999999999</v>
      </c>
      <c r="F558">
        <v>165.26400000000001</v>
      </c>
      <c r="G558">
        <v>230.58699999999999</v>
      </c>
      <c r="H558">
        <v>199.845</v>
      </c>
      <c r="I558">
        <v>222.482</v>
      </c>
    </row>
    <row r="559" spans="1:9" x14ac:dyDescent="0.25">
      <c r="A559" s="12">
        <v>42403</v>
      </c>
      <c r="B559">
        <v>253.62899999999999</v>
      </c>
      <c r="C559">
        <v>239.566</v>
      </c>
      <c r="E559">
        <v>179.905</v>
      </c>
      <c r="F559">
        <v>165.09200000000001</v>
      </c>
      <c r="G559">
        <v>230.65199999999999</v>
      </c>
      <c r="H559">
        <v>199.876</v>
      </c>
      <c r="I559">
        <v>221.79499999999999</v>
      </c>
    </row>
    <row r="560" spans="1:9" x14ac:dyDescent="0.25">
      <c r="A560" s="12">
        <v>42404</v>
      </c>
      <c r="B560">
        <v>252.96299999999999</v>
      </c>
      <c r="C560">
        <v>239.49100000000001</v>
      </c>
      <c r="E560">
        <v>178.77</v>
      </c>
      <c r="F560">
        <v>165.10499999999999</v>
      </c>
      <c r="G560">
        <v>229.779</v>
      </c>
      <c r="H560">
        <v>199.83099999999999</v>
      </c>
      <c r="I560">
        <v>220.97800000000001</v>
      </c>
    </row>
    <row r="561" spans="1:9" x14ac:dyDescent="0.25">
      <c r="A561" s="12">
        <v>42405</v>
      </c>
      <c r="B561">
        <v>251.494</v>
      </c>
      <c r="C561">
        <v>238.78899999999999</v>
      </c>
      <c r="E561">
        <v>177.05600000000001</v>
      </c>
      <c r="F561">
        <v>164.95699999999999</v>
      </c>
      <c r="G561">
        <v>228.89500000000001</v>
      </c>
      <c r="H561">
        <v>199.46799999999999</v>
      </c>
      <c r="I561">
        <v>220.87100000000001</v>
      </c>
    </row>
    <row r="562" spans="1:9" x14ac:dyDescent="0.25">
      <c r="A562" s="12">
        <v>42408</v>
      </c>
      <c r="B562">
        <v>251.285</v>
      </c>
      <c r="C562">
        <v>238.91800000000001</v>
      </c>
      <c r="E562">
        <v>177.143</v>
      </c>
      <c r="F562">
        <v>164.84899999999999</v>
      </c>
      <c r="G562">
        <v>228.012</v>
      </c>
      <c r="H562">
        <v>199.46</v>
      </c>
      <c r="I562">
        <v>220.512</v>
      </c>
    </row>
    <row r="563" spans="1:9" x14ac:dyDescent="0.25">
      <c r="A563" s="12">
        <v>42409</v>
      </c>
      <c r="B563">
        <v>250.80699999999999</v>
      </c>
      <c r="C563">
        <v>239.05199999999999</v>
      </c>
      <c r="E563">
        <v>176.5</v>
      </c>
      <c r="F563">
        <v>164.85499999999999</v>
      </c>
      <c r="G563">
        <v>227.78899999999999</v>
      </c>
      <c r="H563">
        <v>199.648</v>
      </c>
      <c r="I563">
        <v>219.26599999999999</v>
      </c>
    </row>
    <row r="564" spans="1:9" x14ac:dyDescent="0.25">
      <c r="A564" s="12">
        <v>42410</v>
      </c>
      <c r="B564">
        <v>248.423</v>
      </c>
      <c r="C564">
        <v>238.51599999999999</v>
      </c>
      <c r="E564">
        <v>174.435</v>
      </c>
      <c r="F564">
        <v>164.696</v>
      </c>
      <c r="G564">
        <v>225.95</v>
      </c>
      <c r="H564">
        <v>199.44200000000001</v>
      </c>
      <c r="I564">
        <v>218.63499999999999</v>
      </c>
    </row>
    <row r="565" spans="1:9" x14ac:dyDescent="0.25">
      <c r="A565" s="12">
        <v>42411</v>
      </c>
      <c r="B565">
        <v>247.5</v>
      </c>
      <c r="C565">
        <v>238.17599999999999</v>
      </c>
      <c r="E565">
        <v>173.28200000000001</v>
      </c>
      <c r="F565">
        <v>164.47200000000001</v>
      </c>
      <c r="G565">
        <v>224.69800000000001</v>
      </c>
      <c r="H565">
        <v>199.14599999999999</v>
      </c>
      <c r="I565">
        <v>219.12</v>
      </c>
    </row>
    <row r="566" spans="1:9" x14ac:dyDescent="0.25">
      <c r="A566" s="12">
        <v>42412</v>
      </c>
      <c r="B566">
        <v>247.483</v>
      </c>
      <c r="C566">
        <v>237.804</v>
      </c>
      <c r="E566">
        <v>174.32400000000001</v>
      </c>
      <c r="F566">
        <v>164.61699999999999</v>
      </c>
      <c r="G566">
        <v>224.75399999999999</v>
      </c>
      <c r="H566">
        <v>199.06</v>
      </c>
      <c r="I566">
        <v>217.66800000000001</v>
      </c>
    </row>
    <row r="567" spans="1:9" x14ac:dyDescent="0.25">
      <c r="A567" s="12">
        <v>42415</v>
      </c>
      <c r="B567">
        <v>246.51</v>
      </c>
      <c r="C567">
        <v>237.745</v>
      </c>
      <c r="E567">
        <v>171.858</v>
      </c>
      <c r="F567">
        <v>164.45599999999999</v>
      </c>
      <c r="G567">
        <v>224.066</v>
      </c>
      <c r="H567">
        <v>199.07599999999999</v>
      </c>
      <c r="I567">
        <v>218.90799999999999</v>
      </c>
    </row>
    <row r="568" spans="1:9" x14ac:dyDescent="0.25">
      <c r="A568" s="12">
        <v>42416</v>
      </c>
      <c r="B568">
        <v>247.24600000000001</v>
      </c>
      <c r="C568">
        <v>237.803</v>
      </c>
      <c r="E568">
        <v>173.577</v>
      </c>
      <c r="F568">
        <v>164.37899999999999</v>
      </c>
      <c r="G568">
        <v>224.86</v>
      </c>
      <c r="H568">
        <v>199.054</v>
      </c>
      <c r="I568">
        <v>219.78</v>
      </c>
    </row>
    <row r="569" spans="1:9" x14ac:dyDescent="0.25">
      <c r="A569" s="12">
        <v>42417</v>
      </c>
      <c r="B569">
        <v>248.68</v>
      </c>
      <c r="C569">
        <v>237.92099999999999</v>
      </c>
      <c r="E569">
        <v>175.40899999999999</v>
      </c>
      <c r="F569">
        <v>164.565</v>
      </c>
      <c r="G569">
        <v>225.749</v>
      </c>
      <c r="H569">
        <v>199.15600000000001</v>
      </c>
      <c r="I569">
        <v>219.95099999999999</v>
      </c>
    </row>
    <row r="570" spans="1:9" x14ac:dyDescent="0.25">
      <c r="A570" s="12">
        <v>42418</v>
      </c>
      <c r="B570">
        <v>249.143</v>
      </c>
      <c r="C570">
        <v>238.071</v>
      </c>
      <c r="E570">
        <v>175.45500000000001</v>
      </c>
      <c r="F570">
        <v>164.53</v>
      </c>
      <c r="G570">
        <v>226.65899999999999</v>
      </c>
      <c r="H570">
        <v>199.297</v>
      </c>
      <c r="I570">
        <v>220.75899999999999</v>
      </c>
    </row>
    <row r="571" spans="1:9" x14ac:dyDescent="0.25">
      <c r="A571" s="12">
        <v>42419</v>
      </c>
      <c r="B571">
        <v>250.17500000000001</v>
      </c>
      <c r="C571">
        <v>238.33600000000001</v>
      </c>
      <c r="E571">
        <v>177.017</v>
      </c>
      <c r="F571">
        <v>164.595</v>
      </c>
      <c r="G571">
        <v>227.964</v>
      </c>
      <c r="H571">
        <v>199.47499999999999</v>
      </c>
      <c r="I571">
        <v>220.863</v>
      </c>
    </row>
    <row r="572" spans="1:9" x14ac:dyDescent="0.25">
      <c r="A572" s="12">
        <v>42422</v>
      </c>
      <c r="B572">
        <v>251.053</v>
      </c>
      <c r="C572">
        <v>238.64400000000001</v>
      </c>
      <c r="E572">
        <v>177.46100000000001</v>
      </c>
      <c r="F572">
        <v>164.97399999999999</v>
      </c>
      <c r="G572">
        <v>228.56700000000001</v>
      </c>
      <c r="H572">
        <v>199.70099999999999</v>
      </c>
      <c r="I572">
        <v>220.749</v>
      </c>
    </row>
    <row r="573" spans="1:9" x14ac:dyDescent="0.25">
      <c r="A573" s="12">
        <v>42423</v>
      </c>
      <c r="B573">
        <v>250.84899999999999</v>
      </c>
      <c r="C573">
        <v>238.88800000000001</v>
      </c>
      <c r="E573">
        <v>177.047</v>
      </c>
      <c r="F573">
        <v>164.971</v>
      </c>
      <c r="G573">
        <v>228.56</v>
      </c>
      <c r="H573">
        <v>199.87799999999999</v>
      </c>
      <c r="I573">
        <v>221.50899999999999</v>
      </c>
    </row>
    <row r="574" spans="1:9" x14ac:dyDescent="0.25">
      <c r="A574" s="12">
        <v>42424</v>
      </c>
      <c r="B574">
        <v>251.66900000000001</v>
      </c>
      <c r="C574">
        <v>239.15899999999999</v>
      </c>
      <c r="E574">
        <v>178.649</v>
      </c>
      <c r="F574">
        <v>165.244</v>
      </c>
      <c r="G574">
        <v>229.65299999999999</v>
      </c>
      <c r="H574">
        <v>199.971</v>
      </c>
      <c r="I574">
        <v>221.29300000000001</v>
      </c>
    </row>
    <row r="575" spans="1:9" x14ac:dyDescent="0.25">
      <c r="A575" s="12">
        <v>42425</v>
      </c>
      <c r="B575">
        <v>251.126</v>
      </c>
      <c r="C575">
        <v>239.25700000000001</v>
      </c>
      <c r="E575">
        <v>177.79300000000001</v>
      </c>
      <c r="F575">
        <v>165.23500000000001</v>
      </c>
      <c r="G575">
        <v>229.542</v>
      </c>
      <c r="H575">
        <v>200.08099999999999</v>
      </c>
      <c r="I575">
        <v>220.56200000000001</v>
      </c>
    </row>
    <row r="576" spans="1:9" x14ac:dyDescent="0.25">
      <c r="A576" s="12">
        <v>42426</v>
      </c>
      <c r="B576">
        <v>250.15299999999999</v>
      </c>
      <c r="C576">
        <v>239.21600000000001</v>
      </c>
      <c r="E576">
        <v>176.44900000000001</v>
      </c>
      <c r="F576">
        <v>165.26499999999999</v>
      </c>
      <c r="G576">
        <v>228.75299999999999</v>
      </c>
      <c r="H576">
        <v>200.04400000000001</v>
      </c>
      <c r="I576">
        <v>221.119</v>
      </c>
    </row>
    <row r="577" spans="1:9" x14ac:dyDescent="0.25">
      <c r="A577" s="12">
        <v>42429</v>
      </c>
      <c r="B577">
        <v>251.501</v>
      </c>
      <c r="C577">
        <v>239.32</v>
      </c>
      <c r="E577">
        <v>177.797</v>
      </c>
      <c r="F577">
        <v>165.42099999999999</v>
      </c>
      <c r="G577">
        <v>229.84399999999999</v>
      </c>
      <c r="H577">
        <v>200.066</v>
      </c>
      <c r="I577">
        <v>221.792</v>
      </c>
    </row>
    <row r="578" spans="1:9" x14ac:dyDescent="0.25">
      <c r="A578" s="12">
        <v>42430</v>
      </c>
      <c r="B578">
        <v>252.12799999999999</v>
      </c>
      <c r="C578">
        <v>239.66900000000001</v>
      </c>
      <c r="E578">
        <v>179.20400000000001</v>
      </c>
      <c r="F578">
        <v>165.62100000000001</v>
      </c>
      <c r="G578">
        <v>230.529</v>
      </c>
      <c r="H578">
        <v>200.31399999999999</v>
      </c>
      <c r="I578">
        <v>222.19900000000001</v>
      </c>
    </row>
    <row r="579" spans="1:9" x14ac:dyDescent="0.25">
      <c r="A579" s="12">
        <v>42431</v>
      </c>
      <c r="B579">
        <v>252.65700000000001</v>
      </c>
      <c r="C579">
        <v>239.934</v>
      </c>
      <c r="E579">
        <v>179.74</v>
      </c>
      <c r="F579">
        <v>165.88499999999999</v>
      </c>
      <c r="G579">
        <v>230.85900000000001</v>
      </c>
      <c r="H579">
        <v>200.43600000000001</v>
      </c>
      <c r="I579">
        <v>222.881</v>
      </c>
    </row>
    <row r="580" spans="1:9" x14ac:dyDescent="0.25">
      <c r="A580" s="12">
        <v>42432</v>
      </c>
      <c r="B580">
        <v>253.71299999999999</v>
      </c>
      <c r="C580">
        <v>240.16499999999999</v>
      </c>
      <c r="E580">
        <v>180.64400000000001</v>
      </c>
      <c r="F580">
        <v>166.03899999999999</v>
      </c>
      <c r="G580">
        <v>231.95400000000001</v>
      </c>
      <c r="H580">
        <v>200.595</v>
      </c>
      <c r="I580">
        <v>223.25700000000001</v>
      </c>
    </row>
    <row r="581" spans="1:9" x14ac:dyDescent="0.25">
      <c r="A581" s="12">
        <v>42433</v>
      </c>
      <c r="B581">
        <v>254.34800000000001</v>
      </c>
      <c r="C581">
        <v>240.27099999999999</v>
      </c>
      <c r="E581">
        <v>181.578</v>
      </c>
      <c r="F581">
        <v>165.93600000000001</v>
      </c>
      <c r="G581">
        <v>232.30799999999999</v>
      </c>
      <c r="H581">
        <v>200.756</v>
      </c>
      <c r="I581">
        <v>223.28100000000001</v>
      </c>
    </row>
    <row r="582" spans="1:9" x14ac:dyDescent="0.25">
      <c r="A582" s="12">
        <v>42436</v>
      </c>
      <c r="B582">
        <v>254.63300000000001</v>
      </c>
      <c r="C582">
        <v>240.41399999999999</v>
      </c>
      <c r="E582">
        <v>181.036</v>
      </c>
      <c r="F582">
        <v>166.001</v>
      </c>
      <c r="G582">
        <v>232.25700000000001</v>
      </c>
      <c r="H582">
        <v>200.816</v>
      </c>
      <c r="I582">
        <v>223.733</v>
      </c>
    </row>
    <row r="583" spans="1:9" x14ac:dyDescent="0.25">
      <c r="A583" s="12">
        <v>42437</v>
      </c>
      <c r="B583">
        <v>254.773</v>
      </c>
      <c r="C583">
        <v>240.571</v>
      </c>
      <c r="E583">
        <v>181.71799999999999</v>
      </c>
      <c r="F583">
        <v>165.92500000000001</v>
      </c>
      <c r="G583">
        <v>232.48400000000001</v>
      </c>
      <c r="H583">
        <v>200.96799999999999</v>
      </c>
      <c r="I583">
        <v>223.702</v>
      </c>
    </row>
    <row r="584" spans="1:9" x14ac:dyDescent="0.25">
      <c r="A584" s="12">
        <v>42438</v>
      </c>
      <c r="B584">
        <v>254.57499999999999</v>
      </c>
      <c r="C584">
        <v>240.57499999999999</v>
      </c>
      <c r="E584">
        <v>181.637</v>
      </c>
      <c r="F584">
        <v>166.017</v>
      </c>
      <c r="G584">
        <v>232.65700000000001</v>
      </c>
      <c r="H584">
        <v>201.05600000000001</v>
      </c>
      <c r="I584">
        <v>223.161</v>
      </c>
    </row>
    <row r="585" spans="1:9" x14ac:dyDescent="0.25">
      <c r="A585" s="12">
        <v>42439</v>
      </c>
      <c r="B585">
        <v>254.72399999999999</v>
      </c>
      <c r="C585">
        <v>240.756</v>
      </c>
      <c r="E585">
        <v>180.89099999999999</v>
      </c>
      <c r="F585">
        <v>166.184</v>
      </c>
      <c r="G585">
        <v>232.59800000000001</v>
      </c>
      <c r="H585">
        <v>201.18299999999999</v>
      </c>
      <c r="I585">
        <v>223.48</v>
      </c>
    </row>
    <row r="586" spans="1:9" x14ac:dyDescent="0.25">
      <c r="A586" s="12">
        <v>42440</v>
      </c>
      <c r="B586">
        <v>255.16200000000001</v>
      </c>
      <c r="C586">
        <v>240.958</v>
      </c>
      <c r="E586">
        <v>181.173</v>
      </c>
      <c r="F586">
        <v>166.04499999999999</v>
      </c>
      <c r="G586">
        <v>233.124</v>
      </c>
      <c r="H586">
        <v>201.28899999999999</v>
      </c>
      <c r="I586">
        <v>222.77699999999999</v>
      </c>
    </row>
    <row r="587" spans="1:9" x14ac:dyDescent="0.25">
      <c r="A587" s="12">
        <v>42443</v>
      </c>
      <c r="B587">
        <v>254.774</v>
      </c>
      <c r="C587">
        <v>240.714</v>
      </c>
      <c r="E587">
        <v>179.721</v>
      </c>
      <c r="F587">
        <v>165.65299999999999</v>
      </c>
      <c r="G587">
        <v>233.03100000000001</v>
      </c>
      <c r="H587">
        <v>201.136</v>
      </c>
      <c r="I587">
        <v>223.66800000000001</v>
      </c>
    </row>
    <row r="588" spans="1:9" x14ac:dyDescent="0.25">
      <c r="A588" s="12">
        <v>42444</v>
      </c>
      <c r="B588">
        <v>255.251</v>
      </c>
      <c r="C588">
        <v>241.08199999999999</v>
      </c>
      <c r="E588">
        <v>181.941</v>
      </c>
      <c r="F588">
        <v>166.48400000000001</v>
      </c>
      <c r="G588">
        <v>233.19300000000001</v>
      </c>
      <c r="H588">
        <v>201.309</v>
      </c>
      <c r="I588">
        <v>223.86099999999999</v>
      </c>
    </row>
    <row r="589" spans="1:9" x14ac:dyDescent="0.25">
      <c r="A589" s="12">
        <v>42445</v>
      </c>
      <c r="B589">
        <v>256.03100000000001</v>
      </c>
      <c r="C589">
        <v>241.40199999999999</v>
      </c>
      <c r="E589">
        <v>182.505</v>
      </c>
      <c r="F589">
        <v>166.553</v>
      </c>
      <c r="G589">
        <v>233.643</v>
      </c>
      <c r="H589">
        <v>201.59899999999999</v>
      </c>
      <c r="I589">
        <v>223.37</v>
      </c>
    </row>
    <row r="590" spans="1:9" x14ac:dyDescent="0.25">
      <c r="A590" s="12">
        <v>42446</v>
      </c>
      <c r="B590">
        <v>255.85599999999999</v>
      </c>
      <c r="C590">
        <v>241.42400000000001</v>
      </c>
      <c r="E590">
        <v>181.571</v>
      </c>
      <c r="F590">
        <v>166.089</v>
      </c>
      <c r="G590">
        <v>233.3</v>
      </c>
      <c r="H590">
        <v>201.63800000000001</v>
      </c>
      <c r="I590">
        <v>223.453</v>
      </c>
    </row>
    <row r="591" spans="1:9" x14ac:dyDescent="0.25">
      <c r="A591" s="12">
        <v>42447</v>
      </c>
      <c r="B591">
        <v>255.39599999999999</v>
      </c>
      <c r="C591">
        <v>240.96100000000001</v>
      </c>
      <c r="E591">
        <v>181.74799999999999</v>
      </c>
      <c r="F591">
        <v>166.018</v>
      </c>
      <c r="G591">
        <v>232.63</v>
      </c>
      <c r="H591">
        <v>201.244</v>
      </c>
      <c r="I591">
        <v>223.58600000000001</v>
      </c>
    </row>
    <row r="592" spans="1:9" x14ac:dyDescent="0.25">
      <c r="A592" s="12">
        <v>42450</v>
      </c>
      <c r="B592">
        <v>255.77199999999999</v>
      </c>
      <c r="C592">
        <v>241.37299999999999</v>
      </c>
      <c r="E592">
        <v>181.75299999999999</v>
      </c>
      <c r="F592">
        <v>166.29</v>
      </c>
      <c r="G592">
        <v>233.11099999999999</v>
      </c>
      <c r="H592">
        <v>201.42599999999999</v>
      </c>
      <c r="I592">
        <v>223.94200000000001</v>
      </c>
    </row>
    <row r="593" spans="1:9" x14ac:dyDescent="0.25">
      <c r="A593" s="12">
        <v>42451</v>
      </c>
      <c r="B593">
        <v>256.30200000000002</v>
      </c>
      <c r="C593">
        <v>241.773</v>
      </c>
      <c r="E593">
        <v>182.30099999999999</v>
      </c>
      <c r="F593">
        <v>166.48599999999999</v>
      </c>
      <c r="G593">
        <v>233.87</v>
      </c>
      <c r="H593">
        <v>201.78200000000001</v>
      </c>
      <c r="I593">
        <v>223.881</v>
      </c>
    </row>
    <row r="594" spans="1:9" x14ac:dyDescent="0.25">
      <c r="A594" s="12">
        <v>42452</v>
      </c>
      <c r="B594">
        <v>256.25900000000001</v>
      </c>
      <c r="C594">
        <v>241.90700000000001</v>
      </c>
      <c r="E594">
        <v>182.41499999999999</v>
      </c>
      <c r="F594">
        <v>166.58500000000001</v>
      </c>
      <c r="G594">
        <v>233.928</v>
      </c>
      <c r="H594">
        <v>201.94200000000001</v>
      </c>
      <c r="I594">
        <v>224.083</v>
      </c>
    </row>
    <row r="595" spans="1:9" x14ac:dyDescent="0.25">
      <c r="A595" s="12">
        <v>42453</v>
      </c>
      <c r="B595">
        <v>256.61399999999998</v>
      </c>
      <c r="C595">
        <v>242.102</v>
      </c>
      <c r="E595">
        <v>182.702</v>
      </c>
      <c r="F595">
        <v>166.75899999999999</v>
      </c>
      <c r="G595">
        <v>234.083</v>
      </c>
      <c r="H595">
        <v>201.97</v>
      </c>
      <c r="I595">
        <v>223.922</v>
      </c>
    </row>
    <row r="596" spans="1:9" x14ac:dyDescent="0.25">
      <c r="A596" s="12">
        <v>42458</v>
      </c>
      <c r="B596">
        <v>256.78199999999998</v>
      </c>
      <c r="C596">
        <v>242.24299999999999</v>
      </c>
      <c r="E596">
        <v>182.46799999999999</v>
      </c>
      <c r="F596">
        <v>166.61699999999999</v>
      </c>
      <c r="G596">
        <v>233.952</v>
      </c>
      <c r="H596">
        <v>202.023</v>
      </c>
      <c r="I596">
        <v>223.44</v>
      </c>
    </row>
    <row r="597" spans="1:9" x14ac:dyDescent="0.25">
      <c r="A597" s="12">
        <v>42459</v>
      </c>
      <c r="B597">
        <v>256.00599999999997</v>
      </c>
      <c r="C597">
        <v>242.18100000000001</v>
      </c>
      <c r="E597">
        <v>181.53399999999999</v>
      </c>
      <c r="F597">
        <v>166.548</v>
      </c>
      <c r="G597">
        <v>233.49600000000001</v>
      </c>
      <c r="H597">
        <v>201.91800000000001</v>
      </c>
      <c r="I597">
        <v>223.57900000000001</v>
      </c>
    </row>
    <row r="598" spans="1:9" x14ac:dyDescent="0.25">
      <c r="A598" s="12">
        <v>42460</v>
      </c>
      <c r="B598">
        <v>256.33499999999998</v>
      </c>
      <c r="C598">
        <v>242.036</v>
      </c>
      <c r="E598">
        <v>181.94399999999999</v>
      </c>
      <c r="F598">
        <v>166.71700000000001</v>
      </c>
      <c r="G598">
        <v>233.47900000000001</v>
      </c>
      <c r="H598">
        <v>201.74</v>
      </c>
      <c r="I598">
        <v>224.08699999999999</v>
      </c>
    </row>
    <row r="599" spans="1:9" x14ac:dyDescent="0.25">
      <c r="A599" s="12">
        <v>42461</v>
      </c>
      <c r="B599">
        <v>257.01900000000001</v>
      </c>
      <c r="C599">
        <v>242.143</v>
      </c>
      <c r="E599">
        <v>182.61199999999999</v>
      </c>
      <c r="F599">
        <v>166.73400000000001</v>
      </c>
      <c r="G599">
        <v>234.04300000000001</v>
      </c>
      <c r="H599">
        <v>201.77600000000001</v>
      </c>
      <c r="I599">
        <v>223.69900000000001</v>
      </c>
    </row>
    <row r="600" spans="1:9" x14ac:dyDescent="0.25">
      <c r="A600" s="12">
        <v>42464</v>
      </c>
      <c r="B600">
        <v>256.399</v>
      </c>
      <c r="C600">
        <v>242.286</v>
      </c>
      <c r="E600">
        <v>182.17099999999999</v>
      </c>
      <c r="F600">
        <v>166.79</v>
      </c>
      <c r="G600">
        <v>233.684</v>
      </c>
      <c r="H600">
        <v>201.88900000000001</v>
      </c>
      <c r="I600">
        <v>223.28100000000001</v>
      </c>
    </row>
    <row r="601" spans="1:9" x14ac:dyDescent="0.25">
      <c r="A601" s="12">
        <v>42465</v>
      </c>
      <c r="B601">
        <v>255.82900000000001</v>
      </c>
      <c r="C601">
        <v>242.47900000000001</v>
      </c>
      <c r="E601">
        <v>181.459</v>
      </c>
      <c r="F601">
        <v>166.798</v>
      </c>
      <c r="G601">
        <v>233.30799999999999</v>
      </c>
      <c r="H601">
        <v>202.01900000000001</v>
      </c>
      <c r="I601">
        <v>223.37299999999999</v>
      </c>
    </row>
    <row r="602" spans="1:9" x14ac:dyDescent="0.25">
      <c r="A602" s="12">
        <v>42466</v>
      </c>
      <c r="B602">
        <v>255.98099999999999</v>
      </c>
      <c r="C602">
        <v>242.58099999999999</v>
      </c>
      <c r="E602">
        <v>181.822</v>
      </c>
      <c r="F602">
        <v>167.04599999999999</v>
      </c>
      <c r="G602">
        <v>233.60599999999999</v>
      </c>
      <c r="H602">
        <v>202.149</v>
      </c>
      <c r="I602">
        <v>222.767</v>
      </c>
    </row>
    <row r="603" spans="1:9" x14ac:dyDescent="0.25">
      <c r="A603" s="12">
        <v>42467</v>
      </c>
      <c r="B603">
        <v>254.934</v>
      </c>
      <c r="C603">
        <v>242.59299999999999</v>
      </c>
      <c r="E603">
        <v>180.571</v>
      </c>
      <c r="F603">
        <v>167.03800000000001</v>
      </c>
      <c r="G603">
        <v>233.01900000000001</v>
      </c>
      <c r="H603">
        <v>202.19499999999999</v>
      </c>
      <c r="I603">
        <v>222.80500000000001</v>
      </c>
    </row>
    <row r="604" spans="1:9" x14ac:dyDescent="0.25">
      <c r="A604" s="12">
        <v>42468</v>
      </c>
      <c r="B604">
        <v>254.96100000000001</v>
      </c>
      <c r="C604">
        <v>242.59</v>
      </c>
      <c r="E604">
        <v>180.94200000000001</v>
      </c>
      <c r="F604">
        <v>167.042</v>
      </c>
      <c r="G604">
        <v>233.03200000000001</v>
      </c>
      <c r="H604">
        <v>202.262</v>
      </c>
      <c r="I604">
        <v>222.607</v>
      </c>
    </row>
    <row r="605" spans="1:9" x14ac:dyDescent="0.25">
      <c r="A605" s="12">
        <v>42471</v>
      </c>
      <c r="B605">
        <v>255.43100000000001</v>
      </c>
      <c r="C605">
        <v>242.619</v>
      </c>
      <c r="E605">
        <v>180.70400000000001</v>
      </c>
      <c r="F605">
        <v>167.18100000000001</v>
      </c>
      <c r="G605">
        <v>233.166</v>
      </c>
      <c r="H605">
        <v>202.267</v>
      </c>
      <c r="I605">
        <v>222.99199999999999</v>
      </c>
    </row>
    <row r="606" spans="1:9" x14ac:dyDescent="0.25">
      <c r="A606" s="12">
        <v>42472</v>
      </c>
      <c r="B606">
        <v>255.697</v>
      </c>
      <c r="C606">
        <v>242.57400000000001</v>
      </c>
      <c r="E606">
        <v>181.20599999999999</v>
      </c>
      <c r="F606">
        <v>167.15899999999999</v>
      </c>
      <c r="G606">
        <v>233.441</v>
      </c>
      <c r="H606">
        <v>202.31399999999999</v>
      </c>
      <c r="I606">
        <v>223.25399999999999</v>
      </c>
    </row>
    <row r="607" spans="1:9" x14ac:dyDescent="0.25">
      <c r="A607" s="12">
        <v>42473</v>
      </c>
      <c r="B607">
        <v>255.99799999999999</v>
      </c>
      <c r="C607">
        <v>242.684</v>
      </c>
      <c r="E607">
        <v>181.31399999999999</v>
      </c>
      <c r="F607">
        <v>167.12700000000001</v>
      </c>
      <c r="G607">
        <v>233.68</v>
      </c>
      <c r="H607">
        <v>202.41800000000001</v>
      </c>
      <c r="I607">
        <v>223.48599999999999</v>
      </c>
    </row>
    <row r="608" spans="1:9" x14ac:dyDescent="0.25">
      <c r="A608" s="12">
        <v>42474</v>
      </c>
      <c r="B608">
        <v>256.54000000000002</v>
      </c>
      <c r="C608">
        <v>242.93799999999999</v>
      </c>
      <c r="E608">
        <v>181.68700000000001</v>
      </c>
      <c r="F608">
        <v>167.05500000000001</v>
      </c>
      <c r="G608">
        <v>234.22499999999999</v>
      </c>
      <c r="H608">
        <v>202.56100000000001</v>
      </c>
      <c r="I608">
        <v>224.54300000000001</v>
      </c>
    </row>
    <row r="609" spans="1:9" x14ac:dyDescent="0.25">
      <c r="A609" s="12">
        <v>42475</v>
      </c>
      <c r="B609">
        <v>258.012</v>
      </c>
      <c r="C609">
        <v>243.41300000000001</v>
      </c>
      <c r="E609">
        <v>183.20500000000001</v>
      </c>
      <c r="F609">
        <v>167.309</v>
      </c>
      <c r="G609">
        <v>235.39599999999999</v>
      </c>
      <c r="H609">
        <v>202.75299999999999</v>
      </c>
      <c r="I609">
        <v>224.78399999999999</v>
      </c>
    </row>
    <row r="610" spans="1:9" x14ac:dyDescent="0.25">
      <c r="A610" s="12">
        <v>42478</v>
      </c>
      <c r="B610">
        <v>258.27499999999998</v>
      </c>
      <c r="C610">
        <v>243.45</v>
      </c>
      <c r="E610">
        <v>183.584</v>
      </c>
      <c r="F610">
        <v>167.309</v>
      </c>
      <c r="G610">
        <v>235.56100000000001</v>
      </c>
      <c r="H610">
        <v>202.81800000000001</v>
      </c>
      <c r="I610">
        <v>224.71299999999999</v>
      </c>
    </row>
    <row r="611" spans="1:9" x14ac:dyDescent="0.25">
      <c r="A611" s="12">
        <v>42479</v>
      </c>
      <c r="B611">
        <v>258.15300000000002</v>
      </c>
      <c r="C611">
        <v>243.57499999999999</v>
      </c>
      <c r="E611">
        <v>183.322</v>
      </c>
      <c r="F611">
        <v>167.351</v>
      </c>
      <c r="G611">
        <v>235.47</v>
      </c>
      <c r="H611">
        <v>202.893</v>
      </c>
      <c r="I611">
        <v>224.67699999999999</v>
      </c>
    </row>
    <row r="612" spans="1:9" x14ac:dyDescent="0.25">
      <c r="A612" s="12">
        <v>42480</v>
      </c>
      <c r="B612">
        <v>258.52300000000002</v>
      </c>
      <c r="C612">
        <v>243.52600000000001</v>
      </c>
      <c r="E612">
        <v>183.33600000000001</v>
      </c>
      <c r="F612">
        <v>167.233</v>
      </c>
      <c r="G612">
        <v>235.506</v>
      </c>
      <c r="H612">
        <v>202.798</v>
      </c>
      <c r="I612">
        <v>224.87799999999999</v>
      </c>
    </row>
    <row r="613" spans="1:9" x14ac:dyDescent="0.25">
      <c r="A613" s="12">
        <v>42481</v>
      </c>
      <c r="B613">
        <v>259.505</v>
      </c>
      <c r="C613">
        <v>243.697</v>
      </c>
      <c r="E613">
        <v>184.12899999999999</v>
      </c>
      <c r="F613">
        <v>167.273</v>
      </c>
      <c r="G613">
        <v>236.149</v>
      </c>
      <c r="H613">
        <v>202.863</v>
      </c>
      <c r="I613">
        <v>224.97399999999999</v>
      </c>
    </row>
    <row r="614" spans="1:9" x14ac:dyDescent="0.25">
      <c r="A614" s="12">
        <v>42482</v>
      </c>
      <c r="B614">
        <v>259.45100000000002</v>
      </c>
      <c r="C614">
        <v>243.79300000000001</v>
      </c>
      <c r="E614">
        <v>184.595</v>
      </c>
      <c r="F614">
        <v>167.428</v>
      </c>
      <c r="G614">
        <v>236.369</v>
      </c>
      <c r="H614">
        <v>202.98500000000001</v>
      </c>
      <c r="I614">
        <v>224.964</v>
      </c>
    </row>
    <row r="615" spans="1:9" x14ac:dyDescent="0.25">
      <c r="A615" s="12">
        <v>42485</v>
      </c>
      <c r="B615">
        <v>259.52800000000002</v>
      </c>
      <c r="C615">
        <v>244.04499999999999</v>
      </c>
      <c r="E615">
        <v>184.35599999999999</v>
      </c>
      <c r="F615">
        <v>167.24100000000001</v>
      </c>
      <c r="G615">
        <v>236.23</v>
      </c>
      <c r="H615">
        <v>203.065</v>
      </c>
      <c r="I615">
        <v>225.00800000000001</v>
      </c>
    </row>
    <row r="616" spans="1:9" x14ac:dyDescent="0.25">
      <c r="A616" s="12">
        <v>42486</v>
      </c>
      <c r="B616">
        <v>259.399</v>
      </c>
      <c r="C616">
        <v>244.13800000000001</v>
      </c>
      <c r="E616">
        <v>184.34100000000001</v>
      </c>
      <c r="F616">
        <v>167.268</v>
      </c>
      <c r="G616">
        <v>236.178</v>
      </c>
      <c r="H616">
        <v>203.119</v>
      </c>
      <c r="I616">
        <v>224.899</v>
      </c>
    </row>
    <row r="617" spans="1:9" x14ac:dyDescent="0.25">
      <c r="A617" s="12">
        <v>42487</v>
      </c>
      <c r="B617">
        <v>259.07499999999999</v>
      </c>
      <c r="C617">
        <v>244.005</v>
      </c>
      <c r="E617">
        <v>183.726</v>
      </c>
      <c r="F617">
        <v>167.07300000000001</v>
      </c>
      <c r="G617">
        <v>235.751</v>
      </c>
      <c r="H617">
        <v>202.95500000000001</v>
      </c>
      <c r="I617">
        <v>224.953</v>
      </c>
    </row>
    <row r="618" spans="1:9" x14ac:dyDescent="0.25">
      <c r="A618" s="12">
        <v>42488</v>
      </c>
      <c r="B618">
        <v>258.84500000000003</v>
      </c>
      <c r="C618">
        <v>243.95</v>
      </c>
      <c r="E618">
        <v>183.70500000000001</v>
      </c>
      <c r="F618">
        <v>166.88900000000001</v>
      </c>
      <c r="G618">
        <v>235.7</v>
      </c>
      <c r="H618">
        <v>202.86699999999999</v>
      </c>
      <c r="I618">
        <v>224.97499999999999</v>
      </c>
    </row>
    <row r="619" spans="1:9" x14ac:dyDescent="0.25">
      <c r="A619" s="12">
        <v>42489</v>
      </c>
      <c r="B619">
        <v>258.80700000000002</v>
      </c>
      <c r="C619">
        <v>243.982</v>
      </c>
      <c r="E619">
        <v>183.75700000000001</v>
      </c>
      <c r="F619">
        <v>166.95</v>
      </c>
      <c r="G619">
        <v>235.81200000000001</v>
      </c>
      <c r="H619">
        <v>202.947</v>
      </c>
      <c r="I619">
        <v>225.00299999999999</v>
      </c>
    </row>
    <row r="620" spans="1:9" x14ac:dyDescent="0.25">
      <c r="A620" s="12">
        <v>42492</v>
      </c>
      <c r="B620">
        <v>258.34500000000003</v>
      </c>
      <c r="C620">
        <v>243.94900000000001</v>
      </c>
      <c r="E620">
        <v>183.875</v>
      </c>
      <c r="F620">
        <v>167.21799999999999</v>
      </c>
      <c r="G620">
        <v>235.76300000000001</v>
      </c>
      <c r="H620">
        <v>202.97399999999999</v>
      </c>
      <c r="I620">
        <v>223.953</v>
      </c>
    </row>
    <row r="621" spans="1:9" x14ac:dyDescent="0.25">
      <c r="A621" s="12">
        <v>42493</v>
      </c>
      <c r="B621">
        <v>258.21600000000001</v>
      </c>
      <c r="C621">
        <v>243.89</v>
      </c>
      <c r="E621">
        <v>182.12</v>
      </c>
      <c r="F621">
        <v>167.04900000000001</v>
      </c>
      <c r="G621">
        <v>235.13499999999999</v>
      </c>
      <c r="H621">
        <v>202.964</v>
      </c>
      <c r="I621">
        <v>223.90799999999999</v>
      </c>
    </row>
    <row r="622" spans="1:9" x14ac:dyDescent="0.25">
      <c r="A622" s="12">
        <v>42495</v>
      </c>
      <c r="B622">
        <v>257.43799999999999</v>
      </c>
      <c r="C622">
        <v>243.649</v>
      </c>
      <c r="E622">
        <v>182.30799999999999</v>
      </c>
      <c r="F622">
        <v>167.06200000000001</v>
      </c>
      <c r="G622">
        <v>234.916</v>
      </c>
      <c r="H622">
        <v>202.863</v>
      </c>
      <c r="I622">
        <v>223.17400000000001</v>
      </c>
    </row>
    <row r="623" spans="1:9" x14ac:dyDescent="0.25">
      <c r="A623" s="12">
        <v>42496</v>
      </c>
      <c r="B623">
        <v>256.84699999999998</v>
      </c>
      <c r="C623">
        <v>243.86799999999999</v>
      </c>
      <c r="E623">
        <v>181.16499999999999</v>
      </c>
      <c r="F623">
        <v>167.12700000000001</v>
      </c>
      <c r="G623">
        <v>233.77500000000001</v>
      </c>
      <c r="H623">
        <v>202.83199999999999</v>
      </c>
      <c r="I623">
        <v>223.239</v>
      </c>
    </row>
    <row r="624" spans="1:9" x14ac:dyDescent="0.25">
      <c r="A624" s="12">
        <v>42499</v>
      </c>
      <c r="B624">
        <v>256.91399999999999</v>
      </c>
      <c r="C624">
        <v>243.92099999999999</v>
      </c>
      <c r="E624">
        <v>181.71600000000001</v>
      </c>
      <c r="F624">
        <v>167.35400000000001</v>
      </c>
      <c r="G624">
        <v>233.75700000000001</v>
      </c>
      <c r="H624">
        <v>202.828</v>
      </c>
      <c r="I624">
        <v>223.13399999999999</v>
      </c>
    </row>
    <row r="625" spans="1:9" x14ac:dyDescent="0.25">
      <c r="A625" s="12">
        <v>42500</v>
      </c>
      <c r="B625">
        <v>256.88400000000001</v>
      </c>
      <c r="C625">
        <v>243.97399999999999</v>
      </c>
      <c r="E625">
        <v>181.39500000000001</v>
      </c>
      <c r="F625">
        <v>167.315</v>
      </c>
      <c r="G625">
        <v>233.816</v>
      </c>
      <c r="H625">
        <v>202.785</v>
      </c>
      <c r="I625">
        <v>223.15799999999999</v>
      </c>
    </row>
    <row r="626" spans="1:9" x14ac:dyDescent="0.25">
      <c r="A626" s="12">
        <v>42501</v>
      </c>
      <c r="B626">
        <v>257.584</v>
      </c>
      <c r="C626">
        <v>243.917</v>
      </c>
      <c r="E626">
        <v>181.779</v>
      </c>
      <c r="F626">
        <v>167.36099999999999</v>
      </c>
      <c r="G626">
        <v>234.20400000000001</v>
      </c>
      <c r="H626">
        <v>202.744</v>
      </c>
      <c r="I626">
        <v>223.65600000000001</v>
      </c>
    </row>
    <row r="627" spans="1:9" x14ac:dyDescent="0.25">
      <c r="A627" s="12">
        <v>42502</v>
      </c>
      <c r="B627">
        <v>257.49299999999999</v>
      </c>
      <c r="C627">
        <v>243.97</v>
      </c>
      <c r="E627">
        <v>182.416</v>
      </c>
      <c r="F627">
        <v>167.32900000000001</v>
      </c>
      <c r="G627">
        <v>234.352</v>
      </c>
      <c r="H627">
        <v>202.68799999999999</v>
      </c>
      <c r="I627">
        <v>223.584</v>
      </c>
    </row>
    <row r="628" spans="1:9" x14ac:dyDescent="0.25">
      <c r="A628" s="12">
        <v>42503</v>
      </c>
      <c r="B628">
        <v>257.64</v>
      </c>
      <c r="C628">
        <v>244.06399999999999</v>
      </c>
      <c r="E628">
        <v>182.20400000000001</v>
      </c>
      <c r="F628">
        <v>167.351</v>
      </c>
      <c r="G628">
        <v>234.31899999999999</v>
      </c>
      <c r="H628">
        <v>202.76</v>
      </c>
      <c r="I628">
        <v>223.42699999999999</v>
      </c>
    </row>
    <row r="629" spans="1:9" x14ac:dyDescent="0.25">
      <c r="A629" s="12">
        <v>42506</v>
      </c>
      <c r="B629">
        <v>257.68599999999998</v>
      </c>
      <c r="C629">
        <v>244.14</v>
      </c>
      <c r="E629">
        <v>181.852</v>
      </c>
      <c r="F629">
        <v>167.261</v>
      </c>
      <c r="G629">
        <v>234.495</v>
      </c>
      <c r="H629">
        <v>202.87100000000001</v>
      </c>
      <c r="I629">
        <v>223.71199999999999</v>
      </c>
    </row>
    <row r="630" spans="1:9" x14ac:dyDescent="0.25">
      <c r="A630" s="12">
        <v>42507</v>
      </c>
      <c r="B630">
        <v>257.35899999999998</v>
      </c>
      <c r="C630">
        <v>244.33799999999999</v>
      </c>
      <c r="E630">
        <v>182.233</v>
      </c>
      <c r="F630">
        <v>167.392</v>
      </c>
      <c r="G630">
        <v>234.53299999999999</v>
      </c>
      <c r="H630">
        <v>202.96299999999999</v>
      </c>
      <c r="I630">
        <v>223.679</v>
      </c>
    </row>
    <row r="631" spans="1:9" x14ac:dyDescent="0.25">
      <c r="A631" s="12">
        <v>42508</v>
      </c>
      <c r="B631">
        <v>257.14699999999999</v>
      </c>
      <c r="C631">
        <v>244.298</v>
      </c>
      <c r="E631">
        <v>182.233</v>
      </c>
      <c r="F631">
        <v>167.38300000000001</v>
      </c>
      <c r="G631">
        <v>234.54300000000001</v>
      </c>
      <c r="H631">
        <v>202.94399999999999</v>
      </c>
      <c r="I631">
        <v>223.57900000000001</v>
      </c>
    </row>
    <row r="632" spans="1:9" x14ac:dyDescent="0.25">
      <c r="A632" s="12">
        <v>42509</v>
      </c>
      <c r="B632">
        <v>257.57900000000001</v>
      </c>
      <c r="C632">
        <v>244.45500000000001</v>
      </c>
      <c r="E632">
        <v>182.22200000000001</v>
      </c>
      <c r="F632">
        <v>167.35499999999999</v>
      </c>
      <c r="G632">
        <v>234.54900000000001</v>
      </c>
      <c r="H632">
        <v>202.911</v>
      </c>
      <c r="I632">
        <v>223.803</v>
      </c>
    </row>
    <row r="633" spans="1:9" x14ac:dyDescent="0.25">
      <c r="A633" s="12">
        <v>42510</v>
      </c>
      <c r="B633">
        <v>257.25299999999999</v>
      </c>
      <c r="C633">
        <v>244.328</v>
      </c>
      <c r="E633">
        <v>182.35</v>
      </c>
      <c r="F633">
        <v>167.23599999999999</v>
      </c>
      <c r="G633">
        <v>234.298</v>
      </c>
      <c r="H633">
        <v>202.84200000000001</v>
      </c>
      <c r="I633">
        <v>223.583</v>
      </c>
    </row>
    <row r="634" spans="1:9" x14ac:dyDescent="0.25">
      <c r="A634" s="12">
        <v>42513</v>
      </c>
      <c r="B634">
        <v>257.00700000000001</v>
      </c>
      <c r="C634">
        <v>244.15899999999999</v>
      </c>
      <c r="E634">
        <v>181.67099999999999</v>
      </c>
      <c r="F634">
        <v>167.047</v>
      </c>
      <c r="G634">
        <v>233.86500000000001</v>
      </c>
      <c r="H634">
        <v>202.60300000000001</v>
      </c>
      <c r="I634">
        <v>223.97</v>
      </c>
    </row>
    <row r="635" spans="1:9" x14ac:dyDescent="0.25">
      <c r="A635" s="12">
        <v>42514</v>
      </c>
      <c r="B635">
        <v>257.17200000000003</v>
      </c>
      <c r="C635">
        <v>244.18</v>
      </c>
      <c r="E635">
        <v>182.43600000000001</v>
      </c>
      <c r="F635">
        <v>167.12799999999999</v>
      </c>
      <c r="G635">
        <v>234.17699999999999</v>
      </c>
      <c r="H635">
        <v>202.56700000000001</v>
      </c>
      <c r="I635">
        <v>223.87</v>
      </c>
    </row>
    <row r="636" spans="1:9" x14ac:dyDescent="0.25">
      <c r="A636" s="12">
        <v>42515</v>
      </c>
      <c r="B636">
        <v>257.43599999999998</v>
      </c>
      <c r="C636">
        <v>244.26300000000001</v>
      </c>
      <c r="E636">
        <v>182.19200000000001</v>
      </c>
      <c r="F636">
        <v>167.107</v>
      </c>
      <c r="G636">
        <v>234.387</v>
      </c>
      <c r="H636">
        <v>202.68799999999999</v>
      </c>
      <c r="I636">
        <v>224.49199999999999</v>
      </c>
    </row>
    <row r="637" spans="1:9" x14ac:dyDescent="0.25">
      <c r="A637" s="12">
        <v>42516</v>
      </c>
      <c r="B637">
        <v>258.024</v>
      </c>
      <c r="C637">
        <v>244.31800000000001</v>
      </c>
      <c r="E637">
        <v>183.13399999999999</v>
      </c>
      <c r="F637">
        <v>167.238</v>
      </c>
      <c r="G637">
        <v>235.012</v>
      </c>
      <c r="H637">
        <v>202.68199999999999</v>
      </c>
      <c r="I637">
        <v>224.791</v>
      </c>
    </row>
    <row r="638" spans="1:9" x14ac:dyDescent="0.25">
      <c r="A638" s="12">
        <v>42517</v>
      </c>
      <c r="B638">
        <v>258.79599999999999</v>
      </c>
      <c r="C638">
        <v>244.37100000000001</v>
      </c>
      <c r="E638">
        <v>183.97900000000001</v>
      </c>
      <c r="F638">
        <v>167.422</v>
      </c>
      <c r="G638">
        <v>235.58600000000001</v>
      </c>
      <c r="H638">
        <v>202.785</v>
      </c>
      <c r="I638">
        <v>224.84899999999999</v>
      </c>
    </row>
    <row r="639" spans="1:9" x14ac:dyDescent="0.25">
      <c r="A639" s="12">
        <v>42520</v>
      </c>
      <c r="B639">
        <v>259.029</v>
      </c>
      <c r="C639">
        <v>244.596</v>
      </c>
      <c r="E639">
        <v>184.02600000000001</v>
      </c>
      <c r="F639">
        <v>167.489</v>
      </c>
      <c r="G639">
        <v>235.721</v>
      </c>
      <c r="H639">
        <v>202.84</v>
      </c>
      <c r="I639">
        <v>224.99299999999999</v>
      </c>
    </row>
    <row r="640" spans="1:9" x14ac:dyDescent="0.25">
      <c r="A640" s="12">
        <v>42521</v>
      </c>
      <c r="B640">
        <v>259.27300000000002</v>
      </c>
      <c r="C640">
        <v>244.75200000000001</v>
      </c>
      <c r="E640">
        <v>184.44399999999999</v>
      </c>
      <c r="F640">
        <v>167.57499999999999</v>
      </c>
      <c r="G640">
        <v>236.01499999999999</v>
      </c>
      <c r="H640">
        <v>202.97800000000001</v>
      </c>
      <c r="I640">
        <v>225.035</v>
      </c>
    </row>
    <row r="641" spans="1:9" x14ac:dyDescent="0.25">
      <c r="A641" s="12">
        <v>42522</v>
      </c>
      <c r="B641">
        <v>259.28800000000001</v>
      </c>
      <c r="C641">
        <v>244.67400000000001</v>
      </c>
      <c r="E641">
        <v>184.51499999999999</v>
      </c>
      <c r="F641">
        <v>167.45400000000001</v>
      </c>
      <c r="G641">
        <v>235.93</v>
      </c>
      <c r="H641">
        <v>202.916</v>
      </c>
      <c r="I641">
        <v>224.971</v>
      </c>
    </row>
    <row r="642" spans="1:9" x14ac:dyDescent="0.25">
      <c r="A642" s="12">
        <v>42523</v>
      </c>
      <c r="B642">
        <v>259.20699999999999</v>
      </c>
      <c r="C642">
        <v>244.68</v>
      </c>
      <c r="E642">
        <v>184.3</v>
      </c>
      <c r="F642">
        <v>167.51599999999999</v>
      </c>
      <c r="G642">
        <v>235.785</v>
      </c>
      <c r="H642">
        <v>202.874</v>
      </c>
      <c r="I642">
        <v>224.74600000000001</v>
      </c>
    </row>
    <row r="643" spans="1:9" x14ac:dyDescent="0.25">
      <c r="A643" s="12">
        <v>42524</v>
      </c>
      <c r="B643">
        <v>258.91000000000003</v>
      </c>
      <c r="C643">
        <v>244.65</v>
      </c>
      <c r="E643">
        <v>183.917</v>
      </c>
      <c r="F643">
        <v>167.57499999999999</v>
      </c>
      <c r="G643">
        <v>235.518</v>
      </c>
      <c r="H643">
        <v>202.87799999999999</v>
      </c>
      <c r="I643">
        <v>224.84100000000001</v>
      </c>
    </row>
    <row r="644" spans="1:9" x14ac:dyDescent="0.25">
      <c r="A644" s="12">
        <v>42527</v>
      </c>
      <c r="B644">
        <v>259.05700000000002</v>
      </c>
      <c r="C644">
        <v>244.85599999999999</v>
      </c>
      <c r="E644">
        <v>184.071</v>
      </c>
      <c r="F644">
        <v>167.78</v>
      </c>
      <c r="G644">
        <v>235.71799999999999</v>
      </c>
      <c r="H644">
        <v>202.95400000000001</v>
      </c>
      <c r="I644">
        <v>224.67699999999999</v>
      </c>
    </row>
    <row r="645" spans="1:9" x14ac:dyDescent="0.25">
      <c r="A645" s="12">
        <v>42528</v>
      </c>
      <c r="B645">
        <v>258.92200000000003</v>
      </c>
      <c r="C645">
        <v>244.75299999999999</v>
      </c>
      <c r="E645">
        <v>183.535</v>
      </c>
      <c r="F645">
        <v>167.90299999999999</v>
      </c>
      <c r="G645">
        <v>235.43899999999999</v>
      </c>
      <c r="H645">
        <v>202.86600000000001</v>
      </c>
      <c r="I645">
        <v>224.654</v>
      </c>
    </row>
    <row r="646" spans="1:9" x14ac:dyDescent="0.25">
      <c r="A646" s="12">
        <v>42529</v>
      </c>
      <c r="B646">
        <v>259.017</v>
      </c>
      <c r="C646">
        <v>244.90899999999999</v>
      </c>
      <c r="E646">
        <v>183.88800000000001</v>
      </c>
      <c r="F646">
        <v>167.84800000000001</v>
      </c>
      <c r="G646">
        <v>235.88300000000001</v>
      </c>
      <c r="H646">
        <v>203.102</v>
      </c>
      <c r="I646">
        <v>224.947</v>
      </c>
    </row>
    <row r="647" spans="1:9" x14ac:dyDescent="0.25">
      <c r="A647" s="12">
        <v>42530</v>
      </c>
      <c r="B647">
        <v>259.49900000000002</v>
      </c>
      <c r="C647">
        <v>245.101</v>
      </c>
      <c r="E647">
        <v>184.517</v>
      </c>
      <c r="F647">
        <v>168.04499999999999</v>
      </c>
      <c r="G647">
        <v>236.28399999999999</v>
      </c>
      <c r="H647">
        <v>203.24799999999999</v>
      </c>
      <c r="I647">
        <v>224.90100000000001</v>
      </c>
    </row>
    <row r="648" spans="1:9" x14ac:dyDescent="0.25">
      <c r="A648" s="12">
        <v>42531</v>
      </c>
      <c r="B648">
        <v>259.46600000000001</v>
      </c>
      <c r="C648">
        <v>245.39699999999999</v>
      </c>
      <c r="E648">
        <v>184.34800000000001</v>
      </c>
      <c r="F648">
        <v>168.113</v>
      </c>
      <c r="G648">
        <v>236.48500000000001</v>
      </c>
      <c r="H648">
        <v>203.41399999999999</v>
      </c>
      <c r="I648">
        <v>224.87200000000001</v>
      </c>
    </row>
    <row r="649" spans="1:9" x14ac:dyDescent="0.25">
      <c r="A649" s="12">
        <v>42534</v>
      </c>
      <c r="B649">
        <v>258.96100000000001</v>
      </c>
      <c r="C649">
        <v>245.57300000000001</v>
      </c>
      <c r="E649">
        <v>184.179</v>
      </c>
      <c r="F649">
        <v>168.316</v>
      </c>
      <c r="G649">
        <v>236.501</v>
      </c>
      <c r="H649">
        <v>203.59</v>
      </c>
      <c r="I649">
        <v>224.482</v>
      </c>
    </row>
    <row r="650" spans="1:9" x14ac:dyDescent="0.25">
      <c r="A650" s="12">
        <v>42535</v>
      </c>
      <c r="B650">
        <v>258.17399999999998</v>
      </c>
      <c r="C650">
        <v>245.583</v>
      </c>
      <c r="E650">
        <v>183.452</v>
      </c>
      <c r="F650">
        <v>168.369</v>
      </c>
      <c r="G650">
        <v>235.76900000000001</v>
      </c>
      <c r="H650">
        <v>203.63200000000001</v>
      </c>
      <c r="I650">
        <v>224.024</v>
      </c>
    </row>
    <row r="651" spans="1:9" x14ac:dyDescent="0.25">
      <c r="A651" s="12">
        <v>42536</v>
      </c>
      <c r="B651">
        <v>257.19299999999998</v>
      </c>
      <c r="C651">
        <v>245.37899999999999</v>
      </c>
      <c r="E651">
        <v>182.6</v>
      </c>
      <c r="F651">
        <v>168.16399999999999</v>
      </c>
      <c r="G651">
        <v>235.07300000000001</v>
      </c>
      <c r="H651">
        <v>203.524</v>
      </c>
      <c r="I651">
        <v>223.55</v>
      </c>
    </row>
    <row r="652" spans="1:9" x14ac:dyDescent="0.25">
      <c r="A652" s="12">
        <v>42537</v>
      </c>
      <c r="B652">
        <v>256.49</v>
      </c>
      <c r="C652">
        <v>245.23500000000001</v>
      </c>
      <c r="E652">
        <v>181.98099999999999</v>
      </c>
      <c r="F652">
        <v>168.11500000000001</v>
      </c>
      <c r="G652">
        <v>234.62799999999999</v>
      </c>
      <c r="H652">
        <v>203.40600000000001</v>
      </c>
      <c r="I652">
        <v>223.81700000000001</v>
      </c>
    </row>
    <row r="653" spans="1:9" x14ac:dyDescent="0.25">
      <c r="A653" s="12">
        <v>42538</v>
      </c>
      <c r="B653">
        <v>256.63099999999997</v>
      </c>
      <c r="C653">
        <v>245.292</v>
      </c>
      <c r="E653">
        <v>182.32400000000001</v>
      </c>
      <c r="F653">
        <v>168.22200000000001</v>
      </c>
      <c r="G653">
        <v>234.48699999999999</v>
      </c>
      <c r="H653">
        <v>203.33799999999999</v>
      </c>
      <c r="I653">
        <v>223.666</v>
      </c>
    </row>
    <row r="654" spans="1:9" x14ac:dyDescent="0.25">
      <c r="A654" s="12">
        <v>42541</v>
      </c>
      <c r="B654">
        <v>256.15899999999999</v>
      </c>
      <c r="C654">
        <v>245.17099999999999</v>
      </c>
      <c r="E654">
        <v>181.96299999999999</v>
      </c>
      <c r="F654">
        <v>168.27099999999999</v>
      </c>
      <c r="G654">
        <v>234.01599999999999</v>
      </c>
      <c r="H654">
        <v>203.238</v>
      </c>
      <c r="I654">
        <v>223.58799999999999</v>
      </c>
    </row>
    <row r="655" spans="1:9" x14ac:dyDescent="0.25">
      <c r="A655" s="12">
        <v>42542</v>
      </c>
      <c r="B655">
        <v>256.63299999999998</v>
      </c>
      <c r="C655">
        <v>244.97300000000001</v>
      </c>
      <c r="E655">
        <v>182.018</v>
      </c>
      <c r="F655">
        <v>168.12700000000001</v>
      </c>
      <c r="G655">
        <v>234.28100000000001</v>
      </c>
      <c r="H655">
        <v>203.08600000000001</v>
      </c>
      <c r="I655">
        <v>224.47800000000001</v>
      </c>
    </row>
    <row r="656" spans="1:9" x14ac:dyDescent="0.25">
      <c r="A656" s="12">
        <v>42543</v>
      </c>
      <c r="B656">
        <v>258</v>
      </c>
      <c r="C656">
        <v>245.11799999999999</v>
      </c>
      <c r="E656">
        <v>183.429</v>
      </c>
      <c r="F656">
        <v>168.10599999999999</v>
      </c>
      <c r="G656">
        <v>235.36600000000001</v>
      </c>
      <c r="H656">
        <v>203.22900000000001</v>
      </c>
      <c r="I656">
        <v>224.721</v>
      </c>
    </row>
    <row r="657" spans="1:9" x14ac:dyDescent="0.25">
      <c r="A657" s="12">
        <v>42548</v>
      </c>
      <c r="B657">
        <v>258.31900000000002</v>
      </c>
      <c r="C657">
        <v>245.291</v>
      </c>
      <c r="E657">
        <v>183.64400000000001</v>
      </c>
      <c r="F657">
        <v>168.20599999999999</v>
      </c>
      <c r="G657">
        <v>235.77500000000001</v>
      </c>
      <c r="H657">
        <v>203.411</v>
      </c>
      <c r="I657">
        <v>224.91499999999999</v>
      </c>
    </row>
    <row r="658" spans="1:9" x14ac:dyDescent="0.25">
      <c r="A658" s="12">
        <v>42549</v>
      </c>
      <c r="B658">
        <v>256.596</v>
      </c>
      <c r="C658">
        <v>245.76300000000001</v>
      </c>
      <c r="E658">
        <v>182.23400000000001</v>
      </c>
      <c r="F658">
        <v>168.27</v>
      </c>
      <c r="G658">
        <v>235.001</v>
      </c>
      <c r="H658">
        <v>203.63900000000001</v>
      </c>
      <c r="I658">
        <v>222.33199999999999</v>
      </c>
    </row>
    <row r="659" spans="1:9" x14ac:dyDescent="0.25">
      <c r="A659" s="12">
        <v>42550</v>
      </c>
      <c r="B659">
        <v>255.90299999999999</v>
      </c>
      <c r="C659">
        <v>245.55500000000001</v>
      </c>
      <c r="E659">
        <v>181.15799999999999</v>
      </c>
      <c r="F659">
        <v>168.7</v>
      </c>
      <c r="G659">
        <v>233.501</v>
      </c>
      <c r="H659">
        <v>203.328</v>
      </c>
      <c r="I659">
        <v>223.19300000000001</v>
      </c>
    </row>
    <row r="660" spans="1:9" x14ac:dyDescent="0.25">
      <c r="A660" s="12">
        <v>42551</v>
      </c>
      <c r="B660">
        <v>256.28800000000001</v>
      </c>
      <c r="C660">
        <v>245.685</v>
      </c>
      <c r="E660">
        <v>182.09700000000001</v>
      </c>
      <c r="F660">
        <v>168.90799999999999</v>
      </c>
      <c r="G660">
        <v>234.529</v>
      </c>
      <c r="H660">
        <v>203.387</v>
      </c>
      <c r="I660">
        <v>224.24600000000001</v>
      </c>
    </row>
    <row r="661" spans="1:9" x14ac:dyDescent="0.25">
      <c r="A661" s="12">
        <v>42552</v>
      </c>
      <c r="B661">
        <v>257.05799999999999</v>
      </c>
      <c r="C661">
        <v>245.934</v>
      </c>
      <c r="E661">
        <v>183.328</v>
      </c>
      <c r="F661">
        <v>169.17699999999999</v>
      </c>
      <c r="G661">
        <v>235.52600000000001</v>
      </c>
      <c r="H661">
        <v>203.73500000000001</v>
      </c>
      <c r="I661">
        <v>224.696</v>
      </c>
    </row>
    <row r="662" spans="1:9" x14ac:dyDescent="0.25">
      <c r="A662" s="12">
        <v>42555</v>
      </c>
      <c r="B662">
        <v>257.81200000000001</v>
      </c>
      <c r="C662">
        <v>246.27699999999999</v>
      </c>
      <c r="E662">
        <v>183.893</v>
      </c>
      <c r="F662">
        <v>169.31</v>
      </c>
      <c r="G662">
        <v>236.09399999999999</v>
      </c>
      <c r="H662">
        <v>203.845</v>
      </c>
      <c r="I662">
        <v>224.923</v>
      </c>
    </row>
    <row r="663" spans="1:9" x14ac:dyDescent="0.25">
      <c r="A663" s="12">
        <v>42556</v>
      </c>
      <c r="B663">
        <v>258.392</v>
      </c>
      <c r="C663">
        <v>246.648</v>
      </c>
      <c r="E663">
        <v>184.435</v>
      </c>
      <c r="F663">
        <v>169.642</v>
      </c>
      <c r="G663">
        <v>237.07499999999999</v>
      </c>
      <c r="H663">
        <v>204.154</v>
      </c>
      <c r="I663">
        <v>224.881</v>
      </c>
    </row>
    <row r="664" spans="1:9" x14ac:dyDescent="0.25">
      <c r="A664" s="12">
        <v>42557</v>
      </c>
      <c r="B664">
        <v>258.27499999999998</v>
      </c>
      <c r="C664">
        <v>246.70099999999999</v>
      </c>
      <c r="E664">
        <v>184.42500000000001</v>
      </c>
      <c r="F664">
        <v>169.74700000000001</v>
      </c>
      <c r="G664">
        <v>236.952</v>
      </c>
      <c r="H664">
        <v>204.20500000000001</v>
      </c>
      <c r="I664">
        <v>224.52600000000001</v>
      </c>
    </row>
    <row r="665" spans="1:9" x14ac:dyDescent="0.25">
      <c r="A665" s="12">
        <v>42558</v>
      </c>
      <c r="B665">
        <v>258.04399999999998</v>
      </c>
      <c r="C665">
        <v>247.089</v>
      </c>
      <c r="E665">
        <v>184.03899999999999</v>
      </c>
      <c r="F665">
        <v>170.01499999999999</v>
      </c>
      <c r="G665">
        <v>236.565</v>
      </c>
      <c r="H665">
        <v>204.45400000000001</v>
      </c>
      <c r="I665">
        <v>224.238</v>
      </c>
    </row>
    <row r="666" spans="1:9" x14ac:dyDescent="0.25">
      <c r="A666" s="12">
        <v>42559</v>
      </c>
      <c r="B666">
        <v>257.59699999999998</v>
      </c>
      <c r="C666">
        <v>247.08799999999999</v>
      </c>
      <c r="E666">
        <v>183.71100000000001</v>
      </c>
      <c r="F666">
        <v>170.07499999999999</v>
      </c>
      <c r="G666">
        <v>236.34</v>
      </c>
      <c r="H666">
        <v>204.464</v>
      </c>
      <c r="I666">
        <v>224.52099999999999</v>
      </c>
    </row>
    <row r="667" spans="1:9" x14ac:dyDescent="0.25">
      <c r="A667" s="12">
        <v>42562</v>
      </c>
      <c r="B667">
        <v>258.113</v>
      </c>
      <c r="C667">
        <v>247.17099999999999</v>
      </c>
      <c r="E667">
        <v>184.18600000000001</v>
      </c>
      <c r="F667">
        <v>170.10900000000001</v>
      </c>
      <c r="G667">
        <v>236.82900000000001</v>
      </c>
      <c r="H667">
        <v>204.583</v>
      </c>
      <c r="I667">
        <v>225.07599999999999</v>
      </c>
    </row>
    <row r="668" spans="1:9" x14ac:dyDescent="0.25">
      <c r="A668" s="12">
        <v>42563</v>
      </c>
      <c r="B668">
        <v>258.70699999999999</v>
      </c>
      <c r="C668">
        <v>247.602</v>
      </c>
      <c r="E668">
        <v>184.959</v>
      </c>
      <c r="F668">
        <v>170.33199999999999</v>
      </c>
      <c r="G668">
        <v>237.505</v>
      </c>
      <c r="H668">
        <v>204.828</v>
      </c>
      <c r="I668">
        <v>225.45</v>
      </c>
    </row>
    <row r="669" spans="1:9" x14ac:dyDescent="0.25">
      <c r="A669" s="12">
        <v>42564</v>
      </c>
      <c r="B669">
        <v>259.44799999999998</v>
      </c>
      <c r="C669">
        <v>247.673</v>
      </c>
      <c r="E669">
        <v>186.11699999999999</v>
      </c>
      <c r="F669">
        <v>170.41</v>
      </c>
      <c r="G669">
        <v>238.22900000000001</v>
      </c>
      <c r="H669">
        <v>205.04599999999999</v>
      </c>
      <c r="I669">
        <v>226.005</v>
      </c>
    </row>
    <row r="670" spans="1:9" x14ac:dyDescent="0.25">
      <c r="A670" s="12">
        <v>42565</v>
      </c>
      <c r="B670">
        <v>259.95299999999997</v>
      </c>
      <c r="C670">
        <v>247.78700000000001</v>
      </c>
      <c r="E670">
        <v>186.648</v>
      </c>
      <c r="F670">
        <v>170.185</v>
      </c>
      <c r="G670">
        <v>238.74299999999999</v>
      </c>
      <c r="H670">
        <v>205.22900000000001</v>
      </c>
      <c r="I670">
        <v>226.07499999999999</v>
      </c>
    </row>
    <row r="671" spans="1:9" x14ac:dyDescent="0.25">
      <c r="A671" s="12">
        <v>42566</v>
      </c>
      <c r="B671">
        <v>259.91699999999997</v>
      </c>
      <c r="C671">
        <v>247.774</v>
      </c>
      <c r="E671">
        <v>186.52099999999999</v>
      </c>
      <c r="F671">
        <v>170.327</v>
      </c>
      <c r="G671">
        <v>238.87799999999999</v>
      </c>
      <c r="H671">
        <v>205.267</v>
      </c>
      <c r="I671">
        <v>226.34100000000001</v>
      </c>
    </row>
    <row r="672" spans="1:9" x14ac:dyDescent="0.25">
      <c r="A672" s="12">
        <v>42569</v>
      </c>
      <c r="B672">
        <v>260.01</v>
      </c>
      <c r="C672">
        <v>247.73099999999999</v>
      </c>
      <c r="E672">
        <v>186.94399999999999</v>
      </c>
      <c r="F672">
        <v>169.864</v>
      </c>
      <c r="G672">
        <v>238.976</v>
      </c>
      <c r="H672">
        <v>205.327</v>
      </c>
      <c r="I672">
        <v>226.41800000000001</v>
      </c>
    </row>
    <row r="673" spans="1:9" x14ac:dyDescent="0.25">
      <c r="A673" s="12">
        <v>42570</v>
      </c>
      <c r="B673">
        <v>259.93700000000001</v>
      </c>
      <c r="C673">
        <v>247.83199999999999</v>
      </c>
      <c r="E673">
        <v>186.86600000000001</v>
      </c>
      <c r="F673">
        <v>169.727</v>
      </c>
      <c r="G673">
        <v>239.09200000000001</v>
      </c>
      <c r="H673">
        <v>205.464</v>
      </c>
      <c r="I673">
        <v>226.60400000000001</v>
      </c>
    </row>
    <row r="674" spans="1:9" x14ac:dyDescent="0.25">
      <c r="A674" s="12">
        <v>42571</v>
      </c>
      <c r="B674">
        <v>259.92399999999998</v>
      </c>
      <c r="C674">
        <v>247.83600000000001</v>
      </c>
      <c r="E674">
        <v>186.93799999999999</v>
      </c>
      <c r="F674">
        <v>169.73400000000001</v>
      </c>
      <c r="G674">
        <v>239.06200000000001</v>
      </c>
      <c r="H674">
        <v>205.47499999999999</v>
      </c>
      <c r="I674">
        <v>226.59200000000001</v>
      </c>
    </row>
    <row r="675" spans="1:9" x14ac:dyDescent="0.25">
      <c r="A675" s="12">
        <v>42572</v>
      </c>
      <c r="B675">
        <v>259.93400000000003</v>
      </c>
      <c r="C675">
        <v>247.75200000000001</v>
      </c>
      <c r="E675">
        <v>187.03</v>
      </c>
      <c r="F675">
        <v>169.87799999999999</v>
      </c>
      <c r="G675">
        <v>239.18600000000001</v>
      </c>
      <c r="H675">
        <v>205.52699999999999</v>
      </c>
      <c r="I675">
        <v>226.93</v>
      </c>
    </row>
    <row r="676" spans="1:9" x14ac:dyDescent="0.25">
      <c r="A676" s="12">
        <v>42573</v>
      </c>
      <c r="B676">
        <v>260.125</v>
      </c>
      <c r="C676">
        <v>247.655</v>
      </c>
      <c r="E676">
        <v>187.61699999999999</v>
      </c>
      <c r="F676">
        <v>169.88499999999999</v>
      </c>
      <c r="G676">
        <v>239.381</v>
      </c>
      <c r="H676">
        <v>205.553</v>
      </c>
      <c r="I676">
        <v>226.91800000000001</v>
      </c>
    </row>
    <row r="677" spans="1:9" x14ac:dyDescent="0.25">
      <c r="A677" s="12">
        <v>42576</v>
      </c>
      <c r="B677">
        <v>260.178</v>
      </c>
      <c r="C677">
        <v>247.81700000000001</v>
      </c>
      <c r="E677">
        <v>187.51599999999999</v>
      </c>
      <c r="F677">
        <v>169.875</v>
      </c>
      <c r="G677">
        <v>239.24199999999999</v>
      </c>
      <c r="H677">
        <v>205.58099999999999</v>
      </c>
      <c r="I677">
        <v>226.989</v>
      </c>
    </row>
    <row r="678" spans="1:9" x14ac:dyDescent="0.25">
      <c r="A678" s="12">
        <v>42577</v>
      </c>
      <c r="B678">
        <v>260.45400000000001</v>
      </c>
      <c r="C678">
        <v>248.03100000000001</v>
      </c>
      <c r="E678">
        <v>187.62299999999999</v>
      </c>
      <c r="F678">
        <v>169.94900000000001</v>
      </c>
      <c r="G678">
        <v>239.34200000000001</v>
      </c>
      <c r="H678">
        <v>205.65299999999999</v>
      </c>
      <c r="I678">
        <v>226.964</v>
      </c>
    </row>
    <row r="679" spans="1:9" x14ac:dyDescent="0.25">
      <c r="A679" s="12">
        <v>42578</v>
      </c>
      <c r="B679">
        <v>260.58800000000002</v>
      </c>
      <c r="C679">
        <v>248.00299999999999</v>
      </c>
      <c r="E679">
        <v>187.57300000000001</v>
      </c>
      <c r="F679">
        <v>169.99700000000001</v>
      </c>
      <c r="G679">
        <v>239.48</v>
      </c>
      <c r="H679">
        <v>205.67</v>
      </c>
      <c r="I679">
        <v>227.02199999999999</v>
      </c>
    </row>
    <row r="680" spans="1:9" x14ac:dyDescent="0.25">
      <c r="A680" s="12">
        <v>42579</v>
      </c>
      <c r="B680">
        <v>260.714</v>
      </c>
      <c r="C680">
        <v>247.94800000000001</v>
      </c>
      <c r="E680">
        <v>187.619</v>
      </c>
      <c r="F680">
        <v>169.92599999999999</v>
      </c>
      <c r="G680">
        <v>239.57300000000001</v>
      </c>
      <c r="H680">
        <v>205.62</v>
      </c>
      <c r="I680">
        <v>227.08</v>
      </c>
    </row>
    <row r="681" spans="1:9" x14ac:dyDescent="0.25">
      <c r="A681" s="12">
        <v>42580</v>
      </c>
      <c r="B681">
        <v>260.81200000000001</v>
      </c>
      <c r="C681">
        <v>247.88399999999999</v>
      </c>
      <c r="E681">
        <v>187.845</v>
      </c>
      <c r="F681">
        <v>170.12</v>
      </c>
      <c r="G681">
        <v>239.55799999999999</v>
      </c>
      <c r="H681">
        <v>205.55600000000001</v>
      </c>
      <c r="I681">
        <v>226.7</v>
      </c>
    </row>
    <row r="682" spans="1:9" x14ac:dyDescent="0.25">
      <c r="A682" s="12">
        <v>42583</v>
      </c>
      <c r="B682">
        <v>260.733</v>
      </c>
      <c r="C682">
        <v>247.82599999999999</v>
      </c>
      <c r="E682">
        <v>187.04900000000001</v>
      </c>
      <c r="F682">
        <v>170</v>
      </c>
      <c r="G682">
        <v>239.352</v>
      </c>
      <c r="H682">
        <v>205.56700000000001</v>
      </c>
      <c r="I682">
        <v>226.73699999999999</v>
      </c>
    </row>
    <row r="683" spans="1:9" x14ac:dyDescent="0.25">
      <c r="A683" s="12">
        <v>42584</v>
      </c>
      <c r="B683">
        <v>260.68900000000002</v>
      </c>
      <c r="C683">
        <v>247.82</v>
      </c>
      <c r="E683">
        <v>187.197</v>
      </c>
      <c r="F683">
        <v>170.08099999999999</v>
      </c>
      <c r="G683">
        <v>239.15799999999999</v>
      </c>
      <c r="H683">
        <v>205.55</v>
      </c>
      <c r="I683">
        <v>226.71199999999999</v>
      </c>
    </row>
    <row r="684" spans="1:9" x14ac:dyDescent="0.25">
      <c r="A684" s="12">
        <v>42585</v>
      </c>
      <c r="B684">
        <v>260.43299999999999</v>
      </c>
      <c r="C684">
        <v>247.65799999999999</v>
      </c>
      <c r="E684">
        <v>187.24199999999999</v>
      </c>
      <c r="F684">
        <v>170.24700000000001</v>
      </c>
      <c r="G684">
        <v>239.084</v>
      </c>
      <c r="H684">
        <v>205.59700000000001</v>
      </c>
      <c r="I684">
        <v>226.155</v>
      </c>
    </row>
    <row r="685" spans="1:9" x14ac:dyDescent="0.25">
      <c r="A685" s="12">
        <v>42586</v>
      </c>
      <c r="B685">
        <v>259.97899999999998</v>
      </c>
      <c r="C685">
        <v>247.477</v>
      </c>
      <c r="E685">
        <v>185.988</v>
      </c>
      <c r="F685">
        <v>169.93100000000001</v>
      </c>
      <c r="G685">
        <v>238.595</v>
      </c>
      <c r="H685">
        <v>205.42099999999999</v>
      </c>
      <c r="I685">
        <v>226.23500000000001</v>
      </c>
    </row>
    <row r="686" spans="1:9" x14ac:dyDescent="0.25">
      <c r="A686" s="12">
        <v>42587</v>
      </c>
      <c r="B686">
        <v>259.99599999999998</v>
      </c>
      <c r="C686">
        <v>247.61699999999999</v>
      </c>
      <c r="E686">
        <v>186.12100000000001</v>
      </c>
      <c r="F686">
        <v>169.947</v>
      </c>
      <c r="G686">
        <v>238.46600000000001</v>
      </c>
      <c r="H686">
        <v>205.43799999999999</v>
      </c>
      <c r="I686">
        <v>226.571</v>
      </c>
    </row>
    <row r="687" spans="1:9" x14ac:dyDescent="0.25">
      <c r="A687" s="12">
        <v>42590</v>
      </c>
      <c r="B687">
        <v>260.15199999999999</v>
      </c>
      <c r="C687">
        <v>247.678</v>
      </c>
      <c r="E687">
        <v>186.929</v>
      </c>
      <c r="F687">
        <v>170.44499999999999</v>
      </c>
      <c r="G687">
        <v>239.04599999999999</v>
      </c>
      <c r="H687">
        <v>205.61199999999999</v>
      </c>
      <c r="I687">
        <v>227.01499999999999</v>
      </c>
    </row>
    <row r="688" spans="1:9" x14ac:dyDescent="0.25">
      <c r="A688" s="12">
        <v>42591</v>
      </c>
      <c r="B688">
        <v>260.589</v>
      </c>
      <c r="C688">
        <v>247.923</v>
      </c>
      <c r="E688">
        <v>187.80799999999999</v>
      </c>
      <c r="F688">
        <v>170.44499999999999</v>
      </c>
      <c r="G688">
        <v>239.84299999999999</v>
      </c>
      <c r="H688">
        <v>205.833</v>
      </c>
      <c r="I688">
        <v>227.15700000000001</v>
      </c>
    </row>
    <row r="689" spans="1:9" x14ac:dyDescent="0.25">
      <c r="A689" s="12">
        <v>42592</v>
      </c>
      <c r="B689">
        <v>261.041</v>
      </c>
      <c r="C689">
        <v>248.119</v>
      </c>
      <c r="E689">
        <v>187.98500000000001</v>
      </c>
      <c r="F689">
        <v>170.46899999999999</v>
      </c>
      <c r="G689">
        <v>240.04300000000001</v>
      </c>
      <c r="H689">
        <v>205.98699999999999</v>
      </c>
      <c r="I689">
        <v>227.46600000000001</v>
      </c>
    </row>
    <row r="690" spans="1:9" x14ac:dyDescent="0.25">
      <c r="A690" s="12">
        <v>42593</v>
      </c>
      <c r="B690">
        <v>261.387</v>
      </c>
      <c r="C690">
        <v>248.20500000000001</v>
      </c>
      <c r="E690">
        <v>188.38800000000001</v>
      </c>
      <c r="F690">
        <v>170.571</v>
      </c>
      <c r="G690">
        <v>240.30699999999999</v>
      </c>
      <c r="H690">
        <v>206.13399999999999</v>
      </c>
      <c r="I690">
        <v>227.23599999999999</v>
      </c>
    </row>
    <row r="691" spans="1:9" x14ac:dyDescent="0.25">
      <c r="A691" s="12">
        <v>42594</v>
      </c>
      <c r="B691">
        <v>261.59899999999999</v>
      </c>
      <c r="C691">
        <v>248.42400000000001</v>
      </c>
      <c r="E691">
        <v>188.006</v>
      </c>
      <c r="F691">
        <v>170.751</v>
      </c>
      <c r="G691">
        <v>240.452</v>
      </c>
      <c r="H691">
        <v>206.31200000000001</v>
      </c>
      <c r="I691">
        <v>227.44300000000001</v>
      </c>
    </row>
    <row r="692" spans="1:9" x14ac:dyDescent="0.25">
      <c r="A692" s="12">
        <v>42597</v>
      </c>
      <c r="B692">
        <v>261.69799999999998</v>
      </c>
      <c r="C692">
        <v>248.35400000000001</v>
      </c>
      <c r="E692">
        <v>188.488</v>
      </c>
      <c r="F692">
        <v>170.684</v>
      </c>
      <c r="G692">
        <v>240.767</v>
      </c>
      <c r="H692">
        <v>206.31</v>
      </c>
      <c r="I692">
        <v>227.398</v>
      </c>
    </row>
    <row r="693" spans="1:9" x14ac:dyDescent="0.25">
      <c r="A693" s="12">
        <v>42598</v>
      </c>
      <c r="B693">
        <v>261.86599999999999</v>
      </c>
      <c r="C693">
        <v>248.42699999999999</v>
      </c>
      <c r="E693">
        <v>188.38499999999999</v>
      </c>
      <c r="F693">
        <v>170.774</v>
      </c>
      <c r="G693">
        <v>240.81700000000001</v>
      </c>
      <c r="H693">
        <v>206.33799999999999</v>
      </c>
      <c r="I693">
        <v>227.43799999999999</v>
      </c>
    </row>
    <row r="694" spans="1:9" x14ac:dyDescent="0.25">
      <c r="A694" s="12">
        <v>42599</v>
      </c>
      <c r="B694">
        <v>261.57</v>
      </c>
      <c r="C694">
        <v>248.18899999999999</v>
      </c>
      <c r="E694">
        <v>188.44</v>
      </c>
      <c r="F694">
        <v>170.59</v>
      </c>
      <c r="G694">
        <v>240.63</v>
      </c>
      <c r="H694">
        <v>206.26499999999999</v>
      </c>
      <c r="I694">
        <v>227.02099999999999</v>
      </c>
    </row>
    <row r="695" spans="1:9" x14ac:dyDescent="0.25">
      <c r="A695" s="12">
        <v>42600</v>
      </c>
      <c r="B695">
        <v>261.23700000000002</v>
      </c>
      <c r="C695">
        <v>248.16499999999999</v>
      </c>
      <c r="E695">
        <v>187.52500000000001</v>
      </c>
      <c r="F695">
        <v>170.321</v>
      </c>
      <c r="G695">
        <v>240.28100000000001</v>
      </c>
      <c r="H695">
        <v>206.35400000000001</v>
      </c>
      <c r="I695">
        <v>226.69900000000001</v>
      </c>
    </row>
    <row r="696" spans="1:9" x14ac:dyDescent="0.25">
      <c r="A696" s="12">
        <v>42601</v>
      </c>
      <c r="B696">
        <v>261.07600000000002</v>
      </c>
      <c r="C696">
        <v>248.14</v>
      </c>
      <c r="E696">
        <v>187.084</v>
      </c>
      <c r="F696">
        <v>170.38300000000001</v>
      </c>
      <c r="G696">
        <v>239.845</v>
      </c>
      <c r="H696">
        <v>206.31899999999999</v>
      </c>
      <c r="I696">
        <v>226.94300000000001</v>
      </c>
    </row>
    <row r="697" spans="1:9" x14ac:dyDescent="0.25">
      <c r="A697" s="12">
        <v>42604</v>
      </c>
      <c r="B697">
        <v>261.161</v>
      </c>
      <c r="C697">
        <v>248.23699999999999</v>
      </c>
      <c r="E697">
        <v>187.39599999999999</v>
      </c>
      <c r="F697">
        <v>170.47800000000001</v>
      </c>
      <c r="G697">
        <v>240.02600000000001</v>
      </c>
      <c r="H697">
        <v>206.315</v>
      </c>
      <c r="I697">
        <v>226.64400000000001</v>
      </c>
    </row>
    <row r="698" spans="1:9" x14ac:dyDescent="0.25">
      <c r="A698" s="12">
        <v>42605</v>
      </c>
      <c r="B698">
        <v>261.06700000000001</v>
      </c>
      <c r="C698">
        <v>248.16</v>
      </c>
      <c r="E698">
        <v>186.90600000000001</v>
      </c>
      <c r="F698">
        <v>170.24299999999999</v>
      </c>
      <c r="G698">
        <v>239.84700000000001</v>
      </c>
      <c r="H698">
        <v>206.309</v>
      </c>
      <c r="I698">
        <v>226.56899999999999</v>
      </c>
    </row>
    <row r="699" spans="1:9" x14ac:dyDescent="0.25">
      <c r="A699" s="12">
        <v>42606</v>
      </c>
      <c r="B699">
        <v>261.178</v>
      </c>
      <c r="C699">
        <v>248.18899999999999</v>
      </c>
      <c r="E699">
        <v>186.964</v>
      </c>
      <c r="F699">
        <v>170.452</v>
      </c>
      <c r="G699">
        <v>239.822</v>
      </c>
      <c r="H699">
        <v>206.32499999999999</v>
      </c>
      <c r="I699">
        <v>226.89599999999999</v>
      </c>
    </row>
    <row r="700" spans="1:9" x14ac:dyDescent="0.25">
      <c r="A700" s="12">
        <v>42607</v>
      </c>
      <c r="B700">
        <v>261.56799999999998</v>
      </c>
      <c r="C700">
        <v>248.38900000000001</v>
      </c>
      <c r="E700">
        <v>187.501</v>
      </c>
      <c r="F700">
        <v>170.477</v>
      </c>
      <c r="G700">
        <v>240.423</v>
      </c>
      <c r="H700">
        <v>206.46100000000001</v>
      </c>
      <c r="I700">
        <v>226.96199999999999</v>
      </c>
    </row>
    <row r="701" spans="1:9" x14ac:dyDescent="0.25">
      <c r="A701" s="12">
        <v>42608</v>
      </c>
      <c r="B701">
        <v>261.483</v>
      </c>
      <c r="C701">
        <v>248.36199999999999</v>
      </c>
      <c r="E701">
        <v>187.749</v>
      </c>
      <c r="F701">
        <v>170.57300000000001</v>
      </c>
      <c r="G701">
        <v>240.36500000000001</v>
      </c>
      <c r="H701">
        <v>206.499</v>
      </c>
      <c r="I701">
        <v>226.81700000000001</v>
      </c>
    </row>
    <row r="702" spans="1:9" x14ac:dyDescent="0.25">
      <c r="A702" s="12">
        <v>42611</v>
      </c>
      <c r="B702">
        <v>261.20999999999998</v>
      </c>
      <c r="C702">
        <v>248.37700000000001</v>
      </c>
      <c r="E702">
        <v>187.25800000000001</v>
      </c>
      <c r="F702">
        <v>170.42699999999999</v>
      </c>
      <c r="G702">
        <v>239.83799999999999</v>
      </c>
      <c r="H702">
        <v>206.34800000000001</v>
      </c>
      <c r="I702">
        <v>227.11</v>
      </c>
    </row>
    <row r="703" spans="1:9" x14ac:dyDescent="0.25">
      <c r="A703" s="12">
        <v>42612</v>
      </c>
      <c r="B703">
        <v>261.31099999999998</v>
      </c>
      <c r="C703">
        <v>248.554</v>
      </c>
      <c r="E703">
        <v>187.66499999999999</v>
      </c>
      <c r="F703">
        <v>170.55699999999999</v>
      </c>
      <c r="G703">
        <v>240.19499999999999</v>
      </c>
      <c r="H703">
        <v>206.482</v>
      </c>
      <c r="I703">
        <v>227.09299999999999</v>
      </c>
    </row>
    <row r="704" spans="1:9" x14ac:dyDescent="0.25">
      <c r="A704" s="12">
        <v>42613</v>
      </c>
      <c r="B704">
        <v>261.654</v>
      </c>
      <c r="C704">
        <v>248.702</v>
      </c>
      <c r="E704">
        <v>187.702</v>
      </c>
      <c r="F704">
        <v>170.577</v>
      </c>
      <c r="G704">
        <v>240.27699999999999</v>
      </c>
      <c r="H704">
        <v>206.55199999999999</v>
      </c>
      <c r="I704">
        <v>227.27699999999999</v>
      </c>
    </row>
    <row r="705" spans="1:9" x14ac:dyDescent="0.25">
      <c r="A705" s="12">
        <v>42614</v>
      </c>
      <c r="B705">
        <v>261.93200000000002</v>
      </c>
      <c r="C705">
        <v>248.828</v>
      </c>
      <c r="E705">
        <v>187.977</v>
      </c>
      <c r="F705">
        <v>170.66399999999999</v>
      </c>
      <c r="G705">
        <v>240.56100000000001</v>
      </c>
      <c r="H705">
        <v>206.61799999999999</v>
      </c>
      <c r="I705">
        <v>227.131</v>
      </c>
    </row>
    <row r="706" spans="1:9" x14ac:dyDescent="0.25">
      <c r="A706" s="12">
        <v>42615</v>
      </c>
      <c r="B706">
        <v>261.85700000000003</v>
      </c>
      <c r="C706">
        <v>248.78399999999999</v>
      </c>
      <c r="E706">
        <v>187.62200000000001</v>
      </c>
      <c r="F706">
        <v>170.55500000000001</v>
      </c>
      <c r="G706">
        <v>240.26400000000001</v>
      </c>
      <c r="H706">
        <v>206.50399999999999</v>
      </c>
      <c r="I706">
        <v>227.089</v>
      </c>
    </row>
    <row r="707" spans="1:9" x14ac:dyDescent="0.25">
      <c r="A707" s="12">
        <v>42618</v>
      </c>
      <c r="B707">
        <v>261.702</v>
      </c>
      <c r="C707">
        <v>248.67</v>
      </c>
      <c r="E707">
        <v>187.345</v>
      </c>
      <c r="F707">
        <v>170.376</v>
      </c>
      <c r="G707">
        <v>239.92699999999999</v>
      </c>
      <c r="H707">
        <v>206.41800000000001</v>
      </c>
      <c r="I707">
        <v>227.75399999999999</v>
      </c>
    </row>
    <row r="708" spans="1:9" x14ac:dyDescent="0.25">
      <c r="A708" s="12">
        <v>42619</v>
      </c>
      <c r="B708">
        <v>261.89299999999997</v>
      </c>
      <c r="C708">
        <v>248.75899999999999</v>
      </c>
      <c r="E708">
        <v>188.36600000000001</v>
      </c>
      <c r="F708">
        <v>170.35599999999999</v>
      </c>
      <c r="G708">
        <v>240.39</v>
      </c>
      <c r="H708">
        <v>206.46600000000001</v>
      </c>
      <c r="I708">
        <v>227.92400000000001</v>
      </c>
    </row>
    <row r="709" spans="1:9" x14ac:dyDescent="0.25">
      <c r="A709" s="12">
        <v>42620</v>
      </c>
      <c r="B709">
        <v>262.22699999999998</v>
      </c>
      <c r="C709">
        <v>248.80699999999999</v>
      </c>
      <c r="E709">
        <v>188.55699999999999</v>
      </c>
      <c r="F709">
        <v>170.44800000000001</v>
      </c>
      <c r="G709">
        <v>240.703</v>
      </c>
      <c r="H709">
        <v>206.51599999999999</v>
      </c>
      <c r="I709">
        <v>227.952</v>
      </c>
    </row>
    <row r="710" spans="1:9" x14ac:dyDescent="0.25">
      <c r="A710" s="12">
        <v>42621</v>
      </c>
      <c r="B710">
        <v>262.35399999999998</v>
      </c>
      <c r="C710">
        <v>248.92500000000001</v>
      </c>
      <c r="E710">
        <v>188.41800000000001</v>
      </c>
      <c r="F710">
        <v>170.614</v>
      </c>
      <c r="G710">
        <v>240.893</v>
      </c>
      <c r="H710">
        <v>206.61199999999999</v>
      </c>
      <c r="I710">
        <v>227.92099999999999</v>
      </c>
    </row>
    <row r="711" spans="1:9" x14ac:dyDescent="0.25">
      <c r="A711" s="12">
        <v>42622</v>
      </c>
      <c r="B711">
        <v>262.279</v>
      </c>
      <c r="C711">
        <v>248.94499999999999</v>
      </c>
      <c r="E711">
        <v>188.67099999999999</v>
      </c>
      <c r="F711">
        <v>170.828</v>
      </c>
      <c r="G711">
        <v>241.19300000000001</v>
      </c>
      <c r="H711">
        <v>206.75899999999999</v>
      </c>
      <c r="I711">
        <v>227.744</v>
      </c>
    </row>
    <row r="712" spans="1:9" x14ac:dyDescent="0.25">
      <c r="A712" s="12">
        <v>42625</v>
      </c>
      <c r="B712">
        <v>262.02499999999998</v>
      </c>
      <c r="C712">
        <v>248.822</v>
      </c>
      <c r="E712">
        <v>188.255</v>
      </c>
      <c r="F712">
        <v>170.44300000000001</v>
      </c>
      <c r="G712">
        <v>240.74</v>
      </c>
      <c r="H712">
        <v>206.68</v>
      </c>
      <c r="I712">
        <v>227.22</v>
      </c>
    </row>
    <row r="713" spans="1:9" x14ac:dyDescent="0.25">
      <c r="A713" s="12">
        <v>42626</v>
      </c>
      <c r="B713">
        <v>261.38200000000001</v>
      </c>
      <c r="C713">
        <v>248.559</v>
      </c>
      <c r="E713">
        <v>187.322</v>
      </c>
      <c r="F713">
        <v>169.96899999999999</v>
      </c>
      <c r="G713">
        <v>239.791</v>
      </c>
      <c r="H713">
        <v>206.48</v>
      </c>
      <c r="I713">
        <v>226.80099999999999</v>
      </c>
    </row>
    <row r="714" spans="1:9" x14ac:dyDescent="0.25">
      <c r="A714" s="12">
        <v>42627</v>
      </c>
      <c r="B714">
        <v>260.64</v>
      </c>
      <c r="C714">
        <v>248.28399999999999</v>
      </c>
      <c r="E714">
        <v>186.34700000000001</v>
      </c>
      <c r="F714">
        <v>169.65</v>
      </c>
      <c r="G714">
        <v>238.953</v>
      </c>
      <c r="H714">
        <v>206.184</v>
      </c>
      <c r="I714">
        <v>226.36500000000001</v>
      </c>
    </row>
    <row r="715" spans="1:9" x14ac:dyDescent="0.25">
      <c r="A715" s="12">
        <v>42628</v>
      </c>
      <c r="B715">
        <v>260.67399999999998</v>
      </c>
      <c r="C715">
        <v>248.065</v>
      </c>
      <c r="E715">
        <v>185.81899999999999</v>
      </c>
      <c r="F715">
        <v>169.608</v>
      </c>
      <c r="G715">
        <v>238.78899999999999</v>
      </c>
      <c r="H715">
        <v>206.1</v>
      </c>
      <c r="I715">
        <v>226.33500000000001</v>
      </c>
    </row>
    <row r="716" spans="1:9" x14ac:dyDescent="0.25">
      <c r="A716" s="12">
        <v>42629</v>
      </c>
      <c r="B716">
        <v>260.33800000000002</v>
      </c>
      <c r="C716">
        <v>247.97300000000001</v>
      </c>
      <c r="E716">
        <v>185.8</v>
      </c>
      <c r="F716">
        <v>169.554</v>
      </c>
      <c r="G716">
        <v>238.434</v>
      </c>
      <c r="H716">
        <v>205.96600000000001</v>
      </c>
      <c r="I716">
        <v>226.613</v>
      </c>
    </row>
    <row r="717" spans="1:9" x14ac:dyDescent="0.25">
      <c r="A717" s="12">
        <v>42632</v>
      </c>
      <c r="B717">
        <v>260.21600000000001</v>
      </c>
      <c r="C717">
        <v>247.977</v>
      </c>
      <c r="E717">
        <v>186.083</v>
      </c>
      <c r="F717">
        <v>169.39699999999999</v>
      </c>
      <c r="G717">
        <v>238.464</v>
      </c>
      <c r="H717">
        <v>205.98400000000001</v>
      </c>
      <c r="I717">
        <v>226.45400000000001</v>
      </c>
    </row>
    <row r="718" spans="1:9" x14ac:dyDescent="0.25">
      <c r="A718" s="12">
        <v>42633</v>
      </c>
      <c r="B718">
        <v>260.392</v>
      </c>
      <c r="C718">
        <v>248.11</v>
      </c>
      <c r="E718">
        <v>186.24799999999999</v>
      </c>
      <c r="F718">
        <v>169.732</v>
      </c>
      <c r="G718">
        <v>238.84399999999999</v>
      </c>
      <c r="H718">
        <v>206.02600000000001</v>
      </c>
      <c r="I718">
        <v>226.90600000000001</v>
      </c>
    </row>
    <row r="719" spans="1:9" x14ac:dyDescent="0.25">
      <c r="A719" s="12">
        <v>42634</v>
      </c>
      <c r="B719">
        <v>260.61599999999999</v>
      </c>
      <c r="C719">
        <v>248.08</v>
      </c>
      <c r="E719">
        <v>186.78800000000001</v>
      </c>
      <c r="F719">
        <v>169.73599999999999</v>
      </c>
      <c r="G719">
        <v>239.196</v>
      </c>
      <c r="H719">
        <v>205.98699999999999</v>
      </c>
      <c r="I719">
        <v>226.83799999999999</v>
      </c>
    </row>
    <row r="720" spans="1:9" x14ac:dyDescent="0.25">
      <c r="A720" s="12">
        <v>42635</v>
      </c>
      <c r="B720">
        <v>260.92099999999999</v>
      </c>
      <c r="C720">
        <v>248.21299999999999</v>
      </c>
      <c r="E720">
        <v>186.655</v>
      </c>
      <c r="F720">
        <v>169.75399999999999</v>
      </c>
      <c r="G720">
        <v>239.524</v>
      </c>
      <c r="H720">
        <v>206.09</v>
      </c>
      <c r="I720">
        <v>227.14500000000001</v>
      </c>
    </row>
    <row r="721" spans="1:9" x14ac:dyDescent="0.25">
      <c r="A721" s="12">
        <v>42636</v>
      </c>
      <c r="B721">
        <v>261.30599999999998</v>
      </c>
      <c r="C721">
        <v>248.232</v>
      </c>
      <c r="E721">
        <v>186.98400000000001</v>
      </c>
      <c r="F721">
        <v>169.709</v>
      </c>
      <c r="G721">
        <v>239.74799999999999</v>
      </c>
      <c r="H721">
        <v>206.048</v>
      </c>
      <c r="I721">
        <v>227.69399999999999</v>
      </c>
    </row>
    <row r="722" spans="1:9" x14ac:dyDescent="0.25">
      <c r="A722" s="12">
        <v>42639</v>
      </c>
      <c r="B722">
        <v>261.786</v>
      </c>
      <c r="C722">
        <v>248.56700000000001</v>
      </c>
      <c r="E722">
        <v>188.07400000000001</v>
      </c>
      <c r="F722">
        <v>170.19200000000001</v>
      </c>
      <c r="G722">
        <v>240.6</v>
      </c>
      <c r="H722">
        <v>206.30500000000001</v>
      </c>
      <c r="I722">
        <v>227.61799999999999</v>
      </c>
    </row>
    <row r="723" spans="1:9" x14ac:dyDescent="0.25">
      <c r="A723" s="12">
        <v>42640</v>
      </c>
      <c r="B723">
        <v>261.54700000000003</v>
      </c>
      <c r="C723">
        <v>248.56</v>
      </c>
      <c r="E723">
        <v>187.815</v>
      </c>
      <c r="F723">
        <v>170.136</v>
      </c>
      <c r="G723">
        <v>240.32400000000001</v>
      </c>
      <c r="H723">
        <v>206.44800000000001</v>
      </c>
      <c r="I723">
        <v>226.86199999999999</v>
      </c>
    </row>
    <row r="724" spans="1:9" x14ac:dyDescent="0.25">
      <c r="A724" s="12">
        <v>42641</v>
      </c>
      <c r="B724">
        <v>261.077</v>
      </c>
      <c r="C724">
        <v>248.67500000000001</v>
      </c>
      <c r="E724">
        <v>186.70500000000001</v>
      </c>
      <c r="F724">
        <v>170.09899999999999</v>
      </c>
      <c r="G724">
        <v>239.75899999999999</v>
      </c>
      <c r="H724">
        <v>206.43799999999999</v>
      </c>
      <c r="I724">
        <v>227.029</v>
      </c>
    </row>
    <row r="725" spans="1:9" x14ac:dyDescent="0.25">
      <c r="A725" s="12">
        <v>42642</v>
      </c>
      <c r="B725">
        <v>261.13</v>
      </c>
      <c r="C725">
        <v>248.745</v>
      </c>
      <c r="E725">
        <v>187.20099999999999</v>
      </c>
      <c r="F725">
        <v>170.286</v>
      </c>
      <c r="G725">
        <v>239.90299999999999</v>
      </c>
      <c r="H725">
        <v>206.46600000000001</v>
      </c>
      <c r="I725">
        <v>227.23500000000001</v>
      </c>
    </row>
    <row r="726" spans="1:9" x14ac:dyDescent="0.25">
      <c r="A726" s="12">
        <v>42643</v>
      </c>
      <c r="B726">
        <v>261.387</v>
      </c>
      <c r="C726">
        <v>248.69</v>
      </c>
      <c r="E726">
        <v>187.435</v>
      </c>
      <c r="F726">
        <v>170.36</v>
      </c>
      <c r="G726">
        <v>240.333</v>
      </c>
      <c r="H726">
        <v>206.52500000000001</v>
      </c>
      <c r="I726">
        <v>227.26599999999999</v>
      </c>
    </row>
    <row r="727" spans="1:9" x14ac:dyDescent="0.25">
      <c r="A727" s="12">
        <v>42646</v>
      </c>
      <c r="B727">
        <v>261.44200000000001</v>
      </c>
      <c r="C727">
        <v>248.833</v>
      </c>
      <c r="E727">
        <v>187.447</v>
      </c>
      <c r="F727">
        <v>170.20699999999999</v>
      </c>
      <c r="G727">
        <v>240.41499999999999</v>
      </c>
      <c r="H727">
        <v>206.53800000000001</v>
      </c>
      <c r="I727">
        <v>227.37700000000001</v>
      </c>
    </row>
    <row r="728" spans="1:9" x14ac:dyDescent="0.25">
      <c r="A728" s="12">
        <v>42647</v>
      </c>
      <c r="B728">
        <v>260.83199999999999</v>
      </c>
      <c r="C728">
        <v>248.60300000000001</v>
      </c>
      <c r="E728">
        <v>187.33699999999999</v>
      </c>
      <c r="F728">
        <v>170.137</v>
      </c>
      <c r="G728">
        <v>240.19499999999999</v>
      </c>
      <c r="H728">
        <v>206.48099999999999</v>
      </c>
      <c r="I728">
        <v>227.23500000000001</v>
      </c>
    </row>
    <row r="729" spans="1:9" x14ac:dyDescent="0.25">
      <c r="A729" s="12">
        <v>42648</v>
      </c>
      <c r="B729">
        <v>261.37200000000001</v>
      </c>
      <c r="C729">
        <v>248.86</v>
      </c>
      <c r="E729">
        <v>187.40600000000001</v>
      </c>
      <c r="F729">
        <v>170.239</v>
      </c>
      <c r="G729">
        <v>240.44300000000001</v>
      </c>
      <c r="H729">
        <v>206.53399999999999</v>
      </c>
      <c r="I729">
        <v>227.61799999999999</v>
      </c>
    </row>
    <row r="730" spans="1:9" x14ac:dyDescent="0.25">
      <c r="A730" s="12">
        <v>42649</v>
      </c>
      <c r="B730">
        <v>261.416</v>
      </c>
      <c r="C730">
        <v>248.46299999999999</v>
      </c>
      <c r="E730">
        <v>187.911</v>
      </c>
      <c r="F730">
        <v>170.25200000000001</v>
      </c>
      <c r="G730">
        <v>240.58799999999999</v>
      </c>
      <c r="H730">
        <v>206.50200000000001</v>
      </c>
      <c r="I730">
        <v>227.37799999999999</v>
      </c>
    </row>
    <row r="731" spans="1:9" x14ac:dyDescent="0.25">
      <c r="A731" s="12">
        <v>42650</v>
      </c>
      <c r="B731">
        <v>261.18700000000001</v>
      </c>
      <c r="C731">
        <v>248.542</v>
      </c>
      <c r="E731">
        <v>187.31</v>
      </c>
      <c r="F731">
        <v>169.755</v>
      </c>
      <c r="G731">
        <v>240.167</v>
      </c>
      <c r="H731">
        <v>206.37700000000001</v>
      </c>
      <c r="I731">
        <v>227.36600000000001</v>
      </c>
    </row>
    <row r="732" spans="1:9" x14ac:dyDescent="0.25">
      <c r="A732" s="12">
        <v>42653</v>
      </c>
      <c r="B732">
        <v>261.154</v>
      </c>
      <c r="C732">
        <v>248.49199999999999</v>
      </c>
      <c r="E732">
        <v>187.18100000000001</v>
      </c>
      <c r="F732">
        <v>169.76499999999999</v>
      </c>
      <c r="G732">
        <v>240.108</v>
      </c>
      <c r="H732">
        <v>206.37299999999999</v>
      </c>
      <c r="I732">
        <v>227.172</v>
      </c>
    </row>
    <row r="733" spans="1:9" x14ac:dyDescent="0.25">
      <c r="A733" s="12">
        <v>42654</v>
      </c>
      <c r="B733">
        <v>260.96199999999999</v>
      </c>
      <c r="C733">
        <v>248.46100000000001</v>
      </c>
      <c r="E733">
        <v>186.858</v>
      </c>
      <c r="F733">
        <v>169.654</v>
      </c>
      <c r="G733">
        <v>239.839</v>
      </c>
      <c r="H733">
        <v>206.34200000000001</v>
      </c>
      <c r="I733">
        <v>227.553</v>
      </c>
    </row>
    <row r="734" spans="1:9" x14ac:dyDescent="0.25">
      <c r="A734" s="12">
        <v>42655</v>
      </c>
      <c r="B734">
        <v>261.07299999999998</v>
      </c>
      <c r="C734">
        <v>248.59899999999999</v>
      </c>
      <c r="E734">
        <v>187.47200000000001</v>
      </c>
      <c r="F734">
        <v>169.584</v>
      </c>
      <c r="G734">
        <v>240.15700000000001</v>
      </c>
      <c r="H734">
        <v>206.357</v>
      </c>
      <c r="I734">
        <v>227.333</v>
      </c>
    </row>
    <row r="735" spans="1:9" x14ac:dyDescent="0.25">
      <c r="A735" s="12">
        <v>42656</v>
      </c>
      <c r="B735">
        <v>261.17200000000003</v>
      </c>
      <c r="C735">
        <v>248.70400000000001</v>
      </c>
      <c r="E735">
        <v>187.05799999999999</v>
      </c>
      <c r="F735">
        <v>169.733</v>
      </c>
      <c r="G735">
        <v>240.11099999999999</v>
      </c>
      <c r="H735">
        <v>206.40299999999999</v>
      </c>
      <c r="I735">
        <v>227.422</v>
      </c>
    </row>
    <row r="736" spans="1:9" x14ac:dyDescent="0.25">
      <c r="A736" s="12">
        <v>42657</v>
      </c>
      <c r="B736">
        <v>260.798</v>
      </c>
      <c r="C736">
        <v>248.678</v>
      </c>
      <c r="E736">
        <v>187.05799999999999</v>
      </c>
      <c r="F736">
        <v>169.61</v>
      </c>
      <c r="G736">
        <v>239.70400000000001</v>
      </c>
      <c r="H736">
        <v>206.25800000000001</v>
      </c>
      <c r="I736">
        <v>226.899</v>
      </c>
    </row>
    <row r="737" spans="1:9" x14ac:dyDescent="0.25">
      <c r="A737" s="12">
        <v>42660</v>
      </c>
      <c r="B737">
        <v>260.76600000000002</v>
      </c>
      <c r="C737">
        <v>248.75700000000001</v>
      </c>
      <c r="E737">
        <v>186.48500000000001</v>
      </c>
      <c r="F737">
        <v>169.63499999999999</v>
      </c>
      <c r="G737">
        <v>239.38300000000001</v>
      </c>
      <c r="H737">
        <v>206.274</v>
      </c>
      <c r="I737">
        <v>227.41900000000001</v>
      </c>
    </row>
    <row r="738" spans="1:9" x14ac:dyDescent="0.25">
      <c r="A738" s="12">
        <v>42661</v>
      </c>
      <c r="B738">
        <v>260.92899999999997</v>
      </c>
      <c r="C738">
        <v>248.67099999999999</v>
      </c>
      <c r="E738">
        <v>187.21700000000001</v>
      </c>
      <c r="F738">
        <v>169.685</v>
      </c>
      <c r="G738">
        <v>239.952</v>
      </c>
      <c r="H738">
        <v>206.273</v>
      </c>
      <c r="I738">
        <v>227.21600000000001</v>
      </c>
    </row>
    <row r="739" spans="1:9" x14ac:dyDescent="0.25">
      <c r="A739" s="12">
        <v>42662</v>
      </c>
      <c r="B739">
        <v>261.03800000000001</v>
      </c>
      <c r="C739">
        <v>248.81200000000001</v>
      </c>
      <c r="E739">
        <v>186.83500000000001</v>
      </c>
      <c r="F739">
        <v>169.55699999999999</v>
      </c>
      <c r="G739">
        <v>239.756</v>
      </c>
      <c r="H739">
        <v>206.251</v>
      </c>
      <c r="I739">
        <v>227.76400000000001</v>
      </c>
    </row>
    <row r="740" spans="1:9" x14ac:dyDescent="0.25">
      <c r="A740" s="12">
        <v>42663</v>
      </c>
      <c r="B740">
        <v>261.34199999999998</v>
      </c>
      <c r="C740">
        <v>248.898</v>
      </c>
      <c r="E740">
        <v>187.50299999999999</v>
      </c>
      <c r="F740">
        <v>169.70500000000001</v>
      </c>
      <c r="G740">
        <v>240.21799999999999</v>
      </c>
      <c r="H740">
        <v>206.328</v>
      </c>
      <c r="I740">
        <v>228.005</v>
      </c>
    </row>
    <row r="741" spans="1:9" x14ac:dyDescent="0.25">
      <c r="A741" s="12">
        <v>42664</v>
      </c>
      <c r="B741">
        <v>261.548</v>
      </c>
      <c r="C741">
        <v>249.04900000000001</v>
      </c>
      <c r="E741">
        <v>187.90600000000001</v>
      </c>
      <c r="F741">
        <v>169.89599999999999</v>
      </c>
      <c r="G741">
        <v>240.47</v>
      </c>
      <c r="H741">
        <v>206.429</v>
      </c>
      <c r="I741">
        <v>228.09200000000001</v>
      </c>
    </row>
    <row r="742" spans="1:9" x14ac:dyDescent="0.25">
      <c r="A742" s="12">
        <v>42667</v>
      </c>
      <c r="B742">
        <v>261.95100000000002</v>
      </c>
      <c r="C742">
        <v>249.38800000000001</v>
      </c>
      <c r="E742">
        <v>188.12200000000001</v>
      </c>
      <c r="F742">
        <v>170.09700000000001</v>
      </c>
      <c r="G742">
        <v>240.8</v>
      </c>
      <c r="H742">
        <v>206.589</v>
      </c>
      <c r="I742">
        <v>228.32</v>
      </c>
    </row>
    <row r="743" spans="1:9" x14ac:dyDescent="0.25">
      <c r="A743" s="12">
        <v>42668</v>
      </c>
      <c r="B743">
        <v>262.09800000000001</v>
      </c>
      <c r="C743">
        <v>249.43799999999999</v>
      </c>
      <c r="E743">
        <v>188.255</v>
      </c>
      <c r="F743">
        <v>170.155</v>
      </c>
      <c r="G743">
        <v>240.863</v>
      </c>
      <c r="H743">
        <v>206.607</v>
      </c>
      <c r="I743">
        <v>228.45</v>
      </c>
    </row>
    <row r="744" spans="1:9" x14ac:dyDescent="0.25">
      <c r="A744" s="12">
        <v>42669</v>
      </c>
      <c r="B744">
        <v>262.137</v>
      </c>
      <c r="C744">
        <v>249.499</v>
      </c>
      <c r="E744">
        <v>188.47800000000001</v>
      </c>
      <c r="F744">
        <v>170.08500000000001</v>
      </c>
      <c r="G744">
        <v>241.14699999999999</v>
      </c>
      <c r="H744">
        <v>206.595</v>
      </c>
      <c r="I744">
        <v>228.43600000000001</v>
      </c>
    </row>
    <row r="745" spans="1:9" x14ac:dyDescent="0.25">
      <c r="A745" s="12">
        <v>42670</v>
      </c>
      <c r="B745">
        <v>261.85599999999999</v>
      </c>
      <c r="C745">
        <v>249.36699999999999</v>
      </c>
      <c r="E745">
        <v>188.34100000000001</v>
      </c>
      <c r="F745">
        <v>170.02600000000001</v>
      </c>
      <c r="G745">
        <v>240.977</v>
      </c>
      <c r="H745">
        <v>206.58</v>
      </c>
      <c r="I745">
        <v>228.16</v>
      </c>
    </row>
    <row r="746" spans="1:9" x14ac:dyDescent="0.25">
      <c r="A746" s="12">
        <v>42671</v>
      </c>
      <c r="B746">
        <v>261.61200000000002</v>
      </c>
      <c r="C746">
        <v>249.18600000000001</v>
      </c>
      <c r="E746">
        <v>187.845</v>
      </c>
      <c r="F746">
        <v>169.679</v>
      </c>
      <c r="G746">
        <v>240.29599999999999</v>
      </c>
      <c r="H746">
        <v>206.43299999999999</v>
      </c>
      <c r="I746">
        <v>228.125</v>
      </c>
    </row>
    <row r="747" spans="1:9" x14ac:dyDescent="0.25">
      <c r="A747" s="12">
        <v>42674</v>
      </c>
      <c r="B747">
        <v>261.06700000000001</v>
      </c>
      <c r="C747">
        <v>248.94499999999999</v>
      </c>
      <c r="E747">
        <v>187.393</v>
      </c>
      <c r="F747">
        <v>169.18199999999999</v>
      </c>
      <c r="G747">
        <v>240.20400000000001</v>
      </c>
      <c r="H747">
        <v>206.214</v>
      </c>
      <c r="I747">
        <v>227.98</v>
      </c>
    </row>
    <row r="748" spans="1:9" x14ac:dyDescent="0.25">
      <c r="A748" s="12">
        <v>42675</v>
      </c>
      <c r="B748">
        <v>260.88799999999998</v>
      </c>
      <c r="C748">
        <v>248.76499999999999</v>
      </c>
      <c r="E748">
        <v>187.167</v>
      </c>
      <c r="F748">
        <v>169.06200000000001</v>
      </c>
      <c r="G748">
        <v>239.84399999999999</v>
      </c>
      <c r="H748">
        <v>206.017</v>
      </c>
      <c r="I748">
        <v>227.79400000000001</v>
      </c>
    </row>
    <row r="749" spans="1:9" x14ac:dyDescent="0.25">
      <c r="A749" s="12">
        <v>42676</v>
      </c>
      <c r="B749">
        <v>260.66500000000002</v>
      </c>
      <c r="C749">
        <v>248.62100000000001</v>
      </c>
      <c r="E749">
        <v>186.93299999999999</v>
      </c>
      <c r="F749">
        <v>169.03800000000001</v>
      </c>
      <c r="G749">
        <v>239.643</v>
      </c>
      <c r="H749">
        <v>205.92400000000001</v>
      </c>
      <c r="I749">
        <v>227.089</v>
      </c>
    </row>
    <row r="750" spans="1:9" x14ac:dyDescent="0.25">
      <c r="A750" s="12">
        <v>42677</v>
      </c>
      <c r="B750">
        <v>260.214</v>
      </c>
      <c r="C750">
        <v>248.358</v>
      </c>
      <c r="E750">
        <v>186.13300000000001</v>
      </c>
      <c r="F750">
        <v>168.76400000000001</v>
      </c>
      <c r="G750">
        <v>239.36199999999999</v>
      </c>
      <c r="H750">
        <v>205.8</v>
      </c>
      <c r="I750">
        <v>226.56899999999999</v>
      </c>
    </row>
    <row r="751" spans="1:9" x14ac:dyDescent="0.25">
      <c r="A751" s="12">
        <v>42678</v>
      </c>
      <c r="B751">
        <v>259.791</v>
      </c>
      <c r="C751">
        <v>248.36</v>
      </c>
      <c r="E751">
        <v>185.548</v>
      </c>
      <c r="F751">
        <v>168.79900000000001</v>
      </c>
      <c r="G751">
        <v>238.215</v>
      </c>
      <c r="H751">
        <v>205.732</v>
      </c>
      <c r="I751">
        <v>226.44399999999999</v>
      </c>
    </row>
    <row r="752" spans="1:9" x14ac:dyDescent="0.25">
      <c r="A752" s="12">
        <v>42681</v>
      </c>
      <c r="B752">
        <v>259.34399999999999</v>
      </c>
      <c r="C752">
        <v>248.15299999999999</v>
      </c>
      <c r="E752">
        <v>185.38800000000001</v>
      </c>
      <c r="F752">
        <v>168.755</v>
      </c>
      <c r="G752">
        <v>238.01599999999999</v>
      </c>
      <c r="H752">
        <v>205.57599999999999</v>
      </c>
      <c r="I752">
        <v>226.11799999999999</v>
      </c>
    </row>
    <row r="753" spans="1:9" x14ac:dyDescent="0.25">
      <c r="A753" s="12">
        <v>42682</v>
      </c>
      <c r="B753">
        <v>259.26499999999999</v>
      </c>
      <c r="C753">
        <v>248.23</v>
      </c>
      <c r="E753">
        <v>185.12299999999999</v>
      </c>
      <c r="F753">
        <v>168.732</v>
      </c>
      <c r="G753">
        <v>237.54900000000001</v>
      </c>
      <c r="H753">
        <v>205.608</v>
      </c>
      <c r="I753">
        <v>227.01599999999999</v>
      </c>
    </row>
    <row r="754" spans="1:9" x14ac:dyDescent="0.25">
      <c r="A754" s="12">
        <v>42683</v>
      </c>
      <c r="B754">
        <v>259.72399999999999</v>
      </c>
      <c r="C754">
        <v>248.34200000000001</v>
      </c>
      <c r="E754">
        <v>186.14400000000001</v>
      </c>
      <c r="F754">
        <v>168.893</v>
      </c>
      <c r="G754">
        <v>238.39099999999999</v>
      </c>
      <c r="H754">
        <v>205.65</v>
      </c>
      <c r="I754">
        <v>227.352</v>
      </c>
    </row>
    <row r="755" spans="1:9" x14ac:dyDescent="0.25">
      <c r="A755" s="12">
        <v>42684</v>
      </c>
      <c r="B755">
        <v>259.51400000000001</v>
      </c>
      <c r="C755">
        <v>248.22</v>
      </c>
      <c r="E755">
        <v>186.31700000000001</v>
      </c>
      <c r="F755">
        <v>168.77799999999999</v>
      </c>
      <c r="G755">
        <v>238.624</v>
      </c>
      <c r="H755">
        <v>205.69</v>
      </c>
      <c r="I755">
        <v>227.58</v>
      </c>
    </row>
    <row r="756" spans="1:9" x14ac:dyDescent="0.25">
      <c r="A756" s="12">
        <v>42685</v>
      </c>
      <c r="B756">
        <v>259.30599999999998</v>
      </c>
      <c r="C756">
        <v>247.62899999999999</v>
      </c>
      <c r="E756">
        <v>186.67599999999999</v>
      </c>
      <c r="F756">
        <v>168.59299999999999</v>
      </c>
      <c r="G756">
        <v>238.79900000000001</v>
      </c>
      <c r="H756">
        <v>205.52600000000001</v>
      </c>
      <c r="I756">
        <v>227.07</v>
      </c>
    </row>
    <row r="757" spans="1:9" x14ac:dyDescent="0.25">
      <c r="A757" s="12">
        <v>42688</v>
      </c>
      <c r="B757">
        <v>259.48500000000001</v>
      </c>
      <c r="C757">
        <v>246.93899999999999</v>
      </c>
      <c r="E757">
        <v>186.33099999999999</v>
      </c>
      <c r="F757">
        <v>167.61099999999999</v>
      </c>
      <c r="G757">
        <v>238.91</v>
      </c>
      <c r="H757">
        <v>204.76400000000001</v>
      </c>
      <c r="I757">
        <v>226.994</v>
      </c>
    </row>
    <row r="758" spans="1:9" x14ac:dyDescent="0.25">
      <c r="A758" s="12">
        <v>42689</v>
      </c>
      <c r="B758">
        <v>259.02</v>
      </c>
      <c r="C758">
        <v>246.51</v>
      </c>
      <c r="E758">
        <v>185.98599999999999</v>
      </c>
      <c r="F758">
        <v>167.29499999999999</v>
      </c>
      <c r="G758">
        <v>238.18600000000001</v>
      </c>
      <c r="H758">
        <v>204.24299999999999</v>
      </c>
      <c r="I758">
        <v>227.136</v>
      </c>
    </row>
    <row r="759" spans="1:9" x14ac:dyDescent="0.25">
      <c r="A759" s="12">
        <v>42690</v>
      </c>
      <c r="B759">
        <v>258.86900000000003</v>
      </c>
      <c r="C759">
        <v>246.209</v>
      </c>
      <c r="E759">
        <v>186.07</v>
      </c>
      <c r="F759">
        <v>166.983</v>
      </c>
      <c r="G759">
        <v>237.62100000000001</v>
      </c>
      <c r="H759">
        <v>203.43</v>
      </c>
      <c r="I759">
        <v>227.453</v>
      </c>
    </row>
    <row r="760" spans="1:9" x14ac:dyDescent="0.25">
      <c r="A760" s="12">
        <v>42691</v>
      </c>
      <c r="B760">
        <v>258.86099999999999</v>
      </c>
      <c r="C760">
        <v>246.29</v>
      </c>
      <c r="E760">
        <v>186.482</v>
      </c>
      <c r="F760">
        <v>167.33799999999999</v>
      </c>
      <c r="G760">
        <v>237.82400000000001</v>
      </c>
      <c r="H760">
        <v>203.53899999999999</v>
      </c>
      <c r="I760">
        <v>227.52099999999999</v>
      </c>
    </row>
    <row r="761" spans="1:9" x14ac:dyDescent="0.25">
      <c r="A761" s="12">
        <v>42695</v>
      </c>
      <c r="B761">
        <v>259.029</v>
      </c>
      <c r="C761">
        <v>246.33</v>
      </c>
      <c r="E761">
        <v>186.589</v>
      </c>
      <c r="F761">
        <v>167.32900000000001</v>
      </c>
      <c r="G761">
        <v>237.90700000000001</v>
      </c>
      <c r="H761">
        <v>203.41200000000001</v>
      </c>
      <c r="I761">
        <v>227.73599999999999</v>
      </c>
    </row>
    <row r="762" spans="1:9" x14ac:dyDescent="0.25">
      <c r="A762" s="12">
        <v>42696</v>
      </c>
      <c r="B762">
        <v>259.12400000000002</v>
      </c>
      <c r="C762">
        <v>246.18600000000001</v>
      </c>
      <c r="E762">
        <v>186.79599999999999</v>
      </c>
      <c r="F762">
        <v>167.18100000000001</v>
      </c>
      <c r="G762">
        <v>238.43</v>
      </c>
      <c r="H762">
        <v>203.45099999999999</v>
      </c>
      <c r="I762">
        <v>227.97200000000001</v>
      </c>
    </row>
    <row r="763" spans="1:9" x14ac:dyDescent="0.25">
      <c r="A763" s="12">
        <v>42697</v>
      </c>
      <c r="B763">
        <v>259.28399999999999</v>
      </c>
      <c r="C763">
        <v>246.19399999999999</v>
      </c>
      <c r="E763">
        <v>187.01300000000001</v>
      </c>
      <c r="F763">
        <v>167.17099999999999</v>
      </c>
      <c r="G763">
        <v>238.37700000000001</v>
      </c>
      <c r="H763">
        <v>203.148</v>
      </c>
      <c r="I763">
        <v>228.261</v>
      </c>
    </row>
    <row r="764" spans="1:9" x14ac:dyDescent="0.25">
      <c r="A764" s="12">
        <v>42698</v>
      </c>
      <c r="B764">
        <v>259.28300000000002</v>
      </c>
      <c r="C764">
        <v>246.245</v>
      </c>
      <c r="E764">
        <v>187.221</v>
      </c>
      <c r="F764">
        <v>167.392</v>
      </c>
      <c r="G764">
        <v>238.791</v>
      </c>
      <c r="H764">
        <v>203.26300000000001</v>
      </c>
      <c r="I764">
        <v>228.14500000000001</v>
      </c>
    </row>
    <row r="765" spans="1:9" x14ac:dyDescent="0.25">
      <c r="A765" s="12">
        <v>42699</v>
      </c>
      <c r="B765">
        <v>259.36900000000003</v>
      </c>
      <c r="C765">
        <v>246.34800000000001</v>
      </c>
      <c r="E765">
        <v>187.23400000000001</v>
      </c>
      <c r="F765">
        <v>167.13</v>
      </c>
      <c r="G765">
        <v>238.881</v>
      </c>
      <c r="H765">
        <v>203.256</v>
      </c>
      <c r="I765">
        <v>228.417</v>
      </c>
    </row>
    <row r="766" spans="1:9" x14ac:dyDescent="0.25">
      <c r="A766" s="12">
        <v>42702</v>
      </c>
      <c r="B766">
        <v>259.34100000000001</v>
      </c>
      <c r="C766">
        <v>246.298</v>
      </c>
      <c r="E766">
        <v>187.50899999999999</v>
      </c>
      <c r="F766">
        <v>167.24600000000001</v>
      </c>
      <c r="G766">
        <v>238.91300000000001</v>
      </c>
      <c r="H766">
        <v>203.22200000000001</v>
      </c>
      <c r="I766">
        <v>228.43700000000001</v>
      </c>
    </row>
    <row r="767" spans="1:9" x14ac:dyDescent="0.25">
      <c r="A767" s="12">
        <v>42703</v>
      </c>
      <c r="B767">
        <v>259.584</v>
      </c>
      <c r="C767">
        <v>246.369</v>
      </c>
      <c r="E767">
        <v>187.578</v>
      </c>
      <c r="F767">
        <v>167.25299999999999</v>
      </c>
      <c r="G767">
        <v>238.95400000000001</v>
      </c>
      <c r="H767">
        <v>203.261</v>
      </c>
      <c r="I767">
        <v>228.441</v>
      </c>
    </row>
    <row r="768" spans="1:9" x14ac:dyDescent="0.25">
      <c r="A768" s="12">
        <v>42704</v>
      </c>
      <c r="B768">
        <v>259.55200000000002</v>
      </c>
      <c r="C768">
        <v>246.49199999999999</v>
      </c>
      <c r="E768">
        <v>187.518</v>
      </c>
      <c r="F768">
        <v>167.41900000000001</v>
      </c>
      <c r="G768">
        <v>238.99100000000001</v>
      </c>
      <c r="H768">
        <v>203.34299999999999</v>
      </c>
      <c r="I768">
        <v>228.494</v>
      </c>
    </row>
    <row r="769" spans="1:9" x14ac:dyDescent="0.25">
      <c r="A769" s="12">
        <v>42705</v>
      </c>
      <c r="B769">
        <v>259.55399999999997</v>
      </c>
      <c r="C769">
        <v>246.44300000000001</v>
      </c>
      <c r="E769">
        <v>187.608</v>
      </c>
      <c r="F769">
        <v>167.386</v>
      </c>
      <c r="G769">
        <v>238.84100000000001</v>
      </c>
      <c r="H769">
        <v>203.346</v>
      </c>
      <c r="I769">
        <v>228.66900000000001</v>
      </c>
    </row>
    <row r="770" spans="1:9" x14ac:dyDescent="0.25">
      <c r="A770" s="12">
        <v>42706</v>
      </c>
      <c r="B770">
        <v>259.58999999999997</v>
      </c>
      <c r="C770">
        <v>246.33099999999999</v>
      </c>
      <c r="E770">
        <v>187.70699999999999</v>
      </c>
      <c r="F770">
        <v>167.29599999999999</v>
      </c>
      <c r="G770">
        <v>238.98599999999999</v>
      </c>
      <c r="H770">
        <v>203.339</v>
      </c>
      <c r="I770">
        <v>228.37100000000001</v>
      </c>
    </row>
    <row r="771" spans="1:9" x14ac:dyDescent="0.25">
      <c r="A771" s="12">
        <v>42709</v>
      </c>
      <c r="B771">
        <v>259.00599999999997</v>
      </c>
      <c r="C771">
        <v>246.03200000000001</v>
      </c>
      <c r="E771">
        <v>187.10300000000001</v>
      </c>
      <c r="F771">
        <v>166.875</v>
      </c>
      <c r="G771">
        <v>238.63499999999999</v>
      </c>
      <c r="H771">
        <v>203.24700000000001</v>
      </c>
      <c r="I771">
        <v>228.214</v>
      </c>
    </row>
    <row r="772" spans="1:9" x14ac:dyDescent="0.25">
      <c r="A772" s="12">
        <v>42710</v>
      </c>
      <c r="B772">
        <v>258.90100000000001</v>
      </c>
      <c r="C772">
        <v>245.97800000000001</v>
      </c>
      <c r="E772">
        <v>186.999</v>
      </c>
      <c r="F772">
        <v>167.06800000000001</v>
      </c>
      <c r="G772">
        <v>238.38200000000001</v>
      </c>
      <c r="H772">
        <v>203.279</v>
      </c>
      <c r="I772">
        <v>228.30799999999999</v>
      </c>
    </row>
    <row r="773" spans="1:9" x14ac:dyDescent="0.25">
      <c r="A773" s="12">
        <v>42711</v>
      </c>
      <c r="B773">
        <v>259.43900000000002</v>
      </c>
      <c r="C773">
        <v>246.024</v>
      </c>
      <c r="E773">
        <v>187.102</v>
      </c>
      <c r="F773">
        <v>166.886</v>
      </c>
      <c r="G773">
        <v>238.31700000000001</v>
      </c>
      <c r="H773">
        <v>203.23500000000001</v>
      </c>
      <c r="I773">
        <v>228.46700000000001</v>
      </c>
    </row>
    <row r="774" spans="1:9" x14ac:dyDescent="0.25">
      <c r="A774" s="12">
        <v>42712</v>
      </c>
      <c r="B774">
        <v>259.89</v>
      </c>
      <c r="C774">
        <v>246.21700000000001</v>
      </c>
      <c r="E774">
        <v>187.29</v>
      </c>
      <c r="F774">
        <v>166.94200000000001</v>
      </c>
      <c r="G774">
        <v>238.65899999999999</v>
      </c>
      <c r="H774">
        <v>203.31200000000001</v>
      </c>
      <c r="I774">
        <v>228.90199999999999</v>
      </c>
    </row>
    <row r="775" spans="1:9" x14ac:dyDescent="0.25">
      <c r="A775" s="12">
        <v>42713</v>
      </c>
      <c r="B775">
        <v>260.44600000000003</v>
      </c>
      <c r="C775">
        <v>246.32599999999999</v>
      </c>
      <c r="E775">
        <v>187.83199999999999</v>
      </c>
      <c r="F775">
        <v>167.15</v>
      </c>
      <c r="G775">
        <v>239.31399999999999</v>
      </c>
      <c r="H775">
        <v>203.45099999999999</v>
      </c>
      <c r="I775">
        <v>229.70599999999999</v>
      </c>
    </row>
    <row r="776" spans="1:9" x14ac:dyDescent="0.25">
      <c r="A776" s="12">
        <v>42716</v>
      </c>
      <c r="B776">
        <v>261.15199999999999</v>
      </c>
      <c r="C776">
        <v>246.79599999999999</v>
      </c>
      <c r="E776">
        <v>189.149</v>
      </c>
      <c r="F776">
        <v>167.315</v>
      </c>
      <c r="G776">
        <v>240.55699999999999</v>
      </c>
      <c r="H776">
        <v>203.68899999999999</v>
      </c>
      <c r="I776">
        <v>230.18</v>
      </c>
    </row>
    <row r="777" spans="1:9" x14ac:dyDescent="0.25">
      <c r="A777" s="12">
        <v>42717</v>
      </c>
      <c r="B777">
        <v>261.31099999999998</v>
      </c>
      <c r="C777">
        <v>246.59100000000001</v>
      </c>
      <c r="E777">
        <v>189.80600000000001</v>
      </c>
      <c r="F777">
        <v>167.45500000000001</v>
      </c>
      <c r="G777">
        <v>241.09399999999999</v>
      </c>
      <c r="H777">
        <v>203.684</v>
      </c>
      <c r="I777">
        <v>230.00200000000001</v>
      </c>
    </row>
    <row r="778" spans="1:9" x14ac:dyDescent="0.25">
      <c r="A778" s="12">
        <v>42718</v>
      </c>
      <c r="B778">
        <v>261.47199999999998</v>
      </c>
      <c r="C778">
        <v>246.691</v>
      </c>
      <c r="E778">
        <v>189.43799999999999</v>
      </c>
      <c r="F778">
        <v>167.18799999999999</v>
      </c>
      <c r="G778">
        <v>240.935</v>
      </c>
      <c r="H778">
        <v>203.643</v>
      </c>
      <c r="I778">
        <v>230.36</v>
      </c>
    </row>
    <row r="779" spans="1:9" x14ac:dyDescent="0.25">
      <c r="A779" s="12">
        <v>42719</v>
      </c>
      <c r="B779">
        <v>261.70499999999998</v>
      </c>
      <c r="C779">
        <v>246.75200000000001</v>
      </c>
      <c r="E779">
        <v>189.928</v>
      </c>
      <c r="F779">
        <v>167.351</v>
      </c>
      <c r="G779">
        <v>241.13300000000001</v>
      </c>
      <c r="H779">
        <v>203.71600000000001</v>
      </c>
      <c r="I779">
        <v>230.178</v>
      </c>
    </row>
    <row r="780" spans="1:9" x14ac:dyDescent="0.25">
      <c r="A780" s="12">
        <v>42720</v>
      </c>
      <c r="B780">
        <v>261.89600000000002</v>
      </c>
      <c r="C780">
        <v>247.102</v>
      </c>
      <c r="E780">
        <v>189.892</v>
      </c>
      <c r="F780">
        <v>167.62100000000001</v>
      </c>
      <c r="G780">
        <v>241.27699999999999</v>
      </c>
      <c r="H780">
        <v>203.94200000000001</v>
      </c>
      <c r="I780">
        <v>230.62299999999999</v>
      </c>
    </row>
    <row r="781" spans="1:9" x14ac:dyDescent="0.25">
      <c r="A781" s="12">
        <v>42723</v>
      </c>
      <c r="B781">
        <v>261.89600000000002</v>
      </c>
      <c r="C781">
        <v>246.99799999999999</v>
      </c>
      <c r="E781">
        <v>190.28700000000001</v>
      </c>
      <c r="F781">
        <v>167.38</v>
      </c>
      <c r="G781">
        <v>241.56700000000001</v>
      </c>
      <c r="H781">
        <v>203.73099999999999</v>
      </c>
      <c r="I781">
        <v>230.524</v>
      </c>
    </row>
    <row r="782" spans="1:9" x14ac:dyDescent="0.25">
      <c r="A782" s="12">
        <v>42724</v>
      </c>
      <c r="B782">
        <v>262.08600000000001</v>
      </c>
      <c r="C782">
        <v>247.012</v>
      </c>
      <c r="E782">
        <v>190.06899999999999</v>
      </c>
      <c r="F782">
        <v>167.45400000000001</v>
      </c>
      <c r="G782">
        <v>241.602</v>
      </c>
      <c r="H782">
        <v>203.72800000000001</v>
      </c>
      <c r="I782">
        <v>230.59</v>
      </c>
    </row>
    <row r="783" spans="1:9" x14ac:dyDescent="0.25">
      <c r="A783" s="12">
        <v>42725</v>
      </c>
      <c r="B783">
        <v>262.29399999999998</v>
      </c>
      <c r="C783">
        <v>247.23400000000001</v>
      </c>
      <c r="E783">
        <v>190.18600000000001</v>
      </c>
      <c r="F783">
        <v>167.666</v>
      </c>
      <c r="G783">
        <v>241.61500000000001</v>
      </c>
      <c r="H783">
        <v>203.714</v>
      </c>
      <c r="I783">
        <v>230.82499999999999</v>
      </c>
    </row>
    <row r="784" spans="1:9" x14ac:dyDescent="0.25">
      <c r="A784" s="12">
        <v>42726</v>
      </c>
      <c r="B784">
        <v>262.28899999999999</v>
      </c>
      <c r="C784">
        <v>247.14099999999999</v>
      </c>
      <c r="E784">
        <v>190.631</v>
      </c>
      <c r="F784">
        <v>167.73400000000001</v>
      </c>
      <c r="G784">
        <v>241.96700000000001</v>
      </c>
      <c r="H784">
        <v>203.78</v>
      </c>
      <c r="I784">
        <v>230.72800000000001</v>
      </c>
    </row>
    <row r="785" spans="1:9" x14ac:dyDescent="0.25">
      <c r="A785" s="12">
        <v>42727</v>
      </c>
      <c r="B785">
        <v>262.37400000000002</v>
      </c>
      <c r="C785">
        <v>247.20500000000001</v>
      </c>
      <c r="E785">
        <v>190.464</v>
      </c>
      <c r="F785">
        <v>167.80600000000001</v>
      </c>
      <c r="G785">
        <v>241.72300000000001</v>
      </c>
      <c r="H785">
        <v>203.78899999999999</v>
      </c>
      <c r="I785">
        <v>230.34200000000001</v>
      </c>
    </row>
    <row r="786" spans="1:9" x14ac:dyDescent="0.25">
      <c r="A786" s="12">
        <v>42731</v>
      </c>
      <c r="B786">
        <v>262.38499999999999</v>
      </c>
      <c r="C786">
        <v>247.29499999999999</v>
      </c>
      <c r="E786">
        <v>189.97499999999999</v>
      </c>
      <c r="F786">
        <v>167.71299999999999</v>
      </c>
      <c r="G786">
        <v>241.626</v>
      </c>
      <c r="H786">
        <v>203.84100000000001</v>
      </c>
      <c r="I786">
        <v>230.49</v>
      </c>
    </row>
    <row r="787" spans="1:9" x14ac:dyDescent="0.25">
      <c r="A787" s="12">
        <v>42732</v>
      </c>
      <c r="B787">
        <v>262.40899999999999</v>
      </c>
      <c r="C787">
        <v>247.39699999999999</v>
      </c>
      <c r="E787">
        <v>190.047</v>
      </c>
      <c r="F787">
        <v>167.809</v>
      </c>
      <c r="G787">
        <v>241.68600000000001</v>
      </c>
      <c r="H787">
        <v>203.91300000000001</v>
      </c>
      <c r="I787">
        <v>230.66200000000001</v>
      </c>
    </row>
    <row r="788" spans="1:9" x14ac:dyDescent="0.25">
      <c r="A788" s="12">
        <v>42733</v>
      </c>
      <c r="B788">
        <v>262.57299999999998</v>
      </c>
      <c r="C788">
        <v>247.46600000000001</v>
      </c>
      <c r="E788">
        <v>190.29300000000001</v>
      </c>
      <c r="F788">
        <v>167.857</v>
      </c>
      <c r="G788">
        <v>241.90700000000001</v>
      </c>
      <c r="H788">
        <v>203.99600000000001</v>
      </c>
      <c r="I788">
        <v>230.863</v>
      </c>
    </row>
    <row r="789" spans="1:9" x14ac:dyDescent="0.25">
      <c r="A789" s="12">
        <v>42734</v>
      </c>
      <c r="B789">
        <v>262.64600000000002</v>
      </c>
      <c r="C789">
        <v>247.54599999999999</v>
      </c>
      <c r="E789">
        <v>190.54900000000001</v>
      </c>
      <c r="F789">
        <v>168.048</v>
      </c>
      <c r="G789">
        <v>242.005</v>
      </c>
      <c r="H789">
        <v>204.024</v>
      </c>
      <c r="I789">
        <v>230.69499999999999</v>
      </c>
    </row>
    <row r="790" spans="1:9" x14ac:dyDescent="0.25">
      <c r="A790" s="12">
        <v>42735</v>
      </c>
      <c r="B790">
        <v>262.57900000000001</v>
      </c>
      <c r="C790">
        <v>247.54900000000001</v>
      </c>
      <c r="E790">
        <v>190.06100000000001</v>
      </c>
      <c r="F790">
        <v>167.90199999999999</v>
      </c>
      <c r="G790">
        <v>241.61</v>
      </c>
      <c r="H790">
        <v>203.976</v>
      </c>
      <c r="I790">
        <v>230.501</v>
      </c>
    </row>
    <row r="791" spans="1:9" x14ac:dyDescent="0.25">
      <c r="A791" s="12">
        <v>42737</v>
      </c>
      <c r="B791">
        <v>262.57499999999999</v>
      </c>
      <c r="C791">
        <v>247.541</v>
      </c>
      <c r="E791">
        <v>190.089</v>
      </c>
      <c r="F791">
        <v>168.04900000000001</v>
      </c>
      <c r="G791">
        <v>241.61099999999999</v>
      </c>
      <c r="H791">
        <v>203.97399999999999</v>
      </c>
      <c r="I791">
        <v>230.501</v>
      </c>
    </row>
    <row r="792" spans="1:9" x14ac:dyDescent="0.25">
      <c r="A792" s="12">
        <v>42738</v>
      </c>
      <c r="B792">
        <v>262.98700000000002</v>
      </c>
      <c r="C792">
        <v>247.83799999999999</v>
      </c>
      <c r="E792">
        <v>190.05099999999999</v>
      </c>
      <c r="F792">
        <v>167.892</v>
      </c>
      <c r="G792">
        <v>241.471</v>
      </c>
      <c r="H792">
        <v>204.13800000000001</v>
      </c>
      <c r="I792">
        <v>230.93700000000001</v>
      </c>
    </row>
    <row r="793" spans="1:9" x14ac:dyDescent="0.25">
      <c r="A793" s="12">
        <v>42739</v>
      </c>
      <c r="B793">
        <v>263.31</v>
      </c>
      <c r="C793">
        <v>248.09299999999999</v>
      </c>
      <c r="E793">
        <v>190.607</v>
      </c>
      <c r="F793">
        <v>168.08799999999999</v>
      </c>
      <c r="G793">
        <v>241.709</v>
      </c>
      <c r="H793">
        <v>204.24700000000001</v>
      </c>
      <c r="I793">
        <v>231.267</v>
      </c>
    </row>
    <row r="794" spans="1:9" x14ac:dyDescent="0.25">
      <c r="A794" s="12">
        <v>42740</v>
      </c>
      <c r="B794">
        <v>263.68799999999999</v>
      </c>
      <c r="C794">
        <v>248.107</v>
      </c>
      <c r="E794">
        <v>190.83500000000001</v>
      </c>
      <c r="F794">
        <v>168.07</v>
      </c>
      <c r="G794">
        <v>242.42400000000001</v>
      </c>
      <c r="H794">
        <v>204.16300000000001</v>
      </c>
      <c r="I794">
        <v>231.38300000000001</v>
      </c>
    </row>
    <row r="795" spans="1:9" x14ac:dyDescent="0.25">
      <c r="A795" s="12">
        <v>42741</v>
      </c>
      <c r="B795">
        <v>263.88299999999998</v>
      </c>
      <c r="C795">
        <v>248.197</v>
      </c>
      <c r="E795">
        <v>191.16900000000001</v>
      </c>
      <c r="F795">
        <v>168.03100000000001</v>
      </c>
      <c r="G795">
        <v>242.37200000000001</v>
      </c>
      <c r="H795">
        <v>204.15100000000001</v>
      </c>
      <c r="I795">
        <v>231.304</v>
      </c>
    </row>
    <row r="796" spans="1:9" x14ac:dyDescent="0.25">
      <c r="A796" s="12">
        <v>42744</v>
      </c>
      <c r="B796">
        <v>264.19499999999999</v>
      </c>
      <c r="C796">
        <v>248.42599999999999</v>
      </c>
      <c r="E796">
        <v>191.005</v>
      </c>
      <c r="F796">
        <v>167.96700000000001</v>
      </c>
      <c r="G796">
        <v>242.16399999999999</v>
      </c>
      <c r="H796">
        <v>204.154</v>
      </c>
      <c r="I796">
        <v>231.46100000000001</v>
      </c>
    </row>
    <row r="797" spans="1:9" x14ac:dyDescent="0.25">
      <c r="A797" s="12">
        <v>42745</v>
      </c>
      <c r="B797">
        <v>264.24</v>
      </c>
      <c r="C797">
        <v>248.58699999999999</v>
      </c>
      <c r="E797">
        <v>191.208</v>
      </c>
      <c r="F797">
        <v>167.875</v>
      </c>
      <c r="G797">
        <v>242.26400000000001</v>
      </c>
      <c r="H797">
        <v>204.309</v>
      </c>
      <c r="I797">
        <v>231.27500000000001</v>
      </c>
    </row>
    <row r="798" spans="1:9" x14ac:dyDescent="0.25">
      <c r="A798" s="12">
        <v>42746</v>
      </c>
      <c r="B798">
        <v>263.90899999999999</v>
      </c>
      <c r="C798">
        <v>248.483</v>
      </c>
      <c r="E798">
        <v>191.55199999999999</v>
      </c>
      <c r="F798">
        <v>167.96700000000001</v>
      </c>
      <c r="G798">
        <v>242.09100000000001</v>
      </c>
      <c r="H798">
        <v>204.28</v>
      </c>
      <c r="I798">
        <v>231.65299999999999</v>
      </c>
    </row>
    <row r="799" spans="1:9" x14ac:dyDescent="0.25">
      <c r="A799" s="12">
        <v>42747</v>
      </c>
      <c r="B799">
        <v>264.08100000000002</v>
      </c>
      <c r="C799">
        <v>248.58500000000001</v>
      </c>
      <c r="E799">
        <v>191.66200000000001</v>
      </c>
      <c r="F799">
        <v>167.98400000000001</v>
      </c>
      <c r="G799">
        <v>242.08600000000001</v>
      </c>
      <c r="H799">
        <v>204.40100000000001</v>
      </c>
      <c r="I799">
        <v>231.80199999999999</v>
      </c>
    </row>
    <row r="800" spans="1:9" x14ac:dyDescent="0.25">
      <c r="A800" s="12">
        <v>42748</v>
      </c>
      <c r="B800">
        <v>263.84300000000002</v>
      </c>
      <c r="C800">
        <v>248.26400000000001</v>
      </c>
      <c r="E800">
        <v>191.82300000000001</v>
      </c>
      <c r="F800">
        <v>168.095</v>
      </c>
      <c r="G800">
        <v>242.31</v>
      </c>
      <c r="H800">
        <v>204.173</v>
      </c>
      <c r="I800">
        <v>231.40799999999999</v>
      </c>
    </row>
    <row r="801" spans="1:9" x14ac:dyDescent="0.25">
      <c r="A801" s="12">
        <v>42751</v>
      </c>
      <c r="B801">
        <v>263.81700000000001</v>
      </c>
      <c r="C801">
        <v>248.35900000000001</v>
      </c>
      <c r="E801">
        <v>190.94300000000001</v>
      </c>
      <c r="F801">
        <v>167.64699999999999</v>
      </c>
      <c r="G801">
        <v>241.82</v>
      </c>
      <c r="H801">
        <v>204.16900000000001</v>
      </c>
      <c r="I801">
        <v>231.93899999999999</v>
      </c>
    </row>
    <row r="802" spans="1:9" x14ac:dyDescent="0.25">
      <c r="A802" s="12">
        <v>42752</v>
      </c>
      <c r="B802">
        <v>263.80099999999999</v>
      </c>
      <c r="C802">
        <v>248.41499999999999</v>
      </c>
      <c r="E802">
        <v>191.56800000000001</v>
      </c>
      <c r="F802">
        <v>167.50700000000001</v>
      </c>
      <c r="G802">
        <v>242.47200000000001</v>
      </c>
      <c r="H802">
        <v>204.315</v>
      </c>
      <c r="I802">
        <v>231.708</v>
      </c>
    </row>
    <row r="803" spans="1:9" x14ac:dyDescent="0.25">
      <c r="A803" s="12">
        <v>42753</v>
      </c>
      <c r="B803">
        <v>263.75099999999998</v>
      </c>
      <c r="C803">
        <v>248.36</v>
      </c>
      <c r="E803">
        <v>191.303</v>
      </c>
      <c r="F803">
        <v>167.69</v>
      </c>
      <c r="G803">
        <v>242.27</v>
      </c>
      <c r="H803">
        <v>204.232</v>
      </c>
      <c r="I803">
        <v>231.334</v>
      </c>
    </row>
    <row r="804" spans="1:9" x14ac:dyDescent="0.25">
      <c r="A804" s="12">
        <v>42754</v>
      </c>
      <c r="B804">
        <v>263.613</v>
      </c>
      <c r="C804">
        <v>248.54400000000001</v>
      </c>
      <c r="E804">
        <v>190.89</v>
      </c>
      <c r="F804">
        <v>167.672</v>
      </c>
      <c r="G804">
        <v>241.79400000000001</v>
      </c>
      <c r="H804">
        <v>204.304</v>
      </c>
      <c r="I804">
        <v>231.33199999999999</v>
      </c>
    </row>
    <row r="805" spans="1:9" x14ac:dyDescent="0.25">
      <c r="A805" s="12">
        <v>42755</v>
      </c>
      <c r="B805">
        <v>263.38799999999998</v>
      </c>
      <c r="C805">
        <v>248.245</v>
      </c>
      <c r="E805">
        <v>190.96100000000001</v>
      </c>
      <c r="F805">
        <v>167.505</v>
      </c>
      <c r="G805">
        <v>241.79</v>
      </c>
      <c r="H805">
        <v>204.3</v>
      </c>
      <c r="I805">
        <v>231.273</v>
      </c>
    </row>
    <row r="806" spans="1:9" x14ac:dyDescent="0.25">
      <c r="A806" s="12">
        <v>42758</v>
      </c>
      <c r="B806">
        <v>263.31099999999998</v>
      </c>
      <c r="C806">
        <v>248.029</v>
      </c>
      <c r="E806">
        <v>190.94499999999999</v>
      </c>
      <c r="F806">
        <v>167.255</v>
      </c>
      <c r="G806">
        <v>242.001</v>
      </c>
      <c r="H806">
        <v>204.19</v>
      </c>
      <c r="I806">
        <v>231.24799999999999</v>
      </c>
    </row>
    <row r="807" spans="1:9" x14ac:dyDescent="0.25">
      <c r="A807" s="12">
        <v>42759</v>
      </c>
      <c r="B807">
        <v>263.25</v>
      </c>
      <c r="C807">
        <v>247.87799999999999</v>
      </c>
      <c r="E807">
        <v>190.756</v>
      </c>
      <c r="F807">
        <v>166.93700000000001</v>
      </c>
      <c r="G807">
        <v>241.68299999999999</v>
      </c>
      <c r="H807">
        <v>204.071</v>
      </c>
      <c r="I807">
        <v>231.04400000000001</v>
      </c>
    </row>
    <row r="808" spans="1:9" x14ac:dyDescent="0.25">
      <c r="A808" s="12">
        <v>42760</v>
      </c>
      <c r="B808">
        <v>263.31599999999997</v>
      </c>
      <c r="C808">
        <v>248.03100000000001</v>
      </c>
      <c r="E808">
        <v>190.38800000000001</v>
      </c>
      <c r="F808">
        <v>167.22900000000001</v>
      </c>
      <c r="G808">
        <v>241.34800000000001</v>
      </c>
      <c r="H808">
        <v>204.12100000000001</v>
      </c>
      <c r="I808">
        <v>231.18</v>
      </c>
    </row>
    <row r="809" spans="1:9" x14ac:dyDescent="0.25">
      <c r="A809" s="12">
        <v>42761</v>
      </c>
      <c r="B809">
        <v>263.54500000000002</v>
      </c>
      <c r="C809">
        <v>247.88200000000001</v>
      </c>
      <c r="E809">
        <v>190.565</v>
      </c>
      <c r="F809">
        <v>167.06700000000001</v>
      </c>
      <c r="G809">
        <v>241.49100000000001</v>
      </c>
      <c r="H809">
        <v>204.13399999999999</v>
      </c>
      <c r="I809">
        <v>231.733</v>
      </c>
    </row>
    <row r="810" spans="1:9" x14ac:dyDescent="0.25">
      <c r="A810" s="12">
        <v>42762</v>
      </c>
      <c r="B810">
        <v>264.33199999999999</v>
      </c>
      <c r="C810">
        <v>247.78700000000001</v>
      </c>
      <c r="E810">
        <v>191.137</v>
      </c>
      <c r="F810">
        <v>166.72499999999999</v>
      </c>
      <c r="G810">
        <v>242.25899999999999</v>
      </c>
      <c r="H810">
        <v>204.12</v>
      </c>
      <c r="I810">
        <v>231.98400000000001</v>
      </c>
    </row>
    <row r="811" spans="1:9" x14ac:dyDescent="0.25">
      <c r="A811" s="12">
        <v>42765</v>
      </c>
      <c r="B811">
        <v>264.44400000000002</v>
      </c>
      <c r="C811">
        <v>247.80600000000001</v>
      </c>
      <c r="E811">
        <v>191.50700000000001</v>
      </c>
      <c r="F811">
        <v>166.648</v>
      </c>
      <c r="G811">
        <v>242.59</v>
      </c>
      <c r="H811">
        <v>204.059</v>
      </c>
      <c r="I811">
        <v>231.87100000000001</v>
      </c>
    </row>
    <row r="812" spans="1:9" x14ac:dyDescent="0.25">
      <c r="A812" s="12">
        <v>42766</v>
      </c>
      <c r="B812">
        <v>264.49400000000003</v>
      </c>
      <c r="C812">
        <v>248.04499999999999</v>
      </c>
      <c r="E812">
        <v>191.44399999999999</v>
      </c>
      <c r="F812">
        <v>166.983</v>
      </c>
      <c r="G812">
        <v>242.44200000000001</v>
      </c>
      <c r="H812">
        <v>204.142</v>
      </c>
      <c r="I812">
        <v>231.261</v>
      </c>
    </row>
    <row r="813" spans="1:9" x14ac:dyDescent="0.25">
      <c r="A813" s="12">
        <v>42767</v>
      </c>
      <c r="B813">
        <v>264.06400000000002</v>
      </c>
      <c r="C813">
        <v>247.80199999999999</v>
      </c>
      <c r="E813">
        <v>190.726</v>
      </c>
      <c r="F813">
        <v>167.08199999999999</v>
      </c>
      <c r="G813">
        <v>241.999</v>
      </c>
      <c r="H813">
        <v>204.04900000000001</v>
      </c>
      <c r="I813">
        <v>230.70500000000001</v>
      </c>
    </row>
    <row r="814" spans="1:9" x14ac:dyDescent="0.25">
      <c r="A814" s="12">
        <v>42768</v>
      </c>
      <c r="B814">
        <v>263.71899999999999</v>
      </c>
      <c r="C814">
        <v>247.76599999999999</v>
      </c>
      <c r="E814">
        <v>190.25</v>
      </c>
      <c r="F814">
        <v>166.995</v>
      </c>
      <c r="G814">
        <v>241.46600000000001</v>
      </c>
      <c r="H814">
        <v>203.994</v>
      </c>
      <c r="I814">
        <v>230.92599999999999</v>
      </c>
    </row>
    <row r="815" spans="1:9" x14ac:dyDescent="0.25">
      <c r="A815" s="12">
        <v>42769</v>
      </c>
      <c r="B815">
        <v>263.733</v>
      </c>
      <c r="C815">
        <v>247.75200000000001</v>
      </c>
      <c r="E815">
        <v>190.68799999999999</v>
      </c>
      <c r="F815">
        <v>166.934</v>
      </c>
      <c r="G815">
        <v>241.797</v>
      </c>
      <c r="H815">
        <v>203.94900000000001</v>
      </c>
      <c r="I815">
        <v>231.048</v>
      </c>
    </row>
    <row r="816" spans="1:9" x14ac:dyDescent="0.25">
      <c r="A816" s="12">
        <v>42772</v>
      </c>
      <c r="B816">
        <v>263.92</v>
      </c>
      <c r="C816">
        <v>247.899</v>
      </c>
      <c r="E816">
        <v>190.696</v>
      </c>
      <c r="F816">
        <v>167.18899999999999</v>
      </c>
      <c r="G816">
        <v>241.85499999999999</v>
      </c>
      <c r="H816">
        <v>204.054</v>
      </c>
      <c r="I816">
        <v>231.358</v>
      </c>
    </row>
    <row r="817" spans="1:9" x14ac:dyDescent="0.25">
      <c r="A817" s="12">
        <v>42773</v>
      </c>
      <c r="B817">
        <v>264.39499999999998</v>
      </c>
      <c r="C817">
        <v>248.16</v>
      </c>
      <c r="E817">
        <v>191.155</v>
      </c>
      <c r="F817">
        <v>167.303</v>
      </c>
      <c r="G817">
        <v>242.29499999999999</v>
      </c>
      <c r="H817">
        <v>204.13</v>
      </c>
      <c r="I817">
        <v>231.31399999999999</v>
      </c>
    </row>
    <row r="818" spans="1:9" x14ac:dyDescent="0.25">
      <c r="A818" s="12">
        <v>42774</v>
      </c>
      <c r="B818">
        <v>264.58100000000002</v>
      </c>
      <c r="C818">
        <v>248.51900000000001</v>
      </c>
      <c r="E818">
        <v>191.08</v>
      </c>
      <c r="F818">
        <v>167.42699999999999</v>
      </c>
      <c r="G818">
        <v>242.435</v>
      </c>
      <c r="H818">
        <v>204.26900000000001</v>
      </c>
      <c r="I818">
        <v>231.37899999999999</v>
      </c>
    </row>
    <row r="819" spans="1:9" x14ac:dyDescent="0.25">
      <c r="A819" s="12">
        <v>42775</v>
      </c>
      <c r="B819">
        <v>264.54700000000003</v>
      </c>
      <c r="C819">
        <v>248.68600000000001</v>
      </c>
      <c r="E819">
        <v>191.268</v>
      </c>
      <c r="F819">
        <v>167.53200000000001</v>
      </c>
      <c r="G819">
        <v>242.64</v>
      </c>
      <c r="H819">
        <v>204.29400000000001</v>
      </c>
      <c r="I819">
        <v>231.505</v>
      </c>
    </row>
    <row r="820" spans="1:9" x14ac:dyDescent="0.25">
      <c r="A820" s="12">
        <v>42776</v>
      </c>
      <c r="B820">
        <v>264.72000000000003</v>
      </c>
      <c r="C820">
        <v>248.73599999999999</v>
      </c>
      <c r="E820">
        <v>191.50899999999999</v>
      </c>
      <c r="F820">
        <v>167.83</v>
      </c>
      <c r="G820">
        <v>242.40299999999999</v>
      </c>
      <c r="H820">
        <v>204.24299999999999</v>
      </c>
      <c r="I820">
        <v>232.154</v>
      </c>
    </row>
    <row r="821" spans="1:9" x14ac:dyDescent="0.25">
      <c r="A821" s="12">
        <v>42779</v>
      </c>
      <c r="B821">
        <v>264.90699999999998</v>
      </c>
      <c r="C821">
        <v>248.71700000000001</v>
      </c>
      <c r="E821">
        <v>192.16900000000001</v>
      </c>
      <c r="F821">
        <v>167.84</v>
      </c>
      <c r="G821">
        <v>242.94</v>
      </c>
      <c r="H821">
        <v>204.23599999999999</v>
      </c>
      <c r="I821">
        <v>232.297</v>
      </c>
    </row>
    <row r="822" spans="1:9" x14ac:dyDescent="0.25">
      <c r="A822" s="12">
        <v>42780</v>
      </c>
      <c r="B822">
        <v>265.24900000000002</v>
      </c>
      <c r="C822">
        <v>248.71799999999999</v>
      </c>
      <c r="E822">
        <v>192.52</v>
      </c>
      <c r="F822">
        <v>167.756</v>
      </c>
      <c r="G822">
        <v>243.49199999999999</v>
      </c>
      <c r="H822">
        <v>204.25800000000001</v>
      </c>
      <c r="I822">
        <v>233.12200000000001</v>
      </c>
    </row>
    <row r="823" spans="1:9" x14ac:dyDescent="0.25">
      <c r="A823" s="12">
        <v>42781</v>
      </c>
      <c r="B823">
        <v>265.57600000000002</v>
      </c>
      <c r="C823">
        <v>248.745</v>
      </c>
      <c r="E823">
        <v>193.18799999999999</v>
      </c>
      <c r="F823">
        <v>167.82300000000001</v>
      </c>
      <c r="G823">
        <v>244.04900000000001</v>
      </c>
      <c r="H823">
        <v>204.25899999999999</v>
      </c>
      <c r="I823">
        <v>233.179</v>
      </c>
    </row>
    <row r="824" spans="1:9" x14ac:dyDescent="0.25">
      <c r="A824" s="12">
        <v>42782</v>
      </c>
      <c r="B824">
        <v>265.584</v>
      </c>
      <c r="C824">
        <v>248.75700000000001</v>
      </c>
      <c r="E824">
        <v>193.166</v>
      </c>
      <c r="F824">
        <v>167.80199999999999</v>
      </c>
      <c r="G824">
        <v>244.221</v>
      </c>
      <c r="H824">
        <v>204.29599999999999</v>
      </c>
      <c r="I824">
        <v>233.47800000000001</v>
      </c>
    </row>
    <row r="825" spans="1:9" x14ac:dyDescent="0.25">
      <c r="A825" s="12">
        <v>42783</v>
      </c>
      <c r="B825">
        <v>265.63</v>
      </c>
      <c r="C825">
        <v>248.476</v>
      </c>
      <c r="E825">
        <v>193.51400000000001</v>
      </c>
      <c r="F825">
        <v>167.666</v>
      </c>
      <c r="G825">
        <v>244.446</v>
      </c>
      <c r="H825">
        <v>204.21</v>
      </c>
      <c r="I825">
        <v>233.24299999999999</v>
      </c>
    </row>
    <row r="826" spans="1:9" x14ac:dyDescent="0.25">
      <c r="A826" s="12">
        <v>42786</v>
      </c>
      <c r="B826">
        <v>265.90300000000002</v>
      </c>
      <c r="C826">
        <v>248.72800000000001</v>
      </c>
      <c r="E826">
        <v>193.274</v>
      </c>
      <c r="F826">
        <v>167.773</v>
      </c>
      <c r="G826">
        <v>244.31800000000001</v>
      </c>
      <c r="H826">
        <v>204.28</v>
      </c>
      <c r="I826">
        <v>233.21600000000001</v>
      </c>
    </row>
    <row r="827" spans="1:9" x14ac:dyDescent="0.25">
      <c r="A827" s="12">
        <v>42787</v>
      </c>
      <c r="B827">
        <v>266.19099999999997</v>
      </c>
      <c r="C827">
        <v>249.00299999999999</v>
      </c>
      <c r="E827">
        <v>193.39</v>
      </c>
      <c r="F827">
        <v>167.94200000000001</v>
      </c>
      <c r="G827">
        <v>244.11</v>
      </c>
      <c r="H827">
        <v>204.35</v>
      </c>
      <c r="I827">
        <v>233.53100000000001</v>
      </c>
    </row>
    <row r="828" spans="1:9" x14ac:dyDescent="0.25">
      <c r="A828" s="12">
        <v>42788</v>
      </c>
      <c r="B828">
        <v>266.50900000000001</v>
      </c>
      <c r="C828">
        <v>249.11099999999999</v>
      </c>
      <c r="E828">
        <v>193.727</v>
      </c>
      <c r="F828">
        <v>167.96</v>
      </c>
      <c r="G828">
        <v>244.32</v>
      </c>
      <c r="H828">
        <v>204.381</v>
      </c>
      <c r="I828">
        <v>234.06200000000001</v>
      </c>
    </row>
    <row r="829" spans="1:9" x14ac:dyDescent="0.25">
      <c r="A829" s="12">
        <v>42789</v>
      </c>
      <c r="B829">
        <v>267.14499999999998</v>
      </c>
      <c r="C829">
        <v>249.39</v>
      </c>
      <c r="E829">
        <v>194.286</v>
      </c>
      <c r="F829">
        <v>168.03</v>
      </c>
      <c r="G829">
        <v>245.279</v>
      </c>
      <c r="H829">
        <v>204.453</v>
      </c>
      <c r="I829">
        <v>234.34</v>
      </c>
    </row>
    <row r="830" spans="1:9" x14ac:dyDescent="0.25">
      <c r="A830" s="12">
        <v>42790</v>
      </c>
      <c r="B830">
        <v>267.18299999999999</v>
      </c>
      <c r="C830">
        <v>249.321</v>
      </c>
      <c r="E830">
        <v>194.494</v>
      </c>
      <c r="F830">
        <v>168.20099999999999</v>
      </c>
      <c r="G830">
        <v>245.48</v>
      </c>
      <c r="H830">
        <v>204.51300000000001</v>
      </c>
      <c r="I830">
        <v>234.227</v>
      </c>
    </row>
    <row r="831" spans="1:9" x14ac:dyDescent="0.25">
      <c r="A831" s="12">
        <v>42793</v>
      </c>
      <c r="B831">
        <v>267.10899999999998</v>
      </c>
      <c r="C831">
        <v>249.45400000000001</v>
      </c>
      <c r="E831">
        <v>194.476</v>
      </c>
      <c r="F831">
        <v>168.31299999999999</v>
      </c>
      <c r="G831">
        <v>245.482</v>
      </c>
      <c r="H831">
        <v>204.56100000000001</v>
      </c>
      <c r="I831">
        <v>233.798</v>
      </c>
    </row>
    <row r="832" spans="1:9" x14ac:dyDescent="0.25">
      <c r="A832" s="12">
        <v>42794</v>
      </c>
      <c r="B832">
        <v>266.875</v>
      </c>
      <c r="C832">
        <v>249.74700000000001</v>
      </c>
      <c r="E832">
        <v>194.16499999999999</v>
      </c>
      <c r="F832">
        <v>168.578</v>
      </c>
      <c r="G832">
        <v>244.97200000000001</v>
      </c>
      <c r="H832">
        <v>204.76499999999999</v>
      </c>
      <c r="I832">
        <v>233.66</v>
      </c>
    </row>
    <row r="833" spans="1:9" x14ac:dyDescent="0.25">
      <c r="A833" s="12">
        <v>42795</v>
      </c>
      <c r="B833">
        <v>266.90600000000001</v>
      </c>
      <c r="C833">
        <v>249.755</v>
      </c>
      <c r="E833">
        <v>194.072</v>
      </c>
      <c r="F833">
        <v>168.51300000000001</v>
      </c>
      <c r="G833">
        <v>244.96600000000001</v>
      </c>
      <c r="H833">
        <v>204.80600000000001</v>
      </c>
      <c r="I833">
        <v>233.53</v>
      </c>
    </row>
    <row r="834" spans="1:9" x14ac:dyDescent="0.25">
      <c r="A834" s="12">
        <v>42796</v>
      </c>
      <c r="B834">
        <v>266.96600000000001</v>
      </c>
      <c r="C834">
        <v>249.77099999999999</v>
      </c>
      <c r="E834">
        <v>194.08600000000001</v>
      </c>
      <c r="F834">
        <v>168.542</v>
      </c>
      <c r="G834">
        <v>244.90600000000001</v>
      </c>
      <c r="H834">
        <v>204.89500000000001</v>
      </c>
      <c r="I834">
        <v>234.51</v>
      </c>
    </row>
    <row r="835" spans="1:9" x14ac:dyDescent="0.25">
      <c r="A835" s="12">
        <v>42797</v>
      </c>
      <c r="B835">
        <v>267.149</v>
      </c>
      <c r="C835">
        <v>249.47900000000001</v>
      </c>
      <c r="E835">
        <v>195.078</v>
      </c>
      <c r="F835">
        <v>168.28800000000001</v>
      </c>
      <c r="G835">
        <v>245.779</v>
      </c>
      <c r="H835">
        <v>204.816</v>
      </c>
      <c r="I835">
        <v>234.47200000000001</v>
      </c>
    </row>
    <row r="836" spans="1:9" x14ac:dyDescent="0.25">
      <c r="A836" s="12">
        <v>42800</v>
      </c>
      <c r="B836">
        <v>266.99700000000001</v>
      </c>
      <c r="C836">
        <v>249.268</v>
      </c>
      <c r="E836">
        <v>194.99299999999999</v>
      </c>
      <c r="F836">
        <v>168.30699999999999</v>
      </c>
      <c r="G836">
        <v>245.88800000000001</v>
      </c>
      <c r="H836">
        <v>204.74199999999999</v>
      </c>
      <c r="I836">
        <v>234.22900000000001</v>
      </c>
    </row>
    <row r="837" spans="1:9" x14ac:dyDescent="0.25">
      <c r="A837" s="12">
        <v>42801</v>
      </c>
      <c r="B837">
        <v>267.24099999999999</v>
      </c>
      <c r="C837">
        <v>249.24299999999999</v>
      </c>
      <c r="E837">
        <v>194.58500000000001</v>
      </c>
      <c r="F837">
        <v>168.12799999999999</v>
      </c>
      <c r="G837">
        <v>245.203</v>
      </c>
      <c r="H837">
        <v>204.67500000000001</v>
      </c>
      <c r="I837">
        <v>233.90899999999999</v>
      </c>
    </row>
    <row r="838" spans="1:9" x14ac:dyDescent="0.25">
      <c r="A838" s="12">
        <v>42802</v>
      </c>
      <c r="B838">
        <v>267.142</v>
      </c>
      <c r="C838">
        <v>249.26599999999999</v>
      </c>
      <c r="E838">
        <v>194.203</v>
      </c>
      <c r="F838">
        <v>168.08699999999999</v>
      </c>
      <c r="G838">
        <v>245.482</v>
      </c>
      <c r="H838">
        <v>204.70699999999999</v>
      </c>
      <c r="I838">
        <v>233.93799999999999</v>
      </c>
    </row>
    <row r="839" spans="1:9" x14ac:dyDescent="0.25">
      <c r="A839" s="12">
        <v>42803</v>
      </c>
      <c r="B839">
        <v>266.95100000000002</v>
      </c>
      <c r="C839">
        <v>249.16</v>
      </c>
      <c r="E839">
        <v>194.23599999999999</v>
      </c>
      <c r="F839">
        <v>168.13900000000001</v>
      </c>
      <c r="G839">
        <v>245.44200000000001</v>
      </c>
      <c r="H839">
        <v>204.702</v>
      </c>
      <c r="I839">
        <v>233.904</v>
      </c>
    </row>
    <row r="840" spans="1:9" x14ac:dyDescent="0.25">
      <c r="A840" s="12">
        <v>42804</v>
      </c>
      <c r="B840">
        <v>266.38799999999998</v>
      </c>
      <c r="C840">
        <v>248.81800000000001</v>
      </c>
      <c r="E840">
        <v>194.08799999999999</v>
      </c>
      <c r="F840">
        <v>167.82300000000001</v>
      </c>
      <c r="G840">
        <v>245.173</v>
      </c>
      <c r="H840">
        <v>204.53100000000001</v>
      </c>
      <c r="I840">
        <v>233.57499999999999</v>
      </c>
    </row>
    <row r="841" spans="1:9" x14ac:dyDescent="0.25">
      <c r="A841" s="12">
        <v>42807</v>
      </c>
      <c r="B841">
        <v>265.86500000000001</v>
      </c>
      <c r="C841">
        <v>248.30600000000001</v>
      </c>
      <c r="E841">
        <v>193.69</v>
      </c>
      <c r="F841">
        <v>167.39699999999999</v>
      </c>
      <c r="G841">
        <v>244.43199999999999</v>
      </c>
      <c r="H841">
        <v>204.26499999999999</v>
      </c>
      <c r="I841">
        <v>233.36</v>
      </c>
    </row>
    <row r="842" spans="1:9" x14ac:dyDescent="0.25">
      <c r="A842" s="12">
        <v>42808</v>
      </c>
      <c r="B842">
        <v>266.01499999999999</v>
      </c>
      <c r="C842">
        <v>248.167</v>
      </c>
      <c r="E842">
        <v>193.441</v>
      </c>
      <c r="F842">
        <v>166.94800000000001</v>
      </c>
      <c r="G842">
        <v>244.35599999999999</v>
      </c>
      <c r="H842">
        <v>204.15600000000001</v>
      </c>
      <c r="I842">
        <v>233.74600000000001</v>
      </c>
    </row>
    <row r="843" spans="1:9" x14ac:dyDescent="0.25">
      <c r="A843" s="12">
        <v>42809</v>
      </c>
      <c r="B843">
        <v>266.029</v>
      </c>
      <c r="C843">
        <v>248.17099999999999</v>
      </c>
      <c r="E843">
        <v>193.67</v>
      </c>
      <c r="F843">
        <v>167.03100000000001</v>
      </c>
      <c r="G843">
        <v>244.47499999999999</v>
      </c>
      <c r="H843">
        <v>204.19300000000001</v>
      </c>
      <c r="I843">
        <v>233.595</v>
      </c>
    </row>
    <row r="844" spans="1:9" x14ac:dyDescent="0.25">
      <c r="A844" s="12">
        <v>42810</v>
      </c>
      <c r="B844">
        <v>265.99299999999999</v>
      </c>
      <c r="C844">
        <v>248.172</v>
      </c>
      <c r="E844">
        <v>193.42099999999999</v>
      </c>
      <c r="F844">
        <v>167.00200000000001</v>
      </c>
      <c r="G844">
        <v>244.30099999999999</v>
      </c>
      <c r="H844">
        <v>204.142</v>
      </c>
      <c r="I844">
        <v>233.99</v>
      </c>
    </row>
    <row r="845" spans="1:9" x14ac:dyDescent="0.25">
      <c r="A845" s="12">
        <v>42811</v>
      </c>
      <c r="B845">
        <v>266.286</v>
      </c>
      <c r="C845">
        <v>248.16</v>
      </c>
      <c r="E845">
        <v>193.93799999999999</v>
      </c>
      <c r="F845">
        <v>167.244</v>
      </c>
      <c r="G845">
        <v>244.52</v>
      </c>
      <c r="H845">
        <v>204.172</v>
      </c>
      <c r="I845">
        <v>234.32900000000001</v>
      </c>
    </row>
    <row r="846" spans="1:9" x14ac:dyDescent="0.25">
      <c r="A846" s="12">
        <v>42814</v>
      </c>
      <c r="B846">
        <v>267.053</v>
      </c>
      <c r="C846">
        <v>248.35599999999999</v>
      </c>
      <c r="E846">
        <v>194.09899999999999</v>
      </c>
      <c r="F846">
        <v>167.041</v>
      </c>
      <c r="G846">
        <v>244.934</v>
      </c>
      <c r="H846">
        <v>204.39400000000001</v>
      </c>
      <c r="I846">
        <v>234.33500000000001</v>
      </c>
    </row>
    <row r="847" spans="1:9" x14ac:dyDescent="0.25">
      <c r="A847" s="12">
        <v>42815</v>
      </c>
      <c r="B847">
        <v>267.29300000000001</v>
      </c>
      <c r="C847">
        <v>248.47200000000001</v>
      </c>
      <c r="E847">
        <v>194.15700000000001</v>
      </c>
      <c r="F847">
        <v>167.13</v>
      </c>
      <c r="G847">
        <v>245.18700000000001</v>
      </c>
      <c r="H847">
        <v>204.53200000000001</v>
      </c>
      <c r="I847">
        <v>234.40899999999999</v>
      </c>
    </row>
    <row r="848" spans="1:9" x14ac:dyDescent="0.25">
      <c r="A848" s="12">
        <v>42816</v>
      </c>
      <c r="B848">
        <v>267.40100000000001</v>
      </c>
      <c r="C848">
        <v>248.482</v>
      </c>
      <c r="E848">
        <v>194.16900000000001</v>
      </c>
      <c r="F848">
        <v>167.18799999999999</v>
      </c>
      <c r="G848">
        <v>245.21700000000001</v>
      </c>
      <c r="H848">
        <v>204.58500000000001</v>
      </c>
      <c r="I848">
        <v>233.661</v>
      </c>
    </row>
    <row r="849" spans="1:9" x14ac:dyDescent="0.25">
      <c r="A849" s="12">
        <v>42817</v>
      </c>
      <c r="B849">
        <v>267.12700000000001</v>
      </c>
      <c r="C849">
        <v>248.68100000000001</v>
      </c>
      <c r="E849">
        <v>193.80799999999999</v>
      </c>
      <c r="F849">
        <v>167.13</v>
      </c>
      <c r="G849">
        <v>244.63200000000001</v>
      </c>
      <c r="H849">
        <v>204.62100000000001</v>
      </c>
      <c r="I849">
        <v>233.59100000000001</v>
      </c>
    </row>
    <row r="850" spans="1:9" x14ac:dyDescent="0.25">
      <c r="A850" s="12">
        <v>42818</v>
      </c>
      <c r="B850">
        <v>266.65199999999999</v>
      </c>
      <c r="C850">
        <v>248.81</v>
      </c>
      <c r="E850">
        <v>193.59200000000001</v>
      </c>
      <c r="F850">
        <v>167.33199999999999</v>
      </c>
      <c r="G850">
        <v>243.97499999999999</v>
      </c>
      <c r="H850">
        <v>204.68100000000001</v>
      </c>
      <c r="I850">
        <v>233.90100000000001</v>
      </c>
    </row>
    <row r="851" spans="1:9" x14ac:dyDescent="0.25">
      <c r="A851" s="12">
        <v>42821</v>
      </c>
      <c r="B851">
        <v>266.846</v>
      </c>
      <c r="C851">
        <v>248.708</v>
      </c>
      <c r="E851">
        <v>194.05199999999999</v>
      </c>
      <c r="F851">
        <v>167.386</v>
      </c>
      <c r="G851">
        <v>244.453</v>
      </c>
      <c r="H851">
        <v>204.672</v>
      </c>
      <c r="I851">
        <v>233.78899999999999</v>
      </c>
    </row>
    <row r="852" spans="1:9" x14ac:dyDescent="0.25">
      <c r="A852" s="12">
        <v>42822</v>
      </c>
      <c r="B852">
        <v>267.02100000000002</v>
      </c>
      <c r="C852">
        <v>248.727</v>
      </c>
      <c r="E852">
        <v>193.983</v>
      </c>
      <c r="F852">
        <v>167.417</v>
      </c>
      <c r="G852">
        <v>244.49799999999999</v>
      </c>
      <c r="H852">
        <v>204.71100000000001</v>
      </c>
      <c r="I852">
        <v>233.328</v>
      </c>
    </row>
    <row r="853" spans="1:9" x14ac:dyDescent="0.25">
      <c r="A853" s="12">
        <v>42823</v>
      </c>
      <c r="B853">
        <v>267.15199999999999</v>
      </c>
      <c r="C853">
        <v>248.87899999999999</v>
      </c>
      <c r="E853">
        <v>193.43899999999999</v>
      </c>
      <c r="F853">
        <v>167.34100000000001</v>
      </c>
      <c r="G853">
        <v>243.78700000000001</v>
      </c>
      <c r="H853">
        <v>204.75299999999999</v>
      </c>
      <c r="I853">
        <v>233.75200000000001</v>
      </c>
    </row>
    <row r="854" spans="1:9" x14ac:dyDescent="0.25">
      <c r="A854" s="12">
        <v>42824</v>
      </c>
      <c r="B854">
        <v>267.81299999999999</v>
      </c>
      <c r="C854">
        <v>249.072</v>
      </c>
      <c r="E854">
        <v>194.035</v>
      </c>
      <c r="F854">
        <v>167.499</v>
      </c>
      <c r="G854">
        <v>244.40299999999999</v>
      </c>
      <c r="H854">
        <v>204.78399999999999</v>
      </c>
      <c r="I854">
        <v>234.41300000000001</v>
      </c>
    </row>
    <row r="855" spans="1:9" x14ac:dyDescent="0.25">
      <c r="A855" s="12">
        <v>42825</v>
      </c>
      <c r="B855">
        <v>268.142</v>
      </c>
      <c r="C855">
        <v>249.19399999999999</v>
      </c>
      <c r="E855">
        <v>194.59100000000001</v>
      </c>
      <c r="F855">
        <v>167.85400000000001</v>
      </c>
      <c r="G855">
        <v>245.23699999999999</v>
      </c>
      <c r="H855">
        <v>204.852</v>
      </c>
      <c r="I855">
        <v>234.71299999999999</v>
      </c>
    </row>
    <row r="856" spans="1:9" x14ac:dyDescent="0.25">
      <c r="A856" s="12">
        <v>42828</v>
      </c>
      <c r="B856">
        <v>268.44499999999999</v>
      </c>
      <c r="C856">
        <v>249.23</v>
      </c>
      <c r="E856">
        <v>194.886</v>
      </c>
      <c r="F856">
        <v>167.93100000000001</v>
      </c>
      <c r="G856">
        <v>245.81</v>
      </c>
      <c r="H856">
        <v>205.048</v>
      </c>
      <c r="I856">
        <v>234.72499999999999</v>
      </c>
    </row>
    <row r="857" spans="1:9" x14ac:dyDescent="0.25">
      <c r="A857" s="12">
        <v>42829</v>
      </c>
      <c r="B857">
        <v>268.62599999999998</v>
      </c>
      <c r="C857">
        <v>249.386</v>
      </c>
      <c r="E857">
        <v>194.90100000000001</v>
      </c>
      <c r="F857">
        <v>167.93299999999999</v>
      </c>
      <c r="G857">
        <v>245.95</v>
      </c>
      <c r="H857">
        <v>205.02099999999999</v>
      </c>
      <c r="I857">
        <v>234.66800000000001</v>
      </c>
    </row>
    <row r="858" spans="1:9" x14ac:dyDescent="0.25">
      <c r="A858" s="12">
        <v>42830</v>
      </c>
      <c r="B858">
        <v>269.029</v>
      </c>
      <c r="C858">
        <v>249.62</v>
      </c>
      <c r="E858">
        <v>194.85400000000001</v>
      </c>
      <c r="F858">
        <v>168.29599999999999</v>
      </c>
      <c r="G858">
        <v>246.149</v>
      </c>
      <c r="H858">
        <v>205.126</v>
      </c>
      <c r="I858">
        <v>234.94900000000001</v>
      </c>
    </row>
    <row r="859" spans="1:9" x14ac:dyDescent="0.25">
      <c r="A859" s="12">
        <v>42831</v>
      </c>
      <c r="B859">
        <v>268.81400000000002</v>
      </c>
      <c r="C859">
        <v>249.58799999999999</v>
      </c>
      <c r="E859">
        <v>195.03</v>
      </c>
      <c r="F859">
        <v>168.36</v>
      </c>
      <c r="G859">
        <v>245.995</v>
      </c>
      <c r="H859">
        <v>205.16300000000001</v>
      </c>
      <c r="I859">
        <v>235.04</v>
      </c>
    </row>
    <row r="860" spans="1:9" x14ac:dyDescent="0.25">
      <c r="A860" s="12">
        <v>42832</v>
      </c>
      <c r="B860">
        <v>268.88</v>
      </c>
      <c r="C860">
        <v>249.68299999999999</v>
      </c>
      <c r="E860">
        <v>195.22</v>
      </c>
      <c r="F860">
        <v>168.38200000000001</v>
      </c>
      <c r="G860">
        <v>246.29</v>
      </c>
      <c r="H860">
        <v>205.184</v>
      </c>
      <c r="I860">
        <v>234.93</v>
      </c>
    </row>
    <row r="861" spans="1:9" x14ac:dyDescent="0.25">
      <c r="A861" s="12">
        <v>42835</v>
      </c>
      <c r="B861">
        <v>269.01</v>
      </c>
      <c r="C861">
        <v>249.92699999999999</v>
      </c>
      <c r="E861">
        <v>195.10300000000001</v>
      </c>
      <c r="F861">
        <v>168.40799999999999</v>
      </c>
      <c r="G861">
        <v>246.14099999999999</v>
      </c>
      <c r="H861">
        <v>205.22499999999999</v>
      </c>
      <c r="I861">
        <v>235.048</v>
      </c>
    </row>
    <row r="862" spans="1:9" x14ac:dyDescent="0.25">
      <c r="A862" s="12">
        <v>42836</v>
      </c>
      <c r="B862">
        <v>269.06599999999997</v>
      </c>
      <c r="C862">
        <v>249.95599999999999</v>
      </c>
      <c r="E862">
        <v>195.60300000000001</v>
      </c>
      <c r="F862">
        <v>168.59</v>
      </c>
      <c r="G862">
        <v>246.309</v>
      </c>
      <c r="H862">
        <v>205.267</v>
      </c>
      <c r="I862">
        <v>235.012</v>
      </c>
    </row>
    <row r="863" spans="1:9" x14ac:dyDescent="0.25">
      <c r="A863" s="12">
        <v>42837</v>
      </c>
      <c r="B863">
        <v>269.096</v>
      </c>
      <c r="C863">
        <v>249.91200000000001</v>
      </c>
      <c r="E863">
        <v>195.697</v>
      </c>
      <c r="F863">
        <v>168.602</v>
      </c>
      <c r="G863">
        <v>246.661</v>
      </c>
      <c r="H863">
        <v>205.23500000000001</v>
      </c>
      <c r="I863">
        <v>234.923</v>
      </c>
    </row>
    <row r="864" spans="1:9" x14ac:dyDescent="0.25">
      <c r="A864" s="12">
        <v>42838</v>
      </c>
      <c r="B864">
        <v>269.35599999999999</v>
      </c>
      <c r="C864">
        <v>250.19900000000001</v>
      </c>
      <c r="E864">
        <v>195.358</v>
      </c>
      <c r="F864">
        <v>168.59</v>
      </c>
      <c r="G864">
        <v>246.57400000000001</v>
      </c>
      <c r="H864">
        <v>205.304</v>
      </c>
      <c r="I864">
        <v>235.04599999999999</v>
      </c>
    </row>
    <row r="865" spans="1:9" x14ac:dyDescent="0.25">
      <c r="A865" s="12">
        <v>42843</v>
      </c>
      <c r="B865">
        <v>269.37200000000001</v>
      </c>
      <c r="C865">
        <v>250.26499999999999</v>
      </c>
      <c r="E865">
        <v>195.494</v>
      </c>
      <c r="F865">
        <v>168.69300000000001</v>
      </c>
      <c r="G865">
        <v>246.61</v>
      </c>
      <c r="H865">
        <v>205.28700000000001</v>
      </c>
      <c r="I865">
        <v>234.99</v>
      </c>
    </row>
    <row r="866" spans="1:9" x14ac:dyDescent="0.25">
      <c r="A866" s="12">
        <v>42844</v>
      </c>
      <c r="B866">
        <v>269.30399999999997</v>
      </c>
      <c r="C866">
        <v>250.37</v>
      </c>
      <c r="E866">
        <v>195.40700000000001</v>
      </c>
      <c r="F866">
        <v>168.68199999999999</v>
      </c>
      <c r="G866">
        <v>246.501</v>
      </c>
      <c r="H866">
        <v>205.48</v>
      </c>
      <c r="I866">
        <v>234.10300000000001</v>
      </c>
    </row>
    <row r="867" spans="1:9" x14ac:dyDescent="0.25">
      <c r="A867" s="12">
        <v>42845</v>
      </c>
      <c r="B867">
        <v>269.14499999999998</v>
      </c>
      <c r="C867">
        <v>250.48</v>
      </c>
      <c r="E867">
        <v>194.935</v>
      </c>
      <c r="F867">
        <v>168.702</v>
      </c>
      <c r="G867">
        <v>246.11199999999999</v>
      </c>
      <c r="H867">
        <v>205.673</v>
      </c>
      <c r="I867">
        <v>234.15700000000001</v>
      </c>
    </row>
    <row r="868" spans="1:9" x14ac:dyDescent="0.25">
      <c r="A868" s="12">
        <v>42846</v>
      </c>
      <c r="B868">
        <v>268.964</v>
      </c>
      <c r="C868">
        <v>250.352</v>
      </c>
      <c r="E868">
        <v>195.05699999999999</v>
      </c>
      <c r="F868">
        <v>168.584</v>
      </c>
      <c r="G868">
        <v>245.94300000000001</v>
      </c>
      <c r="H868">
        <v>205.55</v>
      </c>
      <c r="I868">
        <v>234.102</v>
      </c>
    </row>
    <row r="869" spans="1:9" x14ac:dyDescent="0.25">
      <c r="A869" s="12">
        <v>42849</v>
      </c>
      <c r="B869">
        <v>269.18299999999999</v>
      </c>
      <c r="C869">
        <v>250.31700000000001</v>
      </c>
      <c r="E869">
        <v>194.97399999999999</v>
      </c>
      <c r="F869">
        <v>168.42699999999999</v>
      </c>
      <c r="G869">
        <v>245.684</v>
      </c>
      <c r="H869">
        <v>205.49</v>
      </c>
      <c r="I869">
        <v>234.375</v>
      </c>
    </row>
    <row r="870" spans="1:9" x14ac:dyDescent="0.25">
      <c r="A870" s="12">
        <v>42850</v>
      </c>
      <c r="B870">
        <v>269.274</v>
      </c>
      <c r="C870">
        <v>249.994</v>
      </c>
      <c r="E870">
        <v>195.33</v>
      </c>
      <c r="F870">
        <v>168.541</v>
      </c>
      <c r="G870">
        <v>245.96</v>
      </c>
      <c r="H870">
        <v>205.36799999999999</v>
      </c>
      <c r="I870">
        <v>234.893</v>
      </c>
    </row>
    <row r="871" spans="1:9" x14ac:dyDescent="0.25">
      <c r="A871" s="12">
        <v>42851</v>
      </c>
      <c r="B871">
        <v>270.24299999999999</v>
      </c>
      <c r="C871">
        <v>249.846</v>
      </c>
      <c r="E871">
        <v>195.92500000000001</v>
      </c>
      <c r="F871">
        <v>168.31800000000001</v>
      </c>
      <c r="G871">
        <v>246.352</v>
      </c>
      <c r="H871">
        <v>205.40899999999999</v>
      </c>
      <c r="I871">
        <v>234.95</v>
      </c>
    </row>
    <row r="872" spans="1:9" x14ac:dyDescent="0.25">
      <c r="A872" s="12">
        <v>42852</v>
      </c>
      <c r="B872">
        <v>270.43700000000001</v>
      </c>
      <c r="C872">
        <v>249.79300000000001</v>
      </c>
      <c r="E872">
        <v>196.03899999999999</v>
      </c>
      <c r="F872">
        <v>168.101</v>
      </c>
      <c r="G872">
        <v>246.74299999999999</v>
      </c>
      <c r="H872">
        <v>205.42500000000001</v>
      </c>
      <c r="I872">
        <v>235.21</v>
      </c>
    </row>
    <row r="873" spans="1:9" x14ac:dyDescent="0.25">
      <c r="A873" s="12">
        <v>42853</v>
      </c>
      <c r="B873">
        <v>270.60899999999998</v>
      </c>
      <c r="C873">
        <v>249.84700000000001</v>
      </c>
      <c r="E873">
        <v>196.48500000000001</v>
      </c>
      <c r="F873">
        <v>168.249</v>
      </c>
      <c r="G873">
        <v>246.87299999999999</v>
      </c>
      <c r="H873">
        <v>205.369</v>
      </c>
      <c r="I873">
        <v>235.11</v>
      </c>
    </row>
    <row r="874" spans="1:9" x14ac:dyDescent="0.25">
      <c r="A874" s="12">
        <v>42857</v>
      </c>
      <c r="B874">
        <v>270.63299999999998</v>
      </c>
      <c r="C874">
        <v>249.87100000000001</v>
      </c>
      <c r="E874">
        <v>196.39599999999999</v>
      </c>
      <c r="F874">
        <v>168.41200000000001</v>
      </c>
      <c r="G874">
        <v>246.851</v>
      </c>
      <c r="H874">
        <v>205.36500000000001</v>
      </c>
      <c r="I874">
        <v>234.91800000000001</v>
      </c>
    </row>
    <row r="875" spans="1:9" x14ac:dyDescent="0.25">
      <c r="A875" s="12">
        <v>42858</v>
      </c>
      <c r="B875">
        <v>270.62</v>
      </c>
      <c r="C875">
        <v>249.934</v>
      </c>
      <c r="E875">
        <v>196.34299999999999</v>
      </c>
      <c r="F875">
        <v>168.43700000000001</v>
      </c>
      <c r="G875">
        <v>246.72800000000001</v>
      </c>
      <c r="H875">
        <v>205.494</v>
      </c>
      <c r="I875">
        <v>235.30500000000001</v>
      </c>
    </row>
    <row r="876" spans="1:9" x14ac:dyDescent="0.25">
      <c r="A876" s="12">
        <v>42863</v>
      </c>
      <c r="B876">
        <v>271.08300000000003</v>
      </c>
      <c r="C876">
        <v>250.14400000000001</v>
      </c>
      <c r="E876">
        <v>196.708</v>
      </c>
      <c r="F876">
        <v>168.501</v>
      </c>
      <c r="G876">
        <v>247.01300000000001</v>
      </c>
      <c r="H876">
        <v>205.61</v>
      </c>
      <c r="I876">
        <v>235.27199999999999</v>
      </c>
    </row>
    <row r="877" spans="1:9" x14ac:dyDescent="0.25">
      <c r="A877" s="12">
        <v>42864</v>
      </c>
      <c r="B877">
        <v>271.26100000000002</v>
      </c>
      <c r="C877">
        <v>249.97900000000001</v>
      </c>
      <c r="E877">
        <v>196.696</v>
      </c>
      <c r="F877">
        <v>168.214</v>
      </c>
      <c r="G877">
        <v>246.852</v>
      </c>
      <c r="H877">
        <v>205.417</v>
      </c>
      <c r="I877">
        <v>235.68100000000001</v>
      </c>
    </row>
    <row r="878" spans="1:9" x14ac:dyDescent="0.25">
      <c r="A878" s="12">
        <v>42865</v>
      </c>
      <c r="B878">
        <v>271.48599999999999</v>
      </c>
      <c r="C878">
        <v>249.98</v>
      </c>
      <c r="E878">
        <v>197.005</v>
      </c>
      <c r="F878">
        <v>168.309</v>
      </c>
      <c r="G878">
        <v>247.15700000000001</v>
      </c>
      <c r="H878">
        <v>205.38</v>
      </c>
      <c r="I878">
        <v>236.22800000000001</v>
      </c>
    </row>
    <row r="879" spans="1:9" x14ac:dyDescent="0.25">
      <c r="A879" s="12">
        <v>42866</v>
      </c>
      <c r="B879">
        <v>271.65800000000002</v>
      </c>
      <c r="C879">
        <v>249.96199999999999</v>
      </c>
      <c r="E879">
        <v>197.29300000000001</v>
      </c>
      <c r="F879">
        <v>168.29499999999999</v>
      </c>
      <c r="G879">
        <v>247.393</v>
      </c>
      <c r="H879">
        <v>205.31399999999999</v>
      </c>
      <c r="I879">
        <v>236.41900000000001</v>
      </c>
    </row>
    <row r="880" spans="1:9" x14ac:dyDescent="0.25">
      <c r="A880" s="12">
        <v>42867</v>
      </c>
      <c r="B880">
        <v>271.84199999999998</v>
      </c>
      <c r="C880">
        <v>250.042</v>
      </c>
      <c r="E880">
        <v>197.15799999999999</v>
      </c>
      <c r="F880">
        <v>168.39400000000001</v>
      </c>
      <c r="G880">
        <v>247.547</v>
      </c>
      <c r="H880">
        <v>205.42099999999999</v>
      </c>
      <c r="I880">
        <v>236.32300000000001</v>
      </c>
    </row>
    <row r="881" spans="1:9" x14ac:dyDescent="0.25">
      <c r="A881" s="12">
        <v>42870</v>
      </c>
      <c r="B881">
        <v>271.904</v>
      </c>
      <c r="C881">
        <v>249.97499999999999</v>
      </c>
      <c r="E881">
        <v>197.00200000000001</v>
      </c>
      <c r="F881">
        <v>168.38499999999999</v>
      </c>
      <c r="G881">
        <v>247.47399999999999</v>
      </c>
      <c r="H881">
        <v>205.51900000000001</v>
      </c>
      <c r="I881">
        <v>236.506</v>
      </c>
    </row>
    <row r="882" spans="1:9" x14ac:dyDescent="0.25">
      <c r="A882" s="12">
        <v>42871</v>
      </c>
      <c r="B882">
        <v>271.803</v>
      </c>
      <c r="C882">
        <v>250.01499999999999</v>
      </c>
      <c r="E882">
        <v>196.99299999999999</v>
      </c>
      <c r="F882">
        <v>168.37799999999999</v>
      </c>
      <c r="G882">
        <v>247.315</v>
      </c>
      <c r="H882">
        <v>205.57400000000001</v>
      </c>
      <c r="I882">
        <v>236.5</v>
      </c>
    </row>
    <row r="883" spans="1:9" x14ac:dyDescent="0.25">
      <c r="A883" s="12">
        <v>42872</v>
      </c>
      <c r="B883">
        <v>271.947</v>
      </c>
      <c r="C883">
        <v>249.89400000000001</v>
      </c>
      <c r="E883">
        <v>197.08600000000001</v>
      </c>
      <c r="F883">
        <v>168.267</v>
      </c>
      <c r="G883">
        <v>247.34100000000001</v>
      </c>
      <c r="H883">
        <v>205.74100000000001</v>
      </c>
      <c r="I883">
        <v>236.11</v>
      </c>
    </row>
    <row r="884" spans="1:9" x14ac:dyDescent="0.25">
      <c r="A884" s="12">
        <v>42873</v>
      </c>
      <c r="B884">
        <v>272.10399999999998</v>
      </c>
      <c r="C884">
        <v>249.874</v>
      </c>
      <c r="E884">
        <v>196.88300000000001</v>
      </c>
      <c r="F884">
        <v>168.21600000000001</v>
      </c>
      <c r="G884">
        <v>247.23400000000001</v>
      </c>
      <c r="H884">
        <v>205.86600000000001</v>
      </c>
      <c r="I884">
        <v>235.13200000000001</v>
      </c>
    </row>
    <row r="885" spans="1:9" x14ac:dyDescent="0.25">
      <c r="A885" s="12">
        <v>42874</v>
      </c>
      <c r="B885">
        <v>271.73599999999999</v>
      </c>
      <c r="C885">
        <v>250.07900000000001</v>
      </c>
      <c r="E885">
        <v>195.887</v>
      </c>
      <c r="F885">
        <v>168.24299999999999</v>
      </c>
      <c r="G885">
        <v>246.60900000000001</v>
      </c>
      <c r="H885">
        <v>205.90299999999999</v>
      </c>
      <c r="I885">
        <v>234.48400000000001</v>
      </c>
    </row>
    <row r="886" spans="1:9" x14ac:dyDescent="0.25">
      <c r="A886" s="12">
        <v>42877</v>
      </c>
      <c r="B886">
        <v>270.80500000000001</v>
      </c>
      <c r="C886">
        <v>249.82400000000001</v>
      </c>
      <c r="E886">
        <v>195.58799999999999</v>
      </c>
      <c r="F886">
        <v>168.202</v>
      </c>
      <c r="G886">
        <v>245.40899999999999</v>
      </c>
      <c r="H886">
        <v>205.44900000000001</v>
      </c>
      <c r="I886">
        <v>234.81899999999999</v>
      </c>
    </row>
    <row r="887" spans="1:9" x14ac:dyDescent="0.25">
      <c r="A887" s="12">
        <v>42878</v>
      </c>
      <c r="B887">
        <v>271.12900000000002</v>
      </c>
      <c r="C887">
        <v>249.65700000000001</v>
      </c>
      <c r="E887">
        <v>195.95500000000001</v>
      </c>
      <c r="F887">
        <v>168.143</v>
      </c>
      <c r="G887">
        <v>245.69</v>
      </c>
      <c r="H887">
        <v>205.34</v>
      </c>
      <c r="I887">
        <v>234.63399999999999</v>
      </c>
    </row>
    <row r="888" spans="1:9" x14ac:dyDescent="0.25">
      <c r="A888" s="12">
        <v>42879</v>
      </c>
      <c r="B888">
        <v>271.43299999999999</v>
      </c>
      <c r="C888">
        <v>249.791</v>
      </c>
      <c r="E888">
        <v>196.05699999999999</v>
      </c>
      <c r="F888">
        <v>168.08799999999999</v>
      </c>
      <c r="G888">
        <v>245.91499999999999</v>
      </c>
      <c r="H888">
        <v>205.46799999999999</v>
      </c>
      <c r="I888">
        <v>234.922</v>
      </c>
    </row>
    <row r="889" spans="1:9" x14ac:dyDescent="0.25">
      <c r="A889" s="12">
        <v>42880</v>
      </c>
      <c r="B889">
        <v>271.471</v>
      </c>
      <c r="C889">
        <v>249.751</v>
      </c>
      <c r="E889">
        <v>196.22300000000001</v>
      </c>
      <c r="F889">
        <v>168.077</v>
      </c>
      <c r="G889">
        <v>246.184</v>
      </c>
      <c r="H889">
        <v>205.54</v>
      </c>
      <c r="I889">
        <v>235.09700000000001</v>
      </c>
    </row>
    <row r="890" spans="1:9" x14ac:dyDescent="0.25">
      <c r="A890" s="12">
        <v>42881</v>
      </c>
      <c r="B890">
        <v>271.50400000000002</v>
      </c>
      <c r="C890">
        <v>249.863</v>
      </c>
      <c r="E890">
        <v>196.41800000000001</v>
      </c>
      <c r="F890">
        <v>168.16</v>
      </c>
      <c r="G890">
        <v>246.48</v>
      </c>
      <c r="H890">
        <v>205.642</v>
      </c>
      <c r="I890">
        <v>235.202</v>
      </c>
    </row>
    <row r="891" spans="1:9" x14ac:dyDescent="0.25">
      <c r="A891" s="12">
        <v>42884</v>
      </c>
      <c r="B891">
        <v>271.59699999999998</v>
      </c>
      <c r="C891">
        <v>249.98400000000001</v>
      </c>
      <c r="E891">
        <v>196.55500000000001</v>
      </c>
      <c r="F891">
        <v>168.232</v>
      </c>
      <c r="G891">
        <v>246.601</v>
      </c>
      <c r="H891">
        <v>205.714</v>
      </c>
      <c r="I891">
        <v>235.506</v>
      </c>
    </row>
    <row r="892" spans="1:9" x14ac:dyDescent="0.25">
      <c r="A892" s="12">
        <v>42885</v>
      </c>
      <c r="B892">
        <v>271.60899999999998</v>
      </c>
      <c r="C892">
        <v>250.06299999999999</v>
      </c>
      <c r="E892">
        <v>196.642</v>
      </c>
      <c r="F892">
        <v>168.358</v>
      </c>
      <c r="G892">
        <v>247.001</v>
      </c>
      <c r="H892">
        <v>205.87200000000001</v>
      </c>
      <c r="I892">
        <v>235.43100000000001</v>
      </c>
    </row>
    <row r="893" spans="1:9" x14ac:dyDescent="0.25">
      <c r="A893" s="12">
        <v>42886</v>
      </c>
      <c r="B893">
        <v>271.74900000000002</v>
      </c>
      <c r="C893">
        <v>250.13</v>
      </c>
      <c r="E893">
        <v>196.69900000000001</v>
      </c>
      <c r="F893">
        <v>168.42599999999999</v>
      </c>
      <c r="G893">
        <v>246.95500000000001</v>
      </c>
      <c r="H893">
        <v>205.84700000000001</v>
      </c>
      <c r="I893">
        <v>235.292</v>
      </c>
    </row>
    <row r="894" spans="1:9" x14ac:dyDescent="0.25">
      <c r="A894" s="12">
        <v>42887</v>
      </c>
      <c r="B894">
        <v>271.851</v>
      </c>
      <c r="C894">
        <v>250.18199999999999</v>
      </c>
      <c r="E894">
        <v>196.59299999999999</v>
      </c>
      <c r="F894">
        <v>168.452</v>
      </c>
      <c r="G894">
        <v>246.90700000000001</v>
      </c>
      <c r="H894">
        <v>205.869</v>
      </c>
      <c r="I894">
        <v>234.827</v>
      </c>
    </row>
    <row r="895" spans="1:9" x14ac:dyDescent="0.25">
      <c r="A895" s="12">
        <v>42888</v>
      </c>
      <c r="B895">
        <v>271.93099999999998</v>
      </c>
      <c r="C895">
        <v>250.26900000000001</v>
      </c>
      <c r="E895">
        <v>196.36199999999999</v>
      </c>
      <c r="F895">
        <v>168.38800000000001</v>
      </c>
      <c r="G895">
        <v>246.74600000000001</v>
      </c>
      <c r="H895">
        <v>205.916</v>
      </c>
      <c r="I895">
        <v>235.286</v>
      </c>
    </row>
    <row r="896" spans="1:9" x14ac:dyDescent="0.25">
      <c r="A896" s="12">
        <v>42891</v>
      </c>
      <c r="B896">
        <v>272.30900000000003</v>
      </c>
      <c r="C896">
        <v>250.36699999999999</v>
      </c>
      <c r="E896">
        <v>196.79599999999999</v>
      </c>
      <c r="F896">
        <v>168.46199999999999</v>
      </c>
      <c r="G896">
        <v>247.12299999999999</v>
      </c>
      <c r="H896">
        <v>205.971</v>
      </c>
      <c r="I896">
        <v>235.63399999999999</v>
      </c>
    </row>
    <row r="897" spans="1:9" x14ac:dyDescent="0.25">
      <c r="A897" s="12">
        <v>42892</v>
      </c>
      <c r="B897">
        <v>272.66199999999998</v>
      </c>
      <c r="C897">
        <v>250.483</v>
      </c>
      <c r="E897">
        <v>197.161</v>
      </c>
      <c r="F897">
        <v>168.57599999999999</v>
      </c>
      <c r="G897">
        <v>247.51300000000001</v>
      </c>
      <c r="H897">
        <v>206.12</v>
      </c>
      <c r="I897">
        <v>235.60599999999999</v>
      </c>
    </row>
    <row r="898" spans="1:9" x14ac:dyDescent="0.25">
      <c r="A898" s="12">
        <v>42893</v>
      </c>
      <c r="B898">
        <v>272.57600000000002</v>
      </c>
      <c r="C898">
        <v>250.52600000000001</v>
      </c>
      <c r="E898">
        <v>197.15899999999999</v>
      </c>
      <c r="F898">
        <v>168.578</v>
      </c>
      <c r="G898">
        <v>247.52099999999999</v>
      </c>
      <c r="H898">
        <v>206.15100000000001</v>
      </c>
      <c r="I898">
        <v>235.58500000000001</v>
      </c>
    </row>
    <row r="899" spans="1:9" x14ac:dyDescent="0.25">
      <c r="A899" s="12">
        <v>42894</v>
      </c>
      <c r="B899">
        <v>272.43799999999999</v>
      </c>
      <c r="C899">
        <v>250.78399999999999</v>
      </c>
      <c r="E899">
        <v>197.00700000000001</v>
      </c>
      <c r="F899">
        <v>168.709</v>
      </c>
      <c r="G899">
        <v>247.393</v>
      </c>
      <c r="H899">
        <v>206.297</v>
      </c>
      <c r="I899">
        <v>235.476</v>
      </c>
    </row>
    <row r="900" spans="1:9" x14ac:dyDescent="0.25">
      <c r="A900" s="12">
        <v>42895</v>
      </c>
      <c r="B900">
        <v>272.37599999999998</v>
      </c>
      <c r="C900">
        <v>250.66300000000001</v>
      </c>
      <c r="E900">
        <v>196.887</v>
      </c>
      <c r="F900">
        <v>168.69499999999999</v>
      </c>
      <c r="G900">
        <v>247.45</v>
      </c>
      <c r="H900">
        <v>206.22499999999999</v>
      </c>
      <c r="I900">
        <v>235.751</v>
      </c>
    </row>
    <row r="901" spans="1:9" x14ac:dyDescent="0.25">
      <c r="A901" s="12">
        <v>42898</v>
      </c>
      <c r="B901">
        <v>272.35300000000001</v>
      </c>
      <c r="C901">
        <v>250.614</v>
      </c>
      <c r="E901">
        <v>197.06399999999999</v>
      </c>
      <c r="F901">
        <v>168.63499999999999</v>
      </c>
      <c r="G901">
        <v>247.50800000000001</v>
      </c>
      <c r="H901">
        <v>206.17500000000001</v>
      </c>
      <c r="I901">
        <v>236.22499999999999</v>
      </c>
    </row>
    <row r="902" spans="1:9" x14ac:dyDescent="0.25">
      <c r="A902" s="12">
        <v>42899</v>
      </c>
      <c r="B902">
        <v>272.255</v>
      </c>
      <c r="C902">
        <v>250.48400000000001</v>
      </c>
      <c r="E902">
        <v>197.453</v>
      </c>
      <c r="F902">
        <v>168.69900000000001</v>
      </c>
      <c r="G902">
        <v>247.858</v>
      </c>
      <c r="H902">
        <v>206.16399999999999</v>
      </c>
      <c r="I902">
        <v>235.37700000000001</v>
      </c>
    </row>
    <row r="903" spans="1:9" x14ac:dyDescent="0.25">
      <c r="A903" s="12">
        <v>42900</v>
      </c>
      <c r="B903">
        <v>272.09699999999998</v>
      </c>
      <c r="C903">
        <v>250.51</v>
      </c>
      <c r="E903">
        <v>196.91900000000001</v>
      </c>
      <c r="F903">
        <v>168.74</v>
      </c>
      <c r="G903">
        <v>247.304</v>
      </c>
      <c r="H903">
        <v>206.2</v>
      </c>
      <c r="I903">
        <v>235.626</v>
      </c>
    </row>
    <row r="904" spans="1:9" x14ac:dyDescent="0.25">
      <c r="A904" s="12">
        <v>42901</v>
      </c>
      <c r="B904">
        <v>272.44600000000003</v>
      </c>
      <c r="C904">
        <v>250.61</v>
      </c>
      <c r="E904">
        <v>197.19300000000001</v>
      </c>
      <c r="F904">
        <v>168.7</v>
      </c>
      <c r="G904">
        <v>247.66800000000001</v>
      </c>
      <c r="H904">
        <v>206.227</v>
      </c>
      <c r="I904">
        <v>235.6</v>
      </c>
    </row>
    <row r="905" spans="1:9" x14ac:dyDescent="0.25">
      <c r="A905" s="12">
        <v>42902</v>
      </c>
      <c r="B905">
        <v>272.68799999999999</v>
      </c>
      <c r="C905">
        <v>250.90199999999999</v>
      </c>
      <c r="E905">
        <v>197.226</v>
      </c>
      <c r="F905">
        <v>168.86600000000001</v>
      </c>
      <c r="G905">
        <v>248.03399999999999</v>
      </c>
      <c r="H905">
        <v>206.523</v>
      </c>
      <c r="I905">
        <v>235.232</v>
      </c>
    </row>
    <row r="906" spans="1:9" x14ac:dyDescent="0.25">
      <c r="A906" s="12">
        <v>42905</v>
      </c>
      <c r="B906">
        <v>272.416</v>
      </c>
      <c r="C906">
        <v>250.89099999999999</v>
      </c>
      <c r="E906">
        <v>196.941</v>
      </c>
      <c r="F906">
        <v>168.68</v>
      </c>
      <c r="G906">
        <v>247.45500000000001</v>
      </c>
      <c r="H906">
        <v>206.32</v>
      </c>
      <c r="I906">
        <v>235.29599999999999</v>
      </c>
    </row>
    <row r="907" spans="1:9" x14ac:dyDescent="0.25">
      <c r="A907" s="12">
        <v>42906</v>
      </c>
      <c r="B907">
        <v>272.512</v>
      </c>
      <c r="C907">
        <v>250.83099999999999</v>
      </c>
      <c r="E907">
        <v>196.95</v>
      </c>
      <c r="F907">
        <v>168.67</v>
      </c>
      <c r="G907">
        <v>247.60300000000001</v>
      </c>
      <c r="H907">
        <v>206.25299999999999</v>
      </c>
      <c r="I907">
        <v>236.08099999999999</v>
      </c>
    </row>
    <row r="908" spans="1:9" x14ac:dyDescent="0.25">
      <c r="A908" s="12">
        <v>42907</v>
      </c>
      <c r="B908">
        <v>272.93299999999999</v>
      </c>
      <c r="C908">
        <v>250.93299999999999</v>
      </c>
      <c r="E908">
        <v>197.64</v>
      </c>
      <c r="F908">
        <v>168.70599999999999</v>
      </c>
      <c r="G908">
        <v>248.16900000000001</v>
      </c>
      <c r="H908">
        <v>206.26</v>
      </c>
      <c r="I908">
        <v>235.77799999999999</v>
      </c>
    </row>
    <row r="909" spans="1:9" x14ac:dyDescent="0.25">
      <c r="A909" s="12">
        <v>42908</v>
      </c>
      <c r="B909">
        <v>272.90800000000002</v>
      </c>
      <c r="C909">
        <v>250.92500000000001</v>
      </c>
      <c r="E909">
        <v>197.405</v>
      </c>
      <c r="F909">
        <v>168.70099999999999</v>
      </c>
      <c r="G909">
        <v>248.06200000000001</v>
      </c>
      <c r="H909">
        <v>206.14599999999999</v>
      </c>
      <c r="I909">
        <v>235.767</v>
      </c>
    </row>
    <row r="910" spans="1:9" x14ac:dyDescent="0.25">
      <c r="A910" s="12">
        <v>42912</v>
      </c>
      <c r="B910">
        <v>272.62400000000002</v>
      </c>
      <c r="C910">
        <v>250.86600000000001</v>
      </c>
      <c r="E910">
        <v>197.17</v>
      </c>
      <c r="F910">
        <v>168.65199999999999</v>
      </c>
      <c r="G910">
        <v>247.54499999999999</v>
      </c>
      <c r="H910">
        <v>206.03100000000001</v>
      </c>
      <c r="I910">
        <v>235.75</v>
      </c>
    </row>
    <row r="911" spans="1:9" x14ac:dyDescent="0.25">
      <c r="A911" s="12">
        <v>42913</v>
      </c>
      <c r="B911">
        <v>272.72899999999998</v>
      </c>
      <c r="C911">
        <v>250.89400000000001</v>
      </c>
      <c r="E911">
        <v>197.11099999999999</v>
      </c>
      <c r="F911">
        <v>168.63900000000001</v>
      </c>
      <c r="G911">
        <v>247.499</v>
      </c>
      <c r="H911">
        <v>206.136</v>
      </c>
      <c r="I911">
        <v>235.887</v>
      </c>
    </row>
    <row r="912" spans="1:9" x14ac:dyDescent="0.25">
      <c r="A912" s="12">
        <v>42914</v>
      </c>
      <c r="B912">
        <v>272.79000000000002</v>
      </c>
      <c r="C912">
        <v>250.858</v>
      </c>
      <c r="E912">
        <v>197.37100000000001</v>
      </c>
      <c r="F912">
        <v>168.7</v>
      </c>
      <c r="G912">
        <v>247.97800000000001</v>
      </c>
      <c r="H912">
        <v>206.25399999999999</v>
      </c>
      <c r="I912">
        <v>235.03800000000001</v>
      </c>
    </row>
    <row r="913" spans="1:14" x14ac:dyDescent="0.25">
      <c r="A913" s="12">
        <v>42915</v>
      </c>
      <c r="B913">
        <v>272.06900000000002</v>
      </c>
      <c r="C913">
        <v>250.35900000000001</v>
      </c>
      <c r="E913">
        <v>196.74600000000001</v>
      </c>
      <c r="F913">
        <v>168.26300000000001</v>
      </c>
      <c r="G913">
        <v>246.91800000000001</v>
      </c>
      <c r="H913">
        <v>206.09100000000001</v>
      </c>
      <c r="I913">
        <v>234.66200000000001</v>
      </c>
    </row>
    <row r="914" spans="1:14" x14ac:dyDescent="0.25">
      <c r="A914" s="12">
        <v>42916</v>
      </c>
      <c r="B914">
        <v>271.738</v>
      </c>
      <c r="C914">
        <v>250.00700000000001</v>
      </c>
      <c r="E914">
        <v>196.53299999999999</v>
      </c>
      <c r="F914">
        <v>168.12700000000001</v>
      </c>
      <c r="G914">
        <v>246.363</v>
      </c>
      <c r="H914">
        <v>205.90600000000001</v>
      </c>
      <c r="I914">
        <v>233.68299999999999</v>
      </c>
      <c r="L914" s="1" t="s">
        <v>3</v>
      </c>
    </row>
    <row r="915" spans="1:14" x14ac:dyDescent="0.25">
      <c r="A915" s="12">
        <v>42919</v>
      </c>
      <c r="B915">
        <v>271.32900000000001</v>
      </c>
      <c r="C915">
        <v>249.827</v>
      </c>
      <c r="D915">
        <f t="shared" ref="D915:D978" si="0">IF(L915&gt;1,L915,L915*100)</f>
        <v>100</v>
      </c>
      <c r="E915">
        <v>195.465</v>
      </c>
      <c r="F915">
        <v>167.637</v>
      </c>
      <c r="G915">
        <v>245.88900000000001</v>
      </c>
      <c r="H915">
        <v>205.72200000000001</v>
      </c>
      <c r="I915">
        <v>233.68100000000001</v>
      </c>
      <c r="L915">
        <v>100</v>
      </c>
    </row>
    <row r="916" spans="1:14" x14ac:dyDescent="0.25">
      <c r="A916" s="12">
        <v>42920</v>
      </c>
      <c r="B916">
        <v>271.12799999999999</v>
      </c>
      <c r="C916">
        <v>249.846</v>
      </c>
      <c r="D916">
        <f t="shared" si="0"/>
        <v>100</v>
      </c>
      <c r="E916">
        <v>195.31</v>
      </c>
      <c r="F916">
        <v>167.589</v>
      </c>
      <c r="G916">
        <v>245.601</v>
      </c>
      <c r="H916">
        <v>205.62899999999999</v>
      </c>
      <c r="I916">
        <v>234.197</v>
      </c>
      <c r="L916">
        <v>100</v>
      </c>
      <c r="M916" t="s">
        <v>43</v>
      </c>
      <c r="N916" t="s">
        <v>42</v>
      </c>
    </row>
    <row r="917" spans="1:14" x14ac:dyDescent="0.25">
      <c r="A917" s="12">
        <v>42921</v>
      </c>
      <c r="B917">
        <v>271.07299999999998</v>
      </c>
      <c r="C917">
        <v>249.745</v>
      </c>
      <c r="D917">
        <f t="shared" si="0"/>
        <v>100</v>
      </c>
      <c r="E917">
        <v>196.024</v>
      </c>
      <c r="F917">
        <v>167.66200000000001</v>
      </c>
      <c r="G917">
        <v>245.95699999999999</v>
      </c>
      <c r="H917">
        <v>205.55600000000001</v>
      </c>
      <c r="I917">
        <v>234.07</v>
      </c>
      <c r="L917">
        <v>100</v>
      </c>
    </row>
    <row r="918" spans="1:14" x14ac:dyDescent="0.25">
      <c r="A918" s="12">
        <v>42922</v>
      </c>
      <c r="B918">
        <v>271.13</v>
      </c>
      <c r="C918">
        <v>249.74199999999999</v>
      </c>
      <c r="D918">
        <f t="shared" si="0"/>
        <v>100</v>
      </c>
      <c r="E918">
        <v>195.74600000000001</v>
      </c>
      <c r="F918">
        <v>167.70599999999999</v>
      </c>
      <c r="G918">
        <v>245.816</v>
      </c>
      <c r="H918">
        <v>205.49600000000001</v>
      </c>
      <c r="I918">
        <v>234.12299999999999</v>
      </c>
      <c r="L918">
        <v>100</v>
      </c>
    </row>
    <row r="919" spans="1:14" x14ac:dyDescent="0.25">
      <c r="A919" s="12">
        <v>42923</v>
      </c>
      <c r="B919">
        <v>270.83800000000002</v>
      </c>
      <c r="C919">
        <v>249.523</v>
      </c>
      <c r="D919">
        <f t="shared" si="0"/>
        <v>100</v>
      </c>
      <c r="E919">
        <v>195.773</v>
      </c>
      <c r="F919">
        <v>167.64</v>
      </c>
      <c r="G919">
        <v>245.70500000000001</v>
      </c>
      <c r="H919">
        <v>205.41200000000001</v>
      </c>
      <c r="I919">
        <v>233.50399999999999</v>
      </c>
      <c r="L919">
        <v>100</v>
      </c>
    </row>
    <row r="920" spans="1:14" x14ac:dyDescent="0.25">
      <c r="A920" s="12">
        <v>42926</v>
      </c>
      <c r="B920">
        <v>270.31099999999998</v>
      </c>
      <c r="C920">
        <v>249.262</v>
      </c>
      <c r="D920">
        <f t="shared" si="0"/>
        <v>100</v>
      </c>
      <c r="E920">
        <v>194.94800000000001</v>
      </c>
      <c r="F920">
        <v>167.05799999999999</v>
      </c>
      <c r="G920">
        <v>244.83099999999999</v>
      </c>
      <c r="H920">
        <v>205.16499999999999</v>
      </c>
      <c r="I920">
        <v>233.39099999999999</v>
      </c>
      <c r="L920">
        <v>100</v>
      </c>
    </row>
    <row r="921" spans="1:14" x14ac:dyDescent="0.25">
      <c r="A921" s="12">
        <v>42927</v>
      </c>
      <c r="B921">
        <v>270.25</v>
      </c>
      <c r="C921">
        <v>249.178</v>
      </c>
      <c r="D921">
        <f t="shared" si="0"/>
        <v>100</v>
      </c>
      <c r="E921">
        <v>194.86600000000001</v>
      </c>
      <c r="F921">
        <v>166.97300000000001</v>
      </c>
      <c r="G921">
        <v>244.751</v>
      </c>
      <c r="H921">
        <v>205.08500000000001</v>
      </c>
      <c r="I921">
        <v>233.74199999999999</v>
      </c>
      <c r="L921">
        <v>100</v>
      </c>
    </row>
    <row r="922" spans="1:14" x14ac:dyDescent="0.25">
      <c r="A922" s="12">
        <v>42928</v>
      </c>
      <c r="B922">
        <v>270.42200000000003</v>
      </c>
      <c r="C922">
        <v>249.16200000000001</v>
      </c>
      <c r="D922">
        <f t="shared" si="0"/>
        <v>100</v>
      </c>
      <c r="E922">
        <v>195.291</v>
      </c>
      <c r="F922">
        <v>167.27199999999999</v>
      </c>
      <c r="G922">
        <v>245.018</v>
      </c>
      <c r="H922">
        <v>205.13499999999999</v>
      </c>
      <c r="I922">
        <v>233.71700000000001</v>
      </c>
      <c r="L922">
        <v>100</v>
      </c>
    </row>
    <row r="923" spans="1:14" x14ac:dyDescent="0.25">
      <c r="A923" s="12">
        <v>42929</v>
      </c>
      <c r="B923">
        <v>270.54399999999998</v>
      </c>
      <c r="C923">
        <v>249.262</v>
      </c>
      <c r="D923">
        <f t="shared" si="0"/>
        <v>100</v>
      </c>
      <c r="E923">
        <v>194.94</v>
      </c>
      <c r="F923">
        <v>167.126</v>
      </c>
      <c r="G923">
        <v>244.869</v>
      </c>
      <c r="H923">
        <v>205.12700000000001</v>
      </c>
      <c r="I923">
        <v>234.696</v>
      </c>
      <c r="L923">
        <v>100</v>
      </c>
    </row>
    <row r="924" spans="1:14" x14ac:dyDescent="0.25">
      <c r="A924" s="12">
        <v>42930</v>
      </c>
      <c r="B924">
        <v>271.08199999999999</v>
      </c>
      <c r="C924">
        <v>249.56100000000001</v>
      </c>
      <c r="D924">
        <f t="shared" si="0"/>
        <v>99.999000000000009</v>
      </c>
      <c r="E924">
        <v>195.99100000000001</v>
      </c>
      <c r="F924">
        <v>167.18700000000001</v>
      </c>
      <c r="G924">
        <v>245.76300000000001</v>
      </c>
      <c r="H924">
        <v>205.33500000000001</v>
      </c>
      <c r="I924">
        <v>235.01</v>
      </c>
      <c r="L924">
        <v>0.99999000000000005</v>
      </c>
    </row>
    <row r="925" spans="1:14" x14ac:dyDescent="0.25">
      <c r="A925" s="12">
        <v>42933</v>
      </c>
      <c r="B925">
        <v>271.37700000000001</v>
      </c>
      <c r="C925">
        <v>249.60599999999999</v>
      </c>
      <c r="D925">
        <f t="shared" si="0"/>
        <v>99.995999999999995</v>
      </c>
      <c r="E925">
        <v>196.44900000000001</v>
      </c>
      <c r="F925">
        <v>167.17400000000001</v>
      </c>
      <c r="G925">
        <v>246.27600000000001</v>
      </c>
      <c r="H925">
        <v>205.46199999999999</v>
      </c>
      <c r="I925">
        <v>235.03899999999999</v>
      </c>
      <c r="L925">
        <v>0.99995999999999996</v>
      </c>
    </row>
    <row r="926" spans="1:14" x14ac:dyDescent="0.25">
      <c r="A926" s="12">
        <v>42934</v>
      </c>
      <c r="B926">
        <v>271.35199999999998</v>
      </c>
      <c r="C926">
        <v>249.63399999999999</v>
      </c>
      <c r="D926">
        <f t="shared" si="0"/>
        <v>99.988</v>
      </c>
      <c r="E926">
        <v>196.55500000000001</v>
      </c>
      <c r="F926">
        <v>167.21799999999999</v>
      </c>
      <c r="G926">
        <v>246.60499999999999</v>
      </c>
      <c r="H926">
        <v>205.637</v>
      </c>
      <c r="I926">
        <v>235.072</v>
      </c>
      <c r="L926">
        <v>0.99987999999999999</v>
      </c>
    </row>
    <row r="927" spans="1:14" x14ac:dyDescent="0.25">
      <c r="A927" s="12">
        <v>42935</v>
      </c>
      <c r="B927">
        <v>271.28300000000002</v>
      </c>
      <c r="C927">
        <v>249.643</v>
      </c>
      <c r="D927">
        <f t="shared" si="0"/>
        <v>99.76</v>
      </c>
      <c r="E927">
        <v>196.625</v>
      </c>
      <c r="F927">
        <v>167.29599999999999</v>
      </c>
      <c r="G927">
        <v>246.684</v>
      </c>
      <c r="H927">
        <v>205.73400000000001</v>
      </c>
      <c r="I927">
        <v>234.511</v>
      </c>
      <c r="L927">
        <v>0.99760000000000004</v>
      </c>
    </row>
    <row r="928" spans="1:14" x14ac:dyDescent="0.25">
      <c r="A928" s="12">
        <v>42936</v>
      </c>
      <c r="B928">
        <v>271.29399999999998</v>
      </c>
      <c r="C928">
        <v>249.83199999999999</v>
      </c>
      <c r="D928">
        <f t="shared" si="0"/>
        <v>99.582000000000008</v>
      </c>
      <c r="E928">
        <v>196.126</v>
      </c>
      <c r="F928">
        <v>167.346</v>
      </c>
      <c r="G928">
        <v>246.31800000000001</v>
      </c>
      <c r="H928">
        <v>205.886</v>
      </c>
      <c r="I928">
        <v>235.03399999999999</v>
      </c>
      <c r="L928">
        <v>0.99582000000000004</v>
      </c>
    </row>
    <row r="929" spans="1:12" x14ac:dyDescent="0.25">
      <c r="A929" s="12">
        <v>42937</v>
      </c>
      <c r="B929">
        <v>271.68400000000003</v>
      </c>
      <c r="C929">
        <v>250.01</v>
      </c>
      <c r="D929">
        <f t="shared" si="0"/>
        <v>99.906999999999996</v>
      </c>
      <c r="E929">
        <v>196.785</v>
      </c>
      <c r="F929">
        <v>167.52</v>
      </c>
      <c r="G929">
        <v>246.93100000000001</v>
      </c>
      <c r="H929">
        <v>205.96199999999999</v>
      </c>
      <c r="I929">
        <v>234.93799999999999</v>
      </c>
      <c r="L929">
        <v>0.99907000000000001</v>
      </c>
    </row>
    <row r="930" spans="1:12" x14ac:dyDescent="0.25">
      <c r="A930" s="12">
        <v>42940</v>
      </c>
      <c r="B930">
        <v>271.553</v>
      </c>
      <c r="C930">
        <v>249.96600000000001</v>
      </c>
      <c r="D930">
        <f t="shared" si="0"/>
        <v>99.524999999999991</v>
      </c>
      <c r="E930">
        <v>196.511</v>
      </c>
      <c r="F930">
        <v>167.49700000000001</v>
      </c>
      <c r="G930">
        <v>246.74600000000001</v>
      </c>
      <c r="H930">
        <v>205.95400000000001</v>
      </c>
      <c r="I930">
        <v>234.464</v>
      </c>
      <c r="L930">
        <v>0.99524999999999997</v>
      </c>
    </row>
    <row r="931" spans="1:12" x14ac:dyDescent="0.25">
      <c r="A931" s="12">
        <v>42941</v>
      </c>
      <c r="B931">
        <v>271.29399999999998</v>
      </c>
      <c r="C931">
        <v>250.054</v>
      </c>
      <c r="D931">
        <f t="shared" si="0"/>
        <v>99.47399999999999</v>
      </c>
      <c r="E931">
        <v>196.17099999999999</v>
      </c>
      <c r="F931">
        <v>167.607</v>
      </c>
      <c r="G931">
        <v>246.459</v>
      </c>
      <c r="H931">
        <v>206.05199999999999</v>
      </c>
      <c r="I931">
        <v>234.42</v>
      </c>
      <c r="L931">
        <v>0.99473999999999996</v>
      </c>
    </row>
    <row r="932" spans="1:12" x14ac:dyDescent="0.25">
      <c r="A932" s="12">
        <v>42942</v>
      </c>
      <c r="B932">
        <v>270.97300000000001</v>
      </c>
      <c r="C932">
        <v>249.91300000000001</v>
      </c>
      <c r="D932">
        <f t="shared" si="0"/>
        <v>99.346000000000004</v>
      </c>
      <c r="E932">
        <v>196.14400000000001</v>
      </c>
      <c r="F932">
        <v>167.56700000000001</v>
      </c>
      <c r="G932">
        <v>245.93799999999999</v>
      </c>
      <c r="H932">
        <v>205.97800000000001</v>
      </c>
      <c r="I932">
        <v>234.447</v>
      </c>
      <c r="L932">
        <v>0.99346000000000001</v>
      </c>
    </row>
    <row r="933" spans="1:12" x14ac:dyDescent="0.25">
      <c r="A933" s="12">
        <v>42943</v>
      </c>
      <c r="B933">
        <v>270.96800000000002</v>
      </c>
      <c r="C933">
        <v>249.749</v>
      </c>
      <c r="D933">
        <f t="shared" si="0"/>
        <v>99.341000000000008</v>
      </c>
      <c r="E933">
        <v>196.31200000000001</v>
      </c>
      <c r="F933">
        <v>167.267</v>
      </c>
      <c r="G933">
        <v>245.858</v>
      </c>
      <c r="H933">
        <v>205.84</v>
      </c>
      <c r="I933">
        <v>234.685</v>
      </c>
      <c r="L933">
        <v>0.99341000000000002</v>
      </c>
    </row>
    <row r="934" spans="1:12" x14ac:dyDescent="0.25">
      <c r="A934" s="12">
        <v>42944</v>
      </c>
      <c r="B934">
        <v>271.01600000000002</v>
      </c>
      <c r="C934">
        <v>249.756</v>
      </c>
      <c r="D934">
        <f t="shared" si="0"/>
        <v>99.416000000000011</v>
      </c>
      <c r="E934">
        <v>196.51300000000001</v>
      </c>
      <c r="F934">
        <v>167.369</v>
      </c>
      <c r="G934">
        <v>246.10400000000001</v>
      </c>
      <c r="H934">
        <v>205.82300000000001</v>
      </c>
      <c r="I934">
        <v>234.83799999999999</v>
      </c>
      <c r="L934">
        <v>0.99416000000000004</v>
      </c>
    </row>
    <row r="935" spans="1:12" x14ac:dyDescent="0.25">
      <c r="A935" s="12">
        <v>42947</v>
      </c>
      <c r="B935">
        <v>270.88499999999999</v>
      </c>
      <c r="C935">
        <v>249.72399999999999</v>
      </c>
      <c r="D935">
        <f t="shared" si="0"/>
        <v>99.292000000000002</v>
      </c>
      <c r="E935">
        <v>196.64099999999999</v>
      </c>
      <c r="F935">
        <v>167.548</v>
      </c>
      <c r="G935">
        <v>246.13499999999999</v>
      </c>
      <c r="H935">
        <v>205.92</v>
      </c>
      <c r="I935">
        <v>234.16</v>
      </c>
      <c r="L935">
        <v>0.99292000000000002</v>
      </c>
    </row>
    <row r="936" spans="1:12" x14ac:dyDescent="0.25">
      <c r="A936" s="12">
        <v>42948</v>
      </c>
      <c r="B936">
        <v>270.77100000000002</v>
      </c>
      <c r="C936">
        <v>249.81899999999999</v>
      </c>
      <c r="D936">
        <f t="shared" si="0"/>
        <v>99.021000000000001</v>
      </c>
      <c r="E936">
        <v>195.78</v>
      </c>
      <c r="F936">
        <v>167.33</v>
      </c>
      <c r="G936">
        <v>245.6</v>
      </c>
      <c r="H936">
        <v>205.96700000000001</v>
      </c>
      <c r="I936">
        <v>234.06800000000001</v>
      </c>
      <c r="L936">
        <v>0.99021000000000003</v>
      </c>
    </row>
    <row r="937" spans="1:12" x14ac:dyDescent="0.25">
      <c r="A937" s="12">
        <v>42949</v>
      </c>
      <c r="B937">
        <v>270.72300000000001</v>
      </c>
      <c r="C937">
        <v>249.73599999999999</v>
      </c>
      <c r="D937">
        <f t="shared" si="0"/>
        <v>98.86</v>
      </c>
      <c r="E937">
        <v>195.887</v>
      </c>
      <c r="F937">
        <v>167.66</v>
      </c>
      <c r="G937">
        <v>245.59299999999999</v>
      </c>
      <c r="H937">
        <v>205.928</v>
      </c>
      <c r="I937">
        <v>234.381</v>
      </c>
      <c r="L937">
        <v>0.98860000000000003</v>
      </c>
    </row>
    <row r="938" spans="1:12" x14ac:dyDescent="0.25">
      <c r="A938" s="12">
        <v>42950</v>
      </c>
      <c r="B938">
        <v>271.01499999999999</v>
      </c>
      <c r="C938">
        <v>249.959</v>
      </c>
      <c r="D938">
        <f t="shared" si="0"/>
        <v>99.025999999999996</v>
      </c>
      <c r="E938">
        <v>196.34800000000001</v>
      </c>
      <c r="F938">
        <v>167.91900000000001</v>
      </c>
      <c r="G938">
        <v>245.59</v>
      </c>
      <c r="H938">
        <v>206.00200000000001</v>
      </c>
      <c r="I938">
        <v>234.155</v>
      </c>
      <c r="L938">
        <v>0.99026000000000003</v>
      </c>
    </row>
    <row r="939" spans="1:12" x14ac:dyDescent="0.25">
      <c r="A939" s="12">
        <v>42951</v>
      </c>
      <c r="B939">
        <v>271.05799999999999</v>
      </c>
      <c r="C939">
        <v>250.07900000000001</v>
      </c>
      <c r="D939">
        <f t="shared" si="0"/>
        <v>98.905000000000001</v>
      </c>
      <c r="E939">
        <v>196.00399999999999</v>
      </c>
      <c r="F939">
        <v>167.95400000000001</v>
      </c>
      <c r="G939">
        <v>245.43899999999999</v>
      </c>
      <c r="H939">
        <v>206.02699999999999</v>
      </c>
      <c r="I939">
        <v>234.21199999999999</v>
      </c>
      <c r="L939">
        <v>0.98904999999999998</v>
      </c>
    </row>
    <row r="940" spans="1:12" x14ac:dyDescent="0.25">
      <c r="A940" s="12">
        <v>42954</v>
      </c>
      <c r="B940">
        <v>270.98599999999999</v>
      </c>
      <c r="C940">
        <v>250.17599999999999</v>
      </c>
      <c r="D940">
        <f t="shared" si="0"/>
        <v>98.921000000000006</v>
      </c>
      <c r="E940">
        <v>196.01499999999999</v>
      </c>
      <c r="F940">
        <v>168.09899999999999</v>
      </c>
      <c r="G940">
        <v>245.333</v>
      </c>
      <c r="H940">
        <v>206.11099999999999</v>
      </c>
      <c r="I940">
        <v>234.81299999999999</v>
      </c>
      <c r="L940">
        <v>0.98921000000000003</v>
      </c>
    </row>
    <row r="941" spans="1:12" x14ac:dyDescent="0.25">
      <c r="A941" s="12">
        <v>42955</v>
      </c>
      <c r="B941">
        <v>271.17500000000001</v>
      </c>
      <c r="C941">
        <v>250.256</v>
      </c>
      <c r="D941">
        <f t="shared" si="0"/>
        <v>99.266000000000005</v>
      </c>
      <c r="E941">
        <v>196.66</v>
      </c>
      <c r="F941">
        <v>168.18299999999999</v>
      </c>
      <c r="G941">
        <v>245.80199999999999</v>
      </c>
      <c r="H941">
        <v>206.13200000000001</v>
      </c>
      <c r="I941">
        <v>234.97200000000001</v>
      </c>
      <c r="L941">
        <v>0.99265999999999999</v>
      </c>
    </row>
    <row r="942" spans="1:12" x14ac:dyDescent="0.25">
      <c r="A942" s="12">
        <v>42956</v>
      </c>
      <c r="B942">
        <v>271.24400000000003</v>
      </c>
      <c r="C942">
        <v>250.24</v>
      </c>
      <c r="D942">
        <f t="shared" si="0"/>
        <v>99.231999999999999</v>
      </c>
      <c r="E942">
        <v>196.61099999999999</v>
      </c>
      <c r="F942">
        <v>168.18899999999999</v>
      </c>
      <c r="G942">
        <v>245.887</v>
      </c>
      <c r="H942">
        <v>206.11199999999999</v>
      </c>
      <c r="I942">
        <v>235.303</v>
      </c>
      <c r="L942">
        <v>0.99231999999999998</v>
      </c>
    </row>
    <row r="943" spans="1:12" x14ac:dyDescent="0.25">
      <c r="A943" s="12">
        <v>42957</v>
      </c>
      <c r="B943">
        <v>271.298</v>
      </c>
      <c r="C943">
        <v>250.357</v>
      </c>
      <c r="D943">
        <f t="shared" si="0"/>
        <v>99.387</v>
      </c>
      <c r="E943">
        <v>196.916</v>
      </c>
      <c r="F943">
        <v>168.203</v>
      </c>
      <c r="G943">
        <v>246.06</v>
      </c>
      <c r="H943">
        <v>206.108</v>
      </c>
      <c r="I943">
        <v>234.863</v>
      </c>
      <c r="L943">
        <v>0.99387000000000003</v>
      </c>
    </row>
    <row r="944" spans="1:12" x14ac:dyDescent="0.25">
      <c r="A944" s="12">
        <v>42958</v>
      </c>
      <c r="B944">
        <v>271.13200000000001</v>
      </c>
      <c r="C944">
        <v>250.37200000000001</v>
      </c>
      <c r="D944">
        <f t="shared" si="0"/>
        <v>99.311000000000007</v>
      </c>
      <c r="E944">
        <v>196.35900000000001</v>
      </c>
      <c r="F944">
        <v>168.21600000000001</v>
      </c>
      <c r="G944">
        <v>245.745</v>
      </c>
      <c r="H944">
        <v>206.03700000000001</v>
      </c>
      <c r="I944">
        <v>234.31</v>
      </c>
      <c r="L944">
        <v>0.99311000000000005</v>
      </c>
    </row>
    <row r="945" spans="1:12" x14ac:dyDescent="0.25">
      <c r="A945" s="12">
        <v>42961</v>
      </c>
      <c r="B945">
        <v>270.74200000000002</v>
      </c>
      <c r="C945">
        <v>250.30600000000001</v>
      </c>
      <c r="D945">
        <f t="shared" si="0"/>
        <v>98.808999999999997</v>
      </c>
      <c r="E945">
        <v>195.65199999999999</v>
      </c>
      <c r="F945">
        <v>168.02</v>
      </c>
      <c r="G945">
        <v>245.023</v>
      </c>
      <c r="H945">
        <v>205.977</v>
      </c>
      <c r="I945">
        <v>233.69</v>
      </c>
      <c r="L945">
        <v>0.98809000000000002</v>
      </c>
    </row>
    <row r="946" spans="1:12" x14ac:dyDescent="0.25">
      <c r="A946" s="12">
        <v>42962</v>
      </c>
      <c r="B946">
        <v>270.24099999999999</v>
      </c>
      <c r="C946">
        <v>250.232</v>
      </c>
      <c r="D946">
        <f t="shared" si="0"/>
        <v>98.685000000000002</v>
      </c>
      <c r="E946">
        <v>194.893</v>
      </c>
      <c r="F946">
        <v>167.95500000000001</v>
      </c>
      <c r="G946">
        <v>244.071</v>
      </c>
      <c r="H946">
        <v>205.964</v>
      </c>
      <c r="I946">
        <v>234.298</v>
      </c>
      <c r="L946">
        <v>0.98685</v>
      </c>
    </row>
    <row r="947" spans="1:12" x14ac:dyDescent="0.25">
      <c r="A947" s="12">
        <v>42963</v>
      </c>
      <c r="B947">
        <v>270.589</v>
      </c>
      <c r="C947">
        <v>250.24</v>
      </c>
      <c r="D947">
        <f t="shared" si="0"/>
        <v>98.959000000000003</v>
      </c>
      <c r="E947">
        <v>195.85499999999999</v>
      </c>
      <c r="F947">
        <v>168.12</v>
      </c>
      <c r="G947">
        <v>244.815</v>
      </c>
      <c r="H947">
        <v>205.98500000000001</v>
      </c>
      <c r="I947">
        <v>234.45699999999999</v>
      </c>
      <c r="L947">
        <v>0.98958999999999997</v>
      </c>
    </row>
    <row r="948" spans="1:12" x14ac:dyDescent="0.25">
      <c r="A948" s="12">
        <v>42964</v>
      </c>
      <c r="B948">
        <v>270.75700000000001</v>
      </c>
      <c r="C948">
        <v>250.18100000000001</v>
      </c>
      <c r="D948">
        <f t="shared" si="0"/>
        <v>99.141000000000005</v>
      </c>
      <c r="E948">
        <v>195.96100000000001</v>
      </c>
      <c r="F948">
        <v>168.06800000000001</v>
      </c>
      <c r="G948">
        <v>244.86500000000001</v>
      </c>
      <c r="H948">
        <v>205.96700000000001</v>
      </c>
      <c r="I948">
        <v>234.88200000000001</v>
      </c>
      <c r="L948">
        <v>0.99141000000000001</v>
      </c>
    </row>
    <row r="949" spans="1:12" x14ac:dyDescent="0.25">
      <c r="A949" s="12">
        <v>42965</v>
      </c>
      <c r="B949">
        <v>271.10399999999998</v>
      </c>
      <c r="C949">
        <v>250.32599999999999</v>
      </c>
      <c r="D949">
        <f t="shared" si="0"/>
        <v>99.257999999999996</v>
      </c>
      <c r="E949">
        <v>196.49</v>
      </c>
      <c r="F949">
        <v>168.131</v>
      </c>
      <c r="G949">
        <v>245.58</v>
      </c>
      <c r="H949">
        <v>206.08</v>
      </c>
      <c r="I949">
        <v>234.75399999999999</v>
      </c>
      <c r="L949">
        <v>0.99258000000000002</v>
      </c>
    </row>
    <row r="950" spans="1:12" x14ac:dyDescent="0.25">
      <c r="A950" s="12">
        <v>42968</v>
      </c>
      <c r="B950">
        <v>270.98700000000002</v>
      </c>
      <c r="C950">
        <v>250.41399999999999</v>
      </c>
      <c r="D950">
        <f t="shared" si="0"/>
        <v>98.75</v>
      </c>
      <c r="E950">
        <v>196.029</v>
      </c>
      <c r="F950">
        <v>168.14699999999999</v>
      </c>
      <c r="G950">
        <v>245.45</v>
      </c>
      <c r="H950">
        <v>206.14599999999999</v>
      </c>
      <c r="I950">
        <v>234.517</v>
      </c>
      <c r="L950">
        <v>0.98750000000000004</v>
      </c>
    </row>
    <row r="951" spans="1:12" x14ac:dyDescent="0.25">
      <c r="A951" s="12">
        <v>42969</v>
      </c>
      <c r="B951">
        <v>270.56900000000002</v>
      </c>
      <c r="C951">
        <v>250.45500000000001</v>
      </c>
      <c r="D951">
        <f t="shared" si="0"/>
        <v>98.584000000000003</v>
      </c>
      <c r="E951">
        <v>195.43199999999999</v>
      </c>
      <c r="F951">
        <v>168.191</v>
      </c>
      <c r="G951">
        <v>244.62200000000001</v>
      </c>
      <c r="H951">
        <v>206.15299999999999</v>
      </c>
      <c r="I951">
        <v>234.20699999999999</v>
      </c>
      <c r="L951">
        <v>0.98584000000000005</v>
      </c>
    </row>
    <row r="952" spans="1:12" x14ac:dyDescent="0.25">
      <c r="A952" s="12">
        <v>42970</v>
      </c>
      <c r="B952">
        <v>270.55900000000003</v>
      </c>
      <c r="C952">
        <v>250.44</v>
      </c>
      <c r="D952">
        <f t="shared" si="0"/>
        <v>98.499000000000009</v>
      </c>
      <c r="E952">
        <v>195.006</v>
      </c>
      <c r="F952">
        <v>168.11199999999999</v>
      </c>
      <c r="G952">
        <v>244.624</v>
      </c>
      <c r="H952">
        <v>206.23400000000001</v>
      </c>
      <c r="I952">
        <v>234.73599999999999</v>
      </c>
      <c r="L952">
        <v>0.98499000000000003</v>
      </c>
    </row>
    <row r="953" spans="1:12" x14ac:dyDescent="0.25">
      <c r="A953" s="12">
        <v>42971</v>
      </c>
      <c r="B953">
        <v>270.76299999999998</v>
      </c>
      <c r="C953">
        <v>250.39500000000001</v>
      </c>
      <c r="D953">
        <f t="shared" si="0"/>
        <v>98.819000000000003</v>
      </c>
      <c r="E953">
        <v>195.91399999999999</v>
      </c>
      <c r="F953">
        <v>168.22</v>
      </c>
      <c r="G953">
        <v>245.16800000000001</v>
      </c>
      <c r="H953">
        <v>206.215</v>
      </c>
      <c r="I953">
        <v>234.57900000000001</v>
      </c>
      <c r="L953">
        <v>0.98819000000000001</v>
      </c>
    </row>
    <row r="954" spans="1:12" x14ac:dyDescent="0.25">
      <c r="A954" s="12">
        <v>42972</v>
      </c>
      <c r="B954">
        <v>270.851</v>
      </c>
      <c r="C954">
        <v>250.48099999999999</v>
      </c>
      <c r="D954">
        <f t="shared" si="0"/>
        <v>98.646999999999991</v>
      </c>
      <c r="E954">
        <v>195.60499999999999</v>
      </c>
      <c r="F954">
        <v>168.16499999999999</v>
      </c>
      <c r="G954">
        <v>245.06899999999999</v>
      </c>
      <c r="H954">
        <v>206.239</v>
      </c>
      <c r="I954">
        <v>234.68199999999999</v>
      </c>
      <c r="L954">
        <v>0.98646999999999996</v>
      </c>
    </row>
    <row r="955" spans="1:12" x14ac:dyDescent="0.25">
      <c r="A955" s="12">
        <v>42975</v>
      </c>
      <c r="B955">
        <v>270.83199999999999</v>
      </c>
      <c r="C955">
        <v>250.44900000000001</v>
      </c>
      <c r="D955">
        <f t="shared" si="0"/>
        <v>98.61</v>
      </c>
      <c r="E955">
        <v>195.60900000000001</v>
      </c>
      <c r="F955">
        <v>168.26300000000001</v>
      </c>
      <c r="G955">
        <v>245.24199999999999</v>
      </c>
      <c r="H955">
        <v>206.261</v>
      </c>
      <c r="I955">
        <v>234.58799999999999</v>
      </c>
      <c r="L955">
        <v>0.98609999999999998</v>
      </c>
    </row>
    <row r="956" spans="1:12" x14ac:dyDescent="0.25">
      <c r="A956" s="12">
        <v>42976</v>
      </c>
      <c r="B956">
        <v>270.71199999999999</v>
      </c>
      <c r="C956">
        <v>250.34</v>
      </c>
      <c r="D956">
        <f t="shared" si="0"/>
        <v>98.429000000000002</v>
      </c>
      <c r="E956">
        <v>195.58799999999999</v>
      </c>
      <c r="F956">
        <v>168.202</v>
      </c>
      <c r="G956">
        <v>245.18100000000001</v>
      </c>
      <c r="H956">
        <v>206.30799999999999</v>
      </c>
      <c r="I956">
        <v>234.14</v>
      </c>
      <c r="L956">
        <v>0.98429</v>
      </c>
    </row>
    <row r="957" spans="1:12" x14ac:dyDescent="0.25">
      <c r="A957" s="12">
        <v>42977</v>
      </c>
      <c r="B957">
        <v>270.16699999999997</v>
      </c>
      <c r="C957">
        <v>250.339</v>
      </c>
      <c r="D957">
        <f t="shared" si="0"/>
        <v>98.152000000000001</v>
      </c>
      <c r="E957">
        <v>195.06800000000001</v>
      </c>
      <c r="F957">
        <v>168.13200000000001</v>
      </c>
      <c r="G957">
        <v>244.874</v>
      </c>
      <c r="H957">
        <v>206.34</v>
      </c>
      <c r="I957">
        <v>233.44900000000001</v>
      </c>
      <c r="L957">
        <v>0.98151999999999995</v>
      </c>
    </row>
    <row r="958" spans="1:12" x14ac:dyDescent="0.25">
      <c r="A958" s="12">
        <v>42978</v>
      </c>
      <c r="B958">
        <v>269.78300000000002</v>
      </c>
      <c r="C958">
        <v>250.524</v>
      </c>
      <c r="D958">
        <f t="shared" si="0"/>
        <v>97.980999999999995</v>
      </c>
      <c r="E958">
        <v>194.60400000000001</v>
      </c>
      <c r="F958">
        <v>168.155</v>
      </c>
      <c r="G958">
        <v>244.22900000000001</v>
      </c>
      <c r="H958">
        <v>206.44200000000001</v>
      </c>
      <c r="I958">
        <v>234.04300000000001</v>
      </c>
      <c r="L958">
        <v>0.97980999999999996</v>
      </c>
    </row>
    <row r="959" spans="1:12" x14ac:dyDescent="0.25">
      <c r="A959" s="12">
        <v>42979</v>
      </c>
      <c r="B959">
        <v>270.45699999999999</v>
      </c>
      <c r="C959">
        <v>250.65</v>
      </c>
      <c r="D959">
        <f t="shared" si="0"/>
        <v>98.494</v>
      </c>
      <c r="E959">
        <v>195.32300000000001</v>
      </c>
      <c r="F959">
        <v>168.34100000000001</v>
      </c>
      <c r="G959">
        <v>244.87200000000001</v>
      </c>
      <c r="H959">
        <v>206.45599999999999</v>
      </c>
      <c r="I959">
        <v>234.59700000000001</v>
      </c>
      <c r="L959">
        <v>0.98494000000000004</v>
      </c>
    </row>
    <row r="960" spans="1:12" x14ac:dyDescent="0.25">
      <c r="A960" s="12">
        <v>42982</v>
      </c>
      <c r="B960">
        <v>270.92500000000001</v>
      </c>
      <c r="C960">
        <v>250.697</v>
      </c>
      <c r="D960">
        <f t="shared" si="0"/>
        <v>98.697999999999993</v>
      </c>
      <c r="E960">
        <v>196.06100000000001</v>
      </c>
      <c r="F960">
        <v>168.53700000000001</v>
      </c>
      <c r="G960">
        <v>245.53399999999999</v>
      </c>
      <c r="H960">
        <v>206.49100000000001</v>
      </c>
      <c r="I960">
        <v>234.83500000000001</v>
      </c>
      <c r="L960">
        <v>0.98697999999999997</v>
      </c>
    </row>
    <row r="961" spans="1:12" x14ac:dyDescent="0.25">
      <c r="A961" s="12">
        <v>42983</v>
      </c>
      <c r="B961">
        <v>271.14100000000002</v>
      </c>
      <c r="C961">
        <v>250.7</v>
      </c>
      <c r="D961">
        <f t="shared" si="0"/>
        <v>98.798000000000002</v>
      </c>
      <c r="E961">
        <v>196.47900000000001</v>
      </c>
      <c r="F961">
        <v>168.53100000000001</v>
      </c>
      <c r="G961">
        <v>246.13399999999999</v>
      </c>
      <c r="H961">
        <v>206.58</v>
      </c>
      <c r="I961">
        <v>234.5</v>
      </c>
      <c r="L961">
        <v>0.98797999999999997</v>
      </c>
    </row>
    <row r="962" spans="1:12" x14ac:dyDescent="0.25">
      <c r="A962" s="12">
        <v>42984</v>
      </c>
      <c r="B962">
        <v>271.154</v>
      </c>
      <c r="C962">
        <v>250.785</v>
      </c>
      <c r="D962">
        <f t="shared" si="0"/>
        <v>98.753</v>
      </c>
      <c r="E962">
        <v>195.94800000000001</v>
      </c>
      <c r="F962">
        <v>168.458</v>
      </c>
      <c r="G962">
        <v>245.95400000000001</v>
      </c>
      <c r="H962">
        <v>206.61600000000001</v>
      </c>
      <c r="I962">
        <v>234.447</v>
      </c>
      <c r="L962">
        <v>0.98753000000000002</v>
      </c>
    </row>
    <row r="963" spans="1:12" x14ac:dyDescent="0.25">
      <c r="A963" s="12">
        <v>42985</v>
      </c>
      <c r="B963">
        <v>271.19200000000001</v>
      </c>
      <c r="C963">
        <v>251.05</v>
      </c>
      <c r="D963">
        <f t="shared" si="0"/>
        <v>98.52300000000001</v>
      </c>
      <c r="E963">
        <v>195.976</v>
      </c>
      <c r="F963">
        <v>168.71299999999999</v>
      </c>
      <c r="G963">
        <v>245.98099999999999</v>
      </c>
      <c r="H963">
        <v>206.74</v>
      </c>
      <c r="I963">
        <v>234.40299999999999</v>
      </c>
      <c r="L963">
        <v>0.98523000000000005</v>
      </c>
    </row>
    <row r="964" spans="1:12" x14ac:dyDescent="0.25">
      <c r="A964" s="12">
        <v>42986</v>
      </c>
      <c r="B964">
        <v>271.13</v>
      </c>
      <c r="C964">
        <v>250.93700000000001</v>
      </c>
      <c r="D964">
        <f t="shared" si="0"/>
        <v>98.474999999999994</v>
      </c>
      <c r="E964">
        <v>195.875</v>
      </c>
      <c r="F964">
        <v>168.64099999999999</v>
      </c>
      <c r="G964">
        <v>245.803</v>
      </c>
      <c r="H964">
        <v>206.76400000000001</v>
      </c>
      <c r="I964">
        <v>234.518</v>
      </c>
      <c r="L964">
        <v>0.98475000000000001</v>
      </c>
    </row>
    <row r="965" spans="1:12" x14ac:dyDescent="0.25">
      <c r="A965" s="12">
        <v>42989</v>
      </c>
      <c r="B965">
        <v>271.34100000000001</v>
      </c>
      <c r="C965">
        <v>251.03399999999999</v>
      </c>
      <c r="D965">
        <f t="shared" si="0"/>
        <v>98.385999999999996</v>
      </c>
      <c r="E965">
        <v>195.93600000000001</v>
      </c>
      <c r="F965">
        <v>168.74199999999999</v>
      </c>
      <c r="G965">
        <v>245.94300000000001</v>
      </c>
      <c r="H965">
        <v>206.85</v>
      </c>
      <c r="I965">
        <v>234.38499999999999</v>
      </c>
      <c r="L965">
        <v>0.98385999999999996</v>
      </c>
    </row>
    <row r="966" spans="1:12" x14ac:dyDescent="0.25">
      <c r="A966" s="12">
        <v>42990</v>
      </c>
      <c r="B966">
        <v>271.45499999999998</v>
      </c>
      <c r="C966">
        <v>251.108</v>
      </c>
      <c r="D966">
        <f t="shared" si="0"/>
        <v>98.429999999999993</v>
      </c>
      <c r="E966">
        <v>195.91399999999999</v>
      </c>
      <c r="F966">
        <v>168.66499999999999</v>
      </c>
      <c r="G966">
        <v>246.08799999999999</v>
      </c>
      <c r="H966">
        <v>206.94800000000001</v>
      </c>
      <c r="I966">
        <v>235.142</v>
      </c>
      <c r="L966">
        <v>0.98429999999999995</v>
      </c>
    </row>
    <row r="967" spans="1:12" x14ac:dyDescent="0.25">
      <c r="A967" s="12">
        <v>42991</v>
      </c>
      <c r="B967">
        <v>271.93099999999998</v>
      </c>
      <c r="C967">
        <v>250.96100000000001</v>
      </c>
      <c r="D967">
        <f t="shared" si="0"/>
        <v>98.878999999999991</v>
      </c>
      <c r="E967">
        <v>196.833</v>
      </c>
      <c r="F967">
        <v>168.642</v>
      </c>
      <c r="G967">
        <v>246.79</v>
      </c>
      <c r="H967">
        <v>206.928</v>
      </c>
      <c r="I967">
        <v>235.52600000000001</v>
      </c>
      <c r="L967">
        <v>0.98878999999999995</v>
      </c>
    </row>
    <row r="968" spans="1:12" x14ac:dyDescent="0.25">
      <c r="A968" s="12">
        <v>42992</v>
      </c>
      <c r="B968">
        <v>272.08499999999998</v>
      </c>
      <c r="C968">
        <v>250.745</v>
      </c>
      <c r="D968">
        <f t="shared" si="0"/>
        <v>98.933000000000007</v>
      </c>
      <c r="E968">
        <v>197.00399999999999</v>
      </c>
      <c r="F968">
        <v>168.404</v>
      </c>
      <c r="G968">
        <v>246.93100000000001</v>
      </c>
      <c r="H968">
        <v>206.755</v>
      </c>
      <c r="I968">
        <v>235.50299999999999</v>
      </c>
      <c r="L968">
        <v>0.98933000000000004</v>
      </c>
    </row>
    <row r="969" spans="1:12" x14ac:dyDescent="0.25">
      <c r="A969" s="12">
        <v>42993</v>
      </c>
      <c r="B969">
        <v>272.142</v>
      </c>
      <c r="C969">
        <v>250.81100000000001</v>
      </c>
      <c r="D969">
        <f t="shared" si="0"/>
        <v>99.073999999999998</v>
      </c>
      <c r="E969">
        <v>197.17500000000001</v>
      </c>
      <c r="F969">
        <v>168.483</v>
      </c>
      <c r="G969">
        <v>247.024</v>
      </c>
      <c r="H969">
        <v>206.732</v>
      </c>
      <c r="I969">
        <v>235.697</v>
      </c>
      <c r="L969">
        <v>0.99073999999999995</v>
      </c>
    </row>
    <row r="970" spans="1:12" x14ac:dyDescent="0.25">
      <c r="A970" s="12">
        <v>42996</v>
      </c>
      <c r="B970">
        <v>272.08499999999998</v>
      </c>
      <c r="C970">
        <v>250.726</v>
      </c>
      <c r="D970">
        <f t="shared" si="0"/>
        <v>99.012</v>
      </c>
      <c r="E970">
        <v>196.94</v>
      </c>
      <c r="F970">
        <v>168.14599999999999</v>
      </c>
      <c r="G970">
        <v>246.86</v>
      </c>
      <c r="H970">
        <v>206.63300000000001</v>
      </c>
      <c r="I970">
        <v>235.334</v>
      </c>
      <c r="L970">
        <v>0.99012</v>
      </c>
    </row>
    <row r="971" spans="1:12" x14ac:dyDescent="0.25">
      <c r="A971" s="12">
        <v>42997</v>
      </c>
      <c r="B971">
        <v>272.089</v>
      </c>
      <c r="C971">
        <v>250.76</v>
      </c>
      <c r="D971">
        <f t="shared" si="0"/>
        <v>98.823999999999998</v>
      </c>
      <c r="E971">
        <v>196.649</v>
      </c>
      <c r="F971">
        <v>167.99799999999999</v>
      </c>
      <c r="G971">
        <v>246.696</v>
      </c>
      <c r="H971">
        <v>206.70500000000001</v>
      </c>
      <c r="I971">
        <v>235.65799999999999</v>
      </c>
      <c r="L971">
        <v>0.98824000000000001</v>
      </c>
    </row>
    <row r="972" spans="1:12" x14ac:dyDescent="0.25">
      <c r="A972" s="12">
        <v>42998</v>
      </c>
      <c r="B972">
        <v>272.072</v>
      </c>
      <c r="C972">
        <v>250.67</v>
      </c>
      <c r="D972">
        <f t="shared" si="0"/>
        <v>98.866</v>
      </c>
      <c r="E972">
        <v>196.96700000000001</v>
      </c>
      <c r="F972">
        <v>167.935</v>
      </c>
      <c r="G972">
        <v>246.79400000000001</v>
      </c>
      <c r="H972">
        <v>206.62</v>
      </c>
      <c r="I972">
        <v>235.56200000000001</v>
      </c>
      <c r="L972">
        <v>0.98865999999999998</v>
      </c>
    </row>
    <row r="973" spans="1:12" x14ac:dyDescent="0.25">
      <c r="A973" s="12">
        <v>42999</v>
      </c>
      <c r="B973">
        <v>271.976</v>
      </c>
      <c r="C973">
        <v>250.59200000000001</v>
      </c>
      <c r="D973">
        <f t="shared" si="0"/>
        <v>98.88</v>
      </c>
      <c r="E973">
        <v>196.89</v>
      </c>
      <c r="F973">
        <v>167.887</v>
      </c>
      <c r="G973">
        <v>246.679</v>
      </c>
      <c r="H973">
        <v>206.595</v>
      </c>
      <c r="I973">
        <v>235.59200000000001</v>
      </c>
      <c r="L973">
        <v>0.98880000000000001</v>
      </c>
    </row>
    <row r="974" spans="1:12" x14ac:dyDescent="0.25">
      <c r="A974" s="12">
        <v>43000</v>
      </c>
      <c r="B974">
        <v>272.173</v>
      </c>
      <c r="C974">
        <v>250.62200000000001</v>
      </c>
      <c r="D974">
        <f t="shared" si="0"/>
        <v>98.97</v>
      </c>
      <c r="E974">
        <v>196.874</v>
      </c>
      <c r="F974">
        <v>167.874</v>
      </c>
      <c r="G974">
        <v>246.83600000000001</v>
      </c>
      <c r="H974">
        <v>206.65600000000001</v>
      </c>
      <c r="I974">
        <v>235.749</v>
      </c>
      <c r="L974">
        <v>0.98970000000000002</v>
      </c>
    </row>
    <row r="975" spans="1:12" x14ac:dyDescent="0.25">
      <c r="A975" s="12">
        <v>43003</v>
      </c>
      <c r="B975">
        <v>272.178</v>
      </c>
      <c r="C975">
        <v>250.54599999999999</v>
      </c>
      <c r="D975">
        <f t="shared" si="0"/>
        <v>98.962000000000003</v>
      </c>
      <c r="E975">
        <v>196.857</v>
      </c>
      <c r="F975">
        <v>167.77699999999999</v>
      </c>
      <c r="G975">
        <v>246.685</v>
      </c>
      <c r="H975">
        <v>206.56700000000001</v>
      </c>
      <c r="I975">
        <v>235.56</v>
      </c>
      <c r="L975">
        <v>0.98962000000000006</v>
      </c>
    </row>
    <row r="976" spans="1:12" x14ac:dyDescent="0.25">
      <c r="A976" s="12">
        <v>43004</v>
      </c>
      <c r="B976">
        <v>272.43900000000002</v>
      </c>
      <c r="C976">
        <v>250.71</v>
      </c>
      <c r="D976">
        <f t="shared" si="0"/>
        <v>99.031999999999996</v>
      </c>
      <c r="E976">
        <v>196.755</v>
      </c>
      <c r="F976">
        <v>167.81800000000001</v>
      </c>
      <c r="G976">
        <v>246.86699999999999</v>
      </c>
      <c r="H976">
        <v>206.667</v>
      </c>
      <c r="I976">
        <v>235.65899999999999</v>
      </c>
      <c r="L976">
        <v>0.99031999999999998</v>
      </c>
    </row>
    <row r="977" spans="1:12" x14ac:dyDescent="0.25">
      <c r="A977" s="12">
        <v>43005</v>
      </c>
      <c r="B977">
        <v>272.673</v>
      </c>
      <c r="C977">
        <v>250.97399999999999</v>
      </c>
      <c r="D977">
        <f t="shared" si="0"/>
        <v>99.484999999999999</v>
      </c>
      <c r="E977">
        <v>196.899</v>
      </c>
      <c r="F977">
        <v>168.01900000000001</v>
      </c>
      <c r="G977">
        <v>247.369</v>
      </c>
      <c r="H977">
        <v>206.75700000000001</v>
      </c>
      <c r="I977">
        <v>235.916</v>
      </c>
      <c r="L977">
        <v>0.99485000000000001</v>
      </c>
    </row>
    <row r="978" spans="1:12" x14ac:dyDescent="0.25">
      <c r="A978" s="12">
        <v>43006</v>
      </c>
      <c r="B978">
        <v>272.61700000000002</v>
      </c>
      <c r="C978">
        <v>250.851</v>
      </c>
      <c r="D978">
        <f t="shared" si="0"/>
        <v>99.691000000000003</v>
      </c>
      <c r="E978">
        <v>197.14599999999999</v>
      </c>
      <c r="F978">
        <v>168.15600000000001</v>
      </c>
      <c r="G978">
        <v>247.37200000000001</v>
      </c>
      <c r="H978">
        <v>206.619</v>
      </c>
      <c r="I978">
        <v>235.92599999999999</v>
      </c>
      <c r="L978">
        <v>0.99690999999999996</v>
      </c>
    </row>
    <row r="979" spans="1:12" x14ac:dyDescent="0.25">
      <c r="A979" s="12">
        <v>43007</v>
      </c>
      <c r="B979">
        <v>272.601</v>
      </c>
      <c r="C979">
        <v>250.53399999999999</v>
      </c>
      <c r="D979">
        <f t="shared" ref="D979:D1042" si="1">IF(L979&gt;1,L979,L979*100)</f>
        <v>99.727000000000004</v>
      </c>
      <c r="E979">
        <v>197.14400000000001</v>
      </c>
      <c r="F979">
        <v>167.86099999999999</v>
      </c>
      <c r="G979">
        <v>247.21</v>
      </c>
      <c r="H979">
        <v>206.387</v>
      </c>
      <c r="I979">
        <v>235.85900000000001</v>
      </c>
      <c r="L979">
        <v>0.99726999999999999</v>
      </c>
    </row>
    <row r="980" spans="1:12" x14ac:dyDescent="0.25">
      <c r="A980" s="12">
        <v>43010</v>
      </c>
      <c r="B980">
        <v>272.70299999999997</v>
      </c>
      <c r="C980">
        <v>250.57900000000001</v>
      </c>
      <c r="D980">
        <f t="shared" si="1"/>
        <v>99.644999999999996</v>
      </c>
      <c r="E980">
        <v>197.142</v>
      </c>
      <c r="F980">
        <v>167.792</v>
      </c>
      <c r="G980">
        <v>247.06100000000001</v>
      </c>
      <c r="H980">
        <v>206.32300000000001</v>
      </c>
      <c r="I980">
        <v>236.232</v>
      </c>
      <c r="L980">
        <v>0.99644999999999995</v>
      </c>
    </row>
    <row r="981" spans="1:12" x14ac:dyDescent="0.25">
      <c r="A981" s="12">
        <v>43011</v>
      </c>
      <c r="B981">
        <v>273.09899999999999</v>
      </c>
      <c r="C981">
        <v>250.685</v>
      </c>
      <c r="D981">
        <f t="shared" si="1"/>
        <v>99.822999999999993</v>
      </c>
      <c r="E981">
        <v>197.47800000000001</v>
      </c>
      <c r="F981">
        <v>167.90700000000001</v>
      </c>
      <c r="G981">
        <v>247.61500000000001</v>
      </c>
      <c r="H981">
        <v>206.447</v>
      </c>
      <c r="I981">
        <v>236.62100000000001</v>
      </c>
      <c r="L981">
        <v>0.99822999999999995</v>
      </c>
    </row>
    <row r="982" spans="1:12" x14ac:dyDescent="0.25">
      <c r="A982" s="12">
        <v>43012</v>
      </c>
      <c r="B982">
        <v>273.48200000000003</v>
      </c>
      <c r="C982">
        <v>250.65600000000001</v>
      </c>
      <c r="D982">
        <f t="shared" si="1"/>
        <v>100.157</v>
      </c>
      <c r="E982">
        <v>198.00700000000001</v>
      </c>
      <c r="F982">
        <v>168.1</v>
      </c>
      <c r="G982">
        <v>248.14699999999999</v>
      </c>
      <c r="H982">
        <v>206.434</v>
      </c>
      <c r="I982">
        <v>236.70599999999999</v>
      </c>
      <c r="L982">
        <v>100.157</v>
      </c>
    </row>
    <row r="983" spans="1:12" x14ac:dyDescent="0.25">
      <c r="A983" s="12">
        <v>43013</v>
      </c>
      <c r="B983">
        <v>273.666</v>
      </c>
      <c r="C983">
        <v>250.767</v>
      </c>
      <c r="D983">
        <f t="shared" si="1"/>
        <v>100.191</v>
      </c>
      <c r="E983">
        <v>198.14500000000001</v>
      </c>
      <c r="F983">
        <v>168.13900000000001</v>
      </c>
      <c r="G983">
        <v>248.191</v>
      </c>
      <c r="H983">
        <v>206.38499999999999</v>
      </c>
      <c r="I983">
        <v>236.863</v>
      </c>
      <c r="L983">
        <v>100.191</v>
      </c>
    </row>
    <row r="984" spans="1:12" x14ac:dyDescent="0.25">
      <c r="A984" s="12">
        <v>43014</v>
      </c>
      <c r="B984">
        <v>273.81700000000001</v>
      </c>
      <c r="C984">
        <v>250.89699999999999</v>
      </c>
      <c r="D984">
        <f t="shared" si="1"/>
        <v>100.339</v>
      </c>
      <c r="E984">
        <v>198.30600000000001</v>
      </c>
      <c r="F984">
        <v>168.12799999999999</v>
      </c>
      <c r="G984">
        <v>248.46100000000001</v>
      </c>
      <c r="H984">
        <v>206.50899999999999</v>
      </c>
      <c r="I984">
        <v>237.35400000000001</v>
      </c>
      <c r="L984">
        <v>100.339</v>
      </c>
    </row>
    <row r="985" spans="1:12" x14ac:dyDescent="0.25">
      <c r="A985" s="12">
        <v>43017</v>
      </c>
      <c r="B985">
        <v>273.99599999999998</v>
      </c>
      <c r="C985">
        <v>250.81800000000001</v>
      </c>
      <c r="D985">
        <f t="shared" si="1"/>
        <v>100.55500000000001</v>
      </c>
      <c r="E985">
        <v>198.66399999999999</v>
      </c>
      <c r="F985">
        <v>168.255</v>
      </c>
      <c r="G985">
        <v>248.70599999999999</v>
      </c>
      <c r="H985">
        <v>206.48099999999999</v>
      </c>
      <c r="I985">
        <v>237.15100000000001</v>
      </c>
      <c r="L985">
        <v>100.55500000000001</v>
      </c>
    </row>
    <row r="986" spans="1:12" x14ac:dyDescent="0.25">
      <c r="A986" s="12">
        <v>43018</v>
      </c>
      <c r="B986">
        <v>273.89100000000002</v>
      </c>
      <c r="C986">
        <v>250.678</v>
      </c>
      <c r="D986">
        <f t="shared" si="1"/>
        <v>100.414</v>
      </c>
      <c r="E986">
        <v>198.44399999999999</v>
      </c>
      <c r="F986">
        <v>168.1</v>
      </c>
      <c r="G986">
        <v>248.41300000000001</v>
      </c>
      <c r="H986">
        <v>206.316</v>
      </c>
      <c r="I986">
        <v>237.16499999999999</v>
      </c>
      <c r="L986">
        <v>100.414</v>
      </c>
    </row>
    <row r="987" spans="1:12" x14ac:dyDescent="0.25">
      <c r="A987" s="12">
        <v>43019</v>
      </c>
      <c r="B987">
        <v>273.755</v>
      </c>
      <c r="C987">
        <v>250.661</v>
      </c>
      <c r="D987">
        <f t="shared" si="1"/>
        <v>100.40300000000001</v>
      </c>
      <c r="E987">
        <v>198.464</v>
      </c>
      <c r="F987">
        <v>168.11</v>
      </c>
      <c r="G987">
        <v>248.25200000000001</v>
      </c>
      <c r="H987">
        <v>206.22499999999999</v>
      </c>
      <c r="I987">
        <v>237.11199999999999</v>
      </c>
      <c r="L987">
        <v>100.40300000000001</v>
      </c>
    </row>
    <row r="988" spans="1:12" x14ac:dyDescent="0.25">
      <c r="A988" s="12">
        <v>43020</v>
      </c>
      <c r="B988">
        <v>273.72300000000001</v>
      </c>
      <c r="C988">
        <v>250.726</v>
      </c>
      <c r="D988">
        <f t="shared" si="1"/>
        <v>100.245</v>
      </c>
      <c r="E988">
        <v>198.399</v>
      </c>
      <c r="F988">
        <v>168.08600000000001</v>
      </c>
      <c r="G988">
        <v>248.26599999999999</v>
      </c>
      <c r="H988">
        <v>206.25899999999999</v>
      </c>
      <c r="I988">
        <v>237.166</v>
      </c>
      <c r="L988">
        <v>100.245</v>
      </c>
    </row>
    <row r="989" spans="1:12" x14ac:dyDescent="0.25">
      <c r="A989" s="12">
        <v>43021</v>
      </c>
      <c r="B989">
        <v>273.678</v>
      </c>
      <c r="C989">
        <v>250.71100000000001</v>
      </c>
      <c r="D989">
        <f t="shared" si="1"/>
        <v>100.21299999999999</v>
      </c>
      <c r="E989">
        <v>198.44200000000001</v>
      </c>
      <c r="F989">
        <v>168.01499999999999</v>
      </c>
      <c r="G989">
        <v>248.17699999999999</v>
      </c>
      <c r="H989">
        <v>206.3</v>
      </c>
      <c r="I989">
        <v>237.29300000000001</v>
      </c>
      <c r="L989">
        <v>100.21299999999999</v>
      </c>
    </row>
    <row r="990" spans="1:12" x14ac:dyDescent="0.25">
      <c r="A990" s="12">
        <v>43024</v>
      </c>
      <c r="B990">
        <v>273.92399999999998</v>
      </c>
      <c r="C990">
        <v>250.917</v>
      </c>
      <c r="D990">
        <f t="shared" si="1"/>
        <v>100.294</v>
      </c>
      <c r="E990">
        <v>198.57300000000001</v>
      </c>
      <c r="F990">
        <v>168.08699999999999</v>
      </c>
      <c r="G990">
        <v>248.34</v>
      </c>
      <c r="H990">
        <v>206.37100000000001</v>
      </c>
      <c r="I990">
        <v>237.66</v>
      </c>
      <c r="L990">
        <v>100.294</v>
      </c>
    </row>
    <row r="991" spans="1:12" x14ac:dyDescent="0.25">
      <c r="A991" s="12">
        <v>43025</v>
      </c>
      <c r="B991">
        <v>274.15199999999999</v>
      </c>
      <c r="C991">
        <v>251.07900000000001</v>
      </c>
      <c r="D991">
        <f t="shared" si="1"/>
        <v>100.578</v>
      </c>
      <c r="E991">
        <v>198.852</v>
      </c>
      <c r="F991">
        <v>168.327</v>
      </c>
      <c r="G991">
        <v>248.72399999999999</v>
      </c>
      <c r="H991">
        <v>206.51</v>
      </c>
      <c r="I991">
        <v>237.80500000000001</v>
      </c>
      <c r="L991">
        <v>100.578</v>
      </c>
    </row>
    <row r="992" spans="1:12" x14ac:dyDescent="0.25">
      <c r="A992" s="12">
        <v>43026</v>
      </c>
      <c r="B992">
        <v>274.29300000000001</v>
      </c>
      <c r="C992">
        <v>251.14400000000001</v>
      </c>
      <c r="D992">
        <f t="shared" si="1"/>
        <v>100.85</v>
      </c>
      <c r="E992">
        <v>199.06200000000001</v>
      </c>
      <c r="F992">
        <v>168.589</v>
      </c>
      <c r="G992">
        <v>248.922</v>
      </c>
      <c r="H992">
        <v>206.59399999999999</v>
      </c>
      <c r="I992">
        <v>237.864</v>
      </c>
      <c r="L992">
        <v>100.85</v>
      </c>
    </row>
    <row r="993" spans="1:12" x14ac:dyDescent="0.25">
      <c r="A993" s="12">
        <v>43027</v>
      </c>
      <c r="B993">
        <v>274.37299999999999</v>
      </c>
      <c r="C993">
        <v>251.14699999999999</v>
      </c>
      <c r="D993">
        <f t="shared" si="1"/>
        <v>100.919</v>
      </c>
      <c r="E993">
        <v>199.179</v>
      </c>
      <c r="F993">
        <v>168.732</v>
      </c>
      <c r="G993">
        <v>248.94800000000001</v>
      </c>
      <c r="H993">
        <v>206.602</v>
      </c>
      <c r="I993">
        <v>237.96600000000001</v>
      </c>
      <c r="L993">
        <v>100.919</v>
      </c>
    </row>
    <row r="994" spans="1:12" x14ac:dyDescent="0.25">
      <c r="A994" s="12">
        <v>43028</v>
      </c>
      <c r="B994">
        <v>274.22500000000002</v>
      </c>
      <c r="C994">
        <v>250.96899999999999</v>
      </c>
      <c r="D994">
        <f t="shared" si="1"/>
        <v>100.68600000000001</v>
      </c>
      <c r="E994">
        <v>199.27600000000001</v>
      </c>
      <c r="F994">
        <v>168.62899999999999</v>
      </c>
      <c r="G994">
        <v>248.87100000000001</v>
      </c>
      <c r="H994">
        <v>206.53700000000001</v>
      </c>
      <c r="I994">
        <v>237.32900000000001</v>
      </c>
      <c r="L994">
        <v>100.68600000000001</v>
      </c>
    </row>
    <row r="995" spans="1:12" x14ac:dyDescent="0.25">
      <c r="A995" s="12">
        <v>43031</v>
      </c>
      <c r="B995">
        <v>273.91899999999998</v>
      </c>
      <c r="C995">
        <v>250.97200000000001</v>
      </c>
      <c r="D995">
        <f t="shared" si="1"/>
        <v>100.55500000000001</v>
      </c>
      <c r="E995">
        <v>198.84299999999999</v>
      </c>
      <c r="F995">
        <v>168.59100000000001</v>
      </c>
      <c r="G995">
        <v>248.46700000000001</v>
      </c>
      <c r="H995">
        <v>206.589</v>
      </c>
      <c r="I995">
        <v>237.643</v>
      </c>
      <c r="L995">
        <v>100.55500000000001</v>
      </c>
    </row>
    <row r="996" spans="1:12" x14ac:dyDescent="0.25">
      <c r="A996" s="12">
        <v>43032</v>
      </c>
      <c r="B996">
        <v>274.26600000000002</v>
      </c>
      <c r="C996">
        <v>250.923</v>
      </c>
      <c r="D996">
        <f t="shared" si="1"/>
        <v>100.82299999999999</v>
      </c>
      <c r="E996">
        <v>199.15</v>
      </c>
      <c r="F996">
        <v>168.434</v>
      </c>
      <c r="G996">
        <v>248.774</v>
      </c>
      <c r="H996">
        <v>206.46100000000001</v>
      </c>
      <c r="I996">
        <v>237.81</v>
      </c>
      <c r="L996">
        <v>100.82299999999999</v>
      </c>
    </row>
    <row r="997" spans="1:12" x14ac:dyDescent="0.25">
      <c r="A997" s="12">
        <v>43033</v>
      </c>
      <c r="B997">
        <v>274.21600000000001</v>
      </c>
      <c r="C997">
        <v>250.84800000000001</v>
      </c>
      <c r="D997">
        <f t="shared" si="1"/>
        <v>100.83</v>
      </c>
      <c r="E997">
        <v>199.31100000000001</v>
      </c>
      <c r="F997">
        <v>168.56700000000001</v>
      </c>
      <c r="G997">
        <v>249.005</v>
      </c>
      <c r="H997">
        <v>206.459</v>
      </c>
      <c r="I997">
        <v>237.71199999999999</v>
      </c>
      <c r="L997">
        <v>100.83</v>
      </c>
    </row>
    <row r="998" spans="1:12" x14ac:dyDescent="0.25">
      <c r="A998" s="12">
        <v>43034</v>
      </c>
      <c r="B998">
        <v>273.959</v>
      </c>
      <c r="C998">
        <v>250.65</v>
      </c>
      <c r="D998">
        <f t="shared" si="1"/>
        <v>100.63800000000001</v>
      </c>
      <c r="E998">
        <v>199.04</v>
      </c>
      <c r="F998">
        <v>168.334</v>
      </c>
      <c r="G998">
        <v>248.66399999999999</v>
      </c>
      <c r="H998">
        <v>206.31100000000001</v>
      </c>
      <c r="I998">
        <v>237.17099999999999</v>
      </c>
      <c r="L998">
        <v>100.63800000000001</v>
      </c>
    </row>
    <row r="999" spans="1:12" x14ac:dyDescent="0.25">
      <c r="A999" s="12">
        <v>43035</v>
      </c>
      <c r="B999">
        <v>273.726</v>
      </c>
      <c r="C999">
        <v>250.58799999999999</v>
      </c>
      <c r="D999">
        <f t="shared" si="1"/>
        <v>100.46599999999999</v>
      </c>
      <c r="E999">
        <v>198.42699999999999</v>
      </c>
      <c r="F999">
        <v>168.125</v>
      </c>
      <c r="G999">
        <v>248.477</v>
      </c>
      <c r="H999">
        <v>206.185</v>
      </c>
      <c r="I999">
        <v>238.001</v>
      </c>
      <c r="L999">
        <v>100.46599999999999</v>
      </c>
    </row>
    <row r="1000" spans="1:12" x14ac:dyDescent="0.25">
      <c r="A1000" s="12">
        <v>43038</v>
      </c>
      <c r="B1000">
        <v>274.11700000000002</v>
      </c>
      <c r="C1000">
        <v>250.76400000000001</v>
      </c>
      <c r="D1000">
        <f t="shared" si="1"/>
        <v>101.148</v>
      </c>
      <c r="E1000">
        <v>199.23699999999999</v>
      </c>
      <c r="F1000">
        <v>168.44200000000001</v>
      </c>
      <c r="G1000">
        <v>248.92500000000001</v>
      </c>
      <c r="H1000">
        <v>206.19200000000001</v>
      </c>
      <c r="I1000">
        <v>238.83099999999999</v>
      </c>
      <c r="L1000">
        <v>101.148</v>
      </c>
    </row>
    <row r="1001" spans="1:12" x14ac:dyDescent="0.25">
      <c r="A1001" s="12">
        <v>43039</v>
      </c>
      <c r="B1001">
        <v>274.87799999999999</v>
      </c>
      <c r="C1001">
        <v>250.96799999999999</v>
      </c>
      <c r="D1001">
        <f t="shared" si="1"/>
        <v>101.82299999999999</v>
      </c>
      <c r="E1001">
        <v>199.90600000000001</v>
      </c>
      <c r="F1001">
        <v>168.86799999999999</v>
      </c>
      <c r="G1001">
        <v>249.44800000000001</v>
      </c>
      <c r="H1001">
        <v>206.14599999999999</v>
      </c>
      <c r="I1001">
        <v>238.779</v>
      </c>
      <c r="L1001">
        <v>101.82299999999999</v>
      </c>
    </row>
    <row r="1002" spans="1:12" x14ac:dyDescent="0.25">
      <c r="A1002" s="12">
        <v>43040</v>
      </c>
      <c r="B1002">
        <v>275.01400000000001</v>
      </c>
      <c r="C1002">
        <v>251.19</v>
      </c>
      <c r="D1002">
        <f t="shared" si="1"/>
        <v>101.72499999999999</v>
      </c>
      <c r="E1002">
        <v>199.78</v>
      </c>
      <c r="F1002">
        <v>169.05099999999999</v>
      </c>
      <c r="G1002">
        <v>249.536</v>
      </c>
      <c r="H1002">
        <v>206.28800000000001</v>
      </c>
      <c r="I1002">
        <v>238.93</v>
      </c>
      <c r="L1002">
        <v>101.72499999999999</v>
      </c>
    </row>
    <row r="1003" spans="1:12" x14ac:dyDescent="0.25">
      <c r="A1003" s="12">
        <v>43041</v>
      </c>
      <c r="B1003">
        <v>275.25299999999999</v>
      </c>
      <c r="C1003">
        <v>251.27099999999999</v>
      </c>
      <c r="D1003">
        <f t="shared" si="1"/>
        <v>101.7</v>
      </c>
      <c r="E1003">
        <v>199.80500000000001</v>
      </c>
      <c r="F1003">
        <v>169.11199999999999</v>
      </c>
      <c r="G1003">
        <v>249.61500000000001</v>
      </c>
      <c r="H1003">
        <v>206.34</v>
      </c>
      <c r="I1003">
        <v>239.66</v>
      </c>
      <c r="L1003">
        <v>101.7</v>
      </c>
    </row>
    <row r="1004" spans="1:12" x14ac:dyDescent="0.25">
      <c r="A1004" s="12">
        <v>43042</v>
      </c>
      <c r="B1004">
        <v>275.46300000000002</v>
      </c>
      <c r="C1004">
        <v>251.251</v>
      </c>
      <c r="D1004">
        <f t="shared" si="1"/>
        <v>101.89400000000001</v>
      </c>
      <c r="E1004">
        <v>200.42599999999999</v>
      </c>
      <c r="F1004">
        <v>169.292</v>
      </c>
      <c r="G1004">
        <v>249.845</v>
      </c>
      <c r="H1004">
        <v>206.35900000000001</v>
      </c>
      <c r="I1004">
        <v>239.32499999999999</v>
      </c>
      <c r="L1004">
        <v>101.89400000000001</v>
      </c>
    </row>
    <row r="1005" spans="1:12" x14ac:dyDescent="0.25">
      <c r="A1005" s="12">
        <v>43045</v>
      </c>
      <c r="B1005">
        <v>275.483</v>
      </c>
      <c r="C1005">
        <v>251.37299999999999</v>
      </c>
      <c r="D1005">
        <f t="shared" si="1"/>
        <v>101.813</v>
      </c>
      <c r="E1005">
        <v>200.25200000000001</v>
      </c>
      <c r="F1005">
        <v>169.28899999999999</v>
      </c>
      <c r="G1005">
        <v>249.65100000000001</v>
      </c>
      <c r="H1005">
        <v>206.35400000000001</v>
      </c>
      <c r="I1005">
        <v>239.62200000000001</v>
      </c>
      <c r="L1005">
        <v>101.813</v>
      </c>
    </row>
    <row r="1006" spans="1:12" x14ac:dyDescent="0.25">
      <c r="A1006" s="12">
        <v>43046</v>
      </c>
      <c r="B1006">
        <v>275.846</v>
      </c>
      <c r="C1006">
        <v>251.54900000000001</v>
      </c>
      <c r="D1006">
        <f t="shared" si="1"/>
        <v>102.146</v>
      </c>
      <c r="E1006">
        <v>200.453</v>
      </c>
      <c r="F1006">
        <v>169.27500000000001</v>
      </c>
      <c r="G1006">
        <v>249.90700000000001</v>
      </c>
      <c r="H1006">
        <v>206.31399999999999</v>
      </c>
      <c r="I1006">
        <v>239.92500000000001</v>
      </c>
      <c r="L1006">
        <v>102.146</v>
      </c>
    </row>
    <row r="1007" spans="1:12" x14ac:dyDescent="0.25">
      <c r="A1007" s="12">
        <v>43047</v>
      </c>
      <c r="B1007">
        <v>276.012</v>
      </c>
      <c r="C1007">
        <v>251.595</v>
      </c>
      <c r="D1007">
        <f t="shared" si="1"/>
        <v>102.408</v>
      </c>
      <c r="E1007">
        <v>200.62299999999999</v>
      </c>
      <c r="F1007">
        <v>169.32400000000001</v>
      </c>
      <c r="G1007">
        <v>250.197</v>
      </c>
      <c r="H1007">
        <v>206.33199999999999</v>
      </c>
      <c r="I1007">
        <v>239.89500000000001</v>
      </c>
      <c r="L1007">
        <v>102.408</v>
      </c>
    </row>
    <row r="1008" spans="1:12" x14ac:dyDescent="0.25">
      <c r="A1008" s="12">
        <v>43048</v>
      </c>
      <c r="B1008">
        <v>275.88299999999998</v>
      </c>
      <c r="C1008">
        <v>251.52799999999999</v>
      </c>
      <c r="D1008">
        <f t="shared" si="1"/>
        <v>102.405</v>
      </c>
      <c r="E1008">
        <v>200.559</v>
      </c>
      <c r="F1008">
        <v>169.29</v>
      </c>
      <c r="G1008">
        <v>250.279</v>
      </c>
      <c r="H1008">
        <v>206.34399999999999</v>
      </c>
      <c r="I1008">
        <v>239.929</v>
      </c>
      <c r="L1008">
        <v>102.405</v>
      </c>
    </row>
    <row r="1009" spans="1:12" x14ac:dyDescent="0.25">
      <c r="A1009" s="12">
        <v>43049</v>
      </c>
      <c r="B1009">
        <v>275.327</v>
      </c>
      <c r="C1009">
        <v>251.26400000000001</v>
      </c>
      <c r="D1009">
        <f t="shared" si="1"/>
        <v>102.304</v>
      </c>
      <c r="E1009">
        <v>200.46100000000001</v>
      </c>
      <c r="F1009">
        <v>169.13800000000001</v>
      </c>
      <c r="G1009">
        <v>249.83600000000001</v>
      </c>
      <c r="H1009">
        <v>206.268</v>
      </c>
      <c r="I1009">
        <v>239.01599999999999</v>
      </c>
      <c r="L1009">
        <v>102.304</v>
      </c>
    </row>
    <row r="1010" spans="1:12" x14ac:dyDescent="0.25">
      <c r="A1010" s="12">
        <v>43052</v>
      </c>
      <c r="B1010">
        <v>274.61099999999999</v>
      </c>
      <c r="C1010">
        <v>250.988</v>
      </c>
      <c r="D1010">
        <f t="shared" si="1"/>
        <v>101.86799999999999</v>
      </c>
      <c r="E1010">
        <v>199.786</v>
      </c>
      <c r="F1010">
        <v>168.708</v>
      </c>
      <c r="G1010">
        <v>249.27500000000001</v>
      </c>
      <c r="H1010">
        <v>206.15</v>
      </c>
      <c r="I1010">
        <v>238.535</v>
      </c>
      <c r="L1010">
        <v>101.86799999999999</v>
      </c>
    </row>
    <row r="1011" spans="1:12" x14ac:dyDescent="0.25">
      <c r="A1011" s="12">
        <v>43053</v>
      </c>
      <c r="B1011">
        <v>274.02600000000001</v>
      </c>
      <c r="C1011">
        <v>250.79499999999999</v>
      </c>
      <c r="D1011">
        <f t="shared" si="1"/>
        <v>101.59399999999999</v>
      </c>
      <c r="E1011">
        <v>199.50899999999999</v>
      </c>
      <c r="F1011">
        <v>168.49299999999999</v>
      </c>
      <c r="G1011">
        <v>248.863</v>
      </c>
      <c r="H1011">
        <v>206.00700000000001</v>
      </c>
      <c r="I1011">
        <v>238.25200000000001</v>
      </c>
      <c r="L1011">
        <v>101.59399999999999</v>
      </c>
    </row>
    <row r="1012" spans="1:12" x14ac:dyDescent="0.25">
      <c r="A1012" s="12">
        <v>43054</v>
      </c>
      <c r="B1012">
        <v>273.53899999999999</v>
      </c>
      <c r="C1012">
        <v>250.59700000000001</v>
      </c>
      <c r="D1012">
        <f t="shared" si="1"/>
        <v>101.30500000000001</v>
      </c>
      <c r="E1012">
        <v>199.499</v>
      </c>
      <c r="F1012">
        <v>168.49799999999999</v>
      </c>
      <c r="G1012">
        <v>248.303</v>
      </c>
      <c r="H1012">
        <v>205.88200000000001</v>
      </c>
      <c r="I1012">
        <v>237.64</v>
      </c>
      <c r="L1012">
        <v>101.30500000000001</v>
      </c>
    </row>
    <row r="1013" spans="1:12" x14ac:dyDescent="0.25">
      <c r="A1013" s="12">
        <v>43055</v>
      </c>
      <c r="B1013">
        <v>273.26400000000001</v>
      </c>
      <c r="C1013">
        <v>250.57599999999999</v>
      </c>
      <c r="D1013">
        <f t="shared" si="1"/>
        <v>100.83499999999999</v>
      </c>
      <c r="E1013">
        <v>198.88300000000001</v>
      </c>
      <c r="F1013">
        <v>168.274</v>
      </c>
      <c r="G1013">
        <v>247.80699999999999</v>
      </c>
      <c r="H1013">
        <v>205.76300000000001</v>
      </c>
      <c r="I1013">
        <v>237.279</v>
      </c>
      <c r="L1013">
        <v>100.83499999999999</v>
      </c>
    </row>
    <row r="1014" spans="1:12" x14ac:dyDescent="0.25">
      <c r="A1014" s="12">
        <v>43056</v>
      </c>
      <c r="B1014">
        <v>272.90199999999999</v>
      </c>
      <c r="C1014">
        <v>250.649</v>
      </c>
      <c r="D1014">
        <f t="shared" si="1"/>
        <v>100.667</v>
      </c>
      <c r="E1014">
        <v>198.559</v>
      </c>
      <c r="F1014">
        <v>168.255</v>
      </c>
      <c r="G1014">
        <v>246.78399999999999</v>
      </c>
      <c r="H1014">
        <v>205.76499999999999</v>
      </c>
      <c r="I1014">
        <v>237.905</v>
      </c>
      <c r="L1014">
        <v>100.667</v>
      </c>
    </row>
    <row r="1015" spans="1:12" x14ac:dyDescent="0.25">
      <c r="A1015" s="12">
        <v>43060</v>
      </c>
      <c r="B1015">
        <v>273.471</v>
      </c>
      <c r="C1015">
        <v>250.619</v>
      </c>
      <c r="D1015">
        <f t="shared" si="1"/>
        <v>101.001</v>
      </c>
      <c r="E1015">
        <v>199.16200000000001</v>
      </c>
      <c r="F1015">
        <v>168.46700000000001</v>
      </c>
      <c r="G1015">
        <v>247.721</v>
      </c>
      <c r="H1015">
        <v>205.81299999999999</v>
      </c>
      <c r="I1015">
        <v>237.95599999999999</v>
      </c>
      <c r="L1015">
        <v>101.001</v>
      </c>
    </row>
    <row r="1016" spans="1:12" x14ac:dyDescent="0.25">
      <c r="A1016" s="12">
        <v>43061</v>
      </c>
      <c r="B1016">
        <v>273.82499999999999</v>
      </c>
      <c r="C1016">
        <v>250.85599999999999</v>
      </c>
      <c r="D1016">
        <f t="shared" si="1"/>
        <v>101.333</v>
      </c>
      <c r="E1016">
        <v>199.39500000000001</v>
      </c>
      <c r="F1016">
        <v>168.636</v>
      </c>
      <c r="G1016">
        <v>248.30600000000001</v>
      </c>
      <c r="H1016">
        <v>205.98500000000001</v>
      </c>
      <c r="I1016">
        <v>238.977</v>
      </c>
      <c r="L1016">
        <v>101.333</v>
      </c>
    </row>
    <row r="1017" spans="1:12" x14ac:dyDescent="0.25">
      <c r="A1017" s="12">
        <v>43062</v>
      </c>
      <c r="B1017">
        <v>274.32600000000002</v>
      </c>
      <c r="C1017">
        <v>250.90799999999999</v>
      </c>
      <c r="D1017">
        <f t="shared" si="1"/>
        <v>101.595</v>
      </c>
      <c r="E1017">
        <v>199.983</v>
      </c>
      <c r="F1017">
        <v>168.75399999999999</v>
      </c>
      <c r="G1017">
        <v>248.99799999999999</v>
      </c>
      <c r="H1017">
        <v>206.00399999999999</v>
      </c>
      <c r="I1017">
        <v>238.721</v>
      </c>
      <c r="L1017">
        <v>101.595</v>
      </c>
    </row>
    <row r="1018" spans="1:12" x14ac:dyDescent="0.25">
      <c r="A1018" s="12">
        <v>43063</v>
      </c>
      <c r="B1018">
        <v>274.13900000000001</v>
      </c>
      <c r="C1018">
        <v>250.94200000000001</v>
      </c>
      <c r="D1018">
        <f t="shared" si="1"/>
        <v>101.41200000000001</v>
      </c>
      <c r="E1018">
        <v>199.77099999999999</v>
      </c>
      <c r="F1018">
        <v>168.70599999999999</v>
      </c>
      <c r="G1018">
        <v>248.95</v>
      </c>
      <c r="H1018">
        <v>206.09100000000001</v>
      </c>
      <c r="I1018">
        <v>238.571</v>
      </c>
      <c r="L1018">
        <v>101.41200000000001</v>
      </c>
    </row>
    <row r="1019" spans="1:12" x14ac:dyDescent="0.25">
      <c r="A1019" s="12">
        <v>43066</v>
      </c>
      <c r="B1019">
        <v>273.94600000000003</v>
      </c>
      <c r="C1019">
        <v>250.934</v>
      </c>
      <c r="D1019">
        <f t="shared" si="1"/>
        <v>101.25700000000001</v>
      </c>
      <c r="E1019">
        <v>199.64599999999999</v>
      </c>
      <c r="F1019">
        <v>168.70699999999999</v>
      </c>
      <c r="G1019">
        <v>248.822</v>
      </c>
      <c r="H1019">
        <v>206.15</v>
      </c>
      <c r="I1019">
        <v>238.429</v>
      </c>
      <c r="L1019">
        <v>101.25700000000001</v>
      </c>
    </row>
    <row r="1020" spans="1:12" x14ac:dyDescent="0.25">
      <c r="A1020" s="12">
        <v>43067</v>
      </c>
      <c r="B1020">
        <v>273.92200000000003</v>
      </c>
      <c r="C1020">
        <v>250.86699999999999</v>
      </c>
      <c r="D1020">
        <f t="shared" si="1"/>
        <v>100.89</v>
      </c>
      <c r="E1020">
        <v>199.51</v>
      </c>
      <c r="F1020">
        <v>168.571</v>
      </c>
      <c r="G1020">
        <v>248.54499999999999</v>
      </c>
      <c r="H1020">
        <v>206.15100000000001</v>
      </c>
      <c r="I1020">
        <v>238.06700000000001</v>
      </c>
      <c r="L1020">
        <v>100.89</v>
      </c>
    </row>
    <row r="1021" spans="1:12" x14ac:dyDescent="0.25">
      <c r="A1021" s="12">
        <v>43068</v>
      </c>
      <c r="B1021">
        <v>273.71699999999998</v>
      </c>
      <c r="C1021">
        <v>251.00899999999999</v>
      </c>
      <c r="D1021">
        <f t="shared" si="1"/>
        <v>101.01300000000001</v>
      </c>
      <c r="E1021">
        <v>199.31700000000001</v>
      </c>
      <c r="F1021">
        <v>168.702</v>
      </c>
      <c r="G1021">
        <v>248.47800000000001</v>
      </c>
      <c r="H1021">
        <v>206.25700000000001</v>
      </c>
      <c r="I1021">
        <v>238.554</v>
      </c>
      <c r="L1021">
        <v>101.01300000000001</v>
      </c>
    </row>
    <row r="1022" spans="1:12" x14ac:dyDescent="0.25">
      <c r="A1022" s="12">
        <v>43069</v>
      </c>
      <c r="B1022">
        <v>274.21100000000001</v>
      </c>
      <c r="C1022">
        <v>251.036</v>
      </c>
      <c r="D1022">
        <f t="shared" si="1"/>
        <v>101.498</v>
      </c>
      <c r="E1022">
        <v>199.73599999999999</v>
      </c>
      <c r="F1022">
        <v>168.79300000000001</v>
      </c>
      <c r="G1022">
        <v>248.71899999999999</v>
      </c>
      <c r="H1022">
        <v>206.28299999999999</v>
      </c>
      <c r="I1022">
        <v>238.42400000000001</v>
      </c>
      <c r="L1022">
        <v>101.498</v>
      </c>
    </row>
    <row r="1023" spans="1:12" x14ac:dyDescent="0.25">
      <c r="A1023" s="12">
        <v>43070</v>
      </c>
      <c r="B1023">
        <v>274.25099999999998</v>
      </c>
      <c r="C1023">
        <v>250.86099999999999</v>
      </c>
      <c r="D1023">
        <f t="shared" si="1"/>
        <v>101.41500000000001</v>
      </c>
      <c r="E1023">
        <v>199.779</v>
      </c>
      <c r="F1023">
        <v>168.554</v>
      </c>
      <c r="G1023">
        <v>249.21299999999999</v>
      </c>
      <c r="H1023">
        <v>206.18899999999999</v>
      </c>
      <c r="I1023">
        <v>238.13</v>
      </c>
      <c r="L1023">
        <v>101.41500000000001</v>
      </c>
    </row>
    <row r="1024" spans="1:12" x14ac:dyDescent="0.25">
      <c r="A1024" s="12">
        <v>43073</v>
      </c>
      <c r="B1024">
        <v>274.00900000000001</v>
      </c>
      <c r="C1024">
        <v>250.81200000000001</v>
      </c>
      <c r="D1024">
        <f t="shared" si="1"/>
        <v>101.45399999999999</v>
      </c>
      <c r="E1024">
        <v>199.67099999999999</v>
      </c>
      <c r="F1024">
        <v>168.52600000000001</v>
      </c>
      <c r="G1024">
        <v>248.70400000000001</v>
      </c>
      <c r="H1024">
        <v>206.11699999999999</v>
      </c>
      <c r="I1024">
        <v>237.411</v>
      </c>
      <c r="L1024">
        <v>101.45399999999999</v>
      </c>
    </row>
    <row r="1025" spans="1:12" x14ac:dyDescent="0.25">
      <c r="A1025" s="12">
        <v>43074</v>
      </c>
      <c r="B1025">
        <v>273.89100000000002</v>
      </c>
      <c r="C1025">
        <v>250.97499999999999</v>
      </c>
      <c r="D1025">
        <f t="shared" si="1"/>
        <v>101.679</v>
      </c>
      <c r="E1025">
        <v>199.15199999999999</v>
      </c>
      <c r="F1025">
        <v>168.71899999999999</v>
      </c>
      <c r="G1025">
        <v>248.51300000000001</v>
      </c>
      <c r="H1025">
        <v>206.18</v>
      </c>
      <c r="I1025">
        <v>238.35400000000001</v>
      </c>
      <c r="L1025">
        <v>101.679</v>
      </c>
    </row>
    <row r="1026" spans="1:12" x14ac:dyDescent="0.25">
      <c r="A1026" s="12">
        <v>43075</v>
      </c>
      <c r="B1026">
        <v>274.13</v>
      </c>
      <c r="C1026">
        <v>251.065</v>
      </c>
      <c r="D1026">
        <f t="shared" si="1"/>
        <v>101.66500000000001</v>
      </c>
      <c r="E1026">
        <v>199.988</v>
      </c>
      <c r="F1026">
        <v>168.74799999999999</v>
      </c>
      <c r="G1026">
        <v>249.09100000000001</v>
      </c>
      <c r="H1026">
        <v>206.245</v>
      </c>
      <c r="I1026">
        <v>238.441</v>
      </c>
      <c r="L1026">
        <v>101.66500000000001</v>
      </c>
    </row>
    <row r="1027" spans="1:12" x14ac:dyDescent="0.25">
      <c r="A1027" s="12">
        <v>43076</v>
      </c>
      <c r="B1027">
        <v>273.92899999999997</v>
      </c>
      <c r="C1027">
        <v>251.27099999999999</v>
      </c>
      <c r="D1027">
        <f t="shared" si="1"/>
        <v>101.705</v>
      </c>
      <c r="E1027">
        <v>199.99</v>
      </c>
      <c r="F1027">
        <v>168.88399999999999</v>
      </c>
      <c r="G1027">
        <v>248.91300000000001</v>
      </c>
      <c r="H1027">
        <v>206.33799999999999</v>
      </c>
      <c r="I1027">
        <v>238.03</v>
      </c>
      <c r="L1027">
        <v>101.705</v>
      </c>
    </row>
    <row r="1028" spans="1:12" x14ac:dyDescent="0.25">
      <c r="A1028" s="12">
        <v>43077</v>
      </c>
      <c r="B1028">
        <v>273.93099999999998</v>
      </c>
      <c r="C1028">
        <v>251.386</v>
      </c>
      <c r="D1028">
        <f t="shared" si="1"/>
        <v>101.803</v>
      </c>
      <c r="E1028">
        <v>199.785</v>
      </c>
      <c r="F1028">
        <v>169.154</v>
      </c>
      <c r="G1028">
        <v>248.80799999999999</v>
      </c>
      <c r="H1028">
        <v>206.40600000000001</v>
      </c>
      <c r="I1028">
        <v>238.11699999999999</v>
      </c>
      <c r="L1028">
        <v>101.803</v>
      </c>
    </row>
    <row r="1029" spans="1:12" x14ac:dyDescent="0.25">
      <c r="A1029" s="12">
        <v>43080</v>
      </c>
      <c r="B1029">
        <v>274.113</v>
      </c>
      <c r="C1029">
        <v>251.262</v>
      </c>
      <c r="D1029">
        <f t="shared" si="1"/>
        <v>102.001</v>
      </c>
      <c r="E1029">
        <v>199.88900000000001</v>
      </c>
      <c r="F1029">
        <v>169.11600000000001</v>
      </c>
      <c r="G1029">
        <v>248.97200000000001</v>
      </c>
      <c r="H1029">
        <v>206.321</v>
      </c>
      <c r="I1029">
        <v>238.72200000000001</v>
      </c>
      <c r="L1029">
        <v>102.001</v>
      </c>
    </row>
    <row r="1030" spans="1:12" x14ac:dyDescent="0.25">
      <c r="A1030" s="12">
        <v>43081</v>
      </c>
      <c r="B1030">
        <v>274.488</v>
      </c>
      <c r="C1030">
        <v>251.18</v>
      </c>
      <c r="D1030">
        <f t="shared" si="1"/>
        <v>102.227</v>
      </c>
      <c r="E1030">
        <v>200.26300000000001</v>
      </c>
      <c r="F1030">
        <v>169.084</v>
      </c>
      <c r="G1030">
        <v>249.51499999999999</v>
      </c>
      <c r="H1030">
        <v>206.31700000000001</v>
      </c>
      <c r="I1030">
        <v>238.779</v>
      </c>
      <c r="L1030">
        <v>102.227</v>
      </c>
    </row>
    <row r="1031" spans="1:12" x14ac:dyDescent="0.25">
      <c r="A1031" s="12">
        <v>43082</v>
      </c>
      <c r="B1031">
        <v>274.52199999999999</v>
      </c>
      <c r="C1031">
        <v>251.19</v>
      </c>
      <c r="D1031">
        <f t="shared" si="1"/>
        <v>102.32599999999999</v>
      </c>
      <c r="E1031">
        <v>200.45599999999999</v>
      </c>
      <c r="F1031">
        <v>169.048</v>
      </c>
      <c r="G1031">
        <v>249.506</v>
      </c>
      <c r="H1031">
        <v>206.32900000000001</v>
      </c>
      <c r="I1031">
        <v>239.14099999999999</v>
      </c>
      <c r="L1031">
        <v>102.32599999999999</v>
      </c>
    </row>
    <row r="1032" spans="1:12" x14ac:dyDescent="0.25">
      <c r="A1032" s="12">
        <v>43083</v>
      </c>
      <c r="B1032">
        <v>274.81900000000002</v>
      </c>
      <c r="C1032">
        <v>251.24</v>
      </c>
      <c r="D1032">
        <f t="shared" si="1"/>
        <v>102.55800000000001</v>
      </c>
      <c r="E1032">
        <v>200.81899999999999</v>
      </c>
      <c r="F1032">
        <v>169.023</v>
      </c>
      <c r="G1032">
        <v>249.71799999999999</v>
      </c>
      <c r="H1032">
        <v>206.255</v>
      </c>
      <c r="I1032">
        <v>239.17500000000001</v>
      </c>
      <c r="L1032">
        <v>102.55800000000001</v>
      </c>
    </row>
    <row r="1033" spans="1:12" x14ac:dyDescent="0.25">
      <c r="A1033" s="12">
        <v>43084</v>
      </c>
      <c r="B1033">
        <v>274.59800000000001</v>
      </c>
      <c r="C1033">
        <v>251.19900000000001</v>
      </c>
      <c r="D1033">
        <f t="shared" si="1"/>
        <v>102.38500000000001</v>
      </c>
      <c r="E1033">
        <v>200.83500000000001</v>
      </c>
      <c r="F1033">
        <v>168.96299999999999</v>
      </c>
      <c r="G1033">
        <v>249.71299999999999</v>
      </c>
      <c r="H1033">
        <v>206.34</v>
      </c>
      <c r="I1033">
        <v>238.83799999999999</v>
      </c>
      <c r="L1033">
        <v>102.38500000000001</v>
      </c>
    </row>
    <row r="1034" spans="1:12" x14ac:dyDescent="0.25">
      <c r="A1034" s="12">
        <v>43087</v>
      </c>
      <c r="B1034">
        <v>274.55200000000002</v>
      </c>
      <c r="C1034">
        <v>251.36199999999999</v>
      </c>
      <c r="D1034">
        <f t="shared" si="1"/>
        <v>102.248</v>
      </c>
      <c r="E1034">
        <v>200.51</v>
      </c>
      <c r="F1034">
        <v>168.91</v>
      </c>
      <c r="G1034">
        <v>249.42</v>
      </c>
      <c r="H1034">
        <v>206.30699999999999</v>
      </c>
      <c r="I1034">
        <v>238.99199999999999</v>
      </c>
      <c r="L1034">
        <v>102.248</v>
      </c>
    </row>
    <row r="1035" spans="1:12" x14ac:dyDescent="0.25">
      <c r="A1035" s="12">
        <v>43088</v>
      </c>
      <c r="B1035">
        <v>274.952</v>
      </c>
      <c r="C1035">
        <v>251.40100000000001</v>
      </c>
      <c r="D1035">
        <f t="shared" si="1"/>
        <v>102.527</v>
      </c>
      <c r="E1035">
        <v>200.548</v>
      </c>
      <c r="F1035">
        <v>168.96100000000001</v>
      </c>
      <c r="G1035">
        <v>249.476</v>
      </c>
      <c r="H1035">
        <v>206.38399999999999</v>
      </c>
      <c r="I1035">
        <v>239.50299999999999</v>
      </c>
      <c r="L1035">
        <v>102.527</v>
      </c>
    </row>
    <row r="1036" spans="1:12" x14ac:dyDescent="0.25">
      <c r="A1036" s="12">
        <v>43089</v>
      </c>
      <c r="B1036">
        <v>275.25900000000001</v>
      </c>
      <c r="C1036">
        <v>251.22200000000001</v>
      </c>
      <c r="D1036">
        <f t="shared" si="1"/>
        <v>102.6</v>
      </c>
      <c r="E1036">
        <v>201.05799999999999</v>
      </c>
      <c r="F1036">
        <v>168.946</v>
      </c>
      <c r="G1036">
        <v>250.423</v>
      </c>
      <c r="H1036">
        <v>206.43799999999999</v>
      </c>
      <c r="I1036">
        <v>239.25299999999999</v>
      </c>
      <c r="L1036">
        <v>102.6</v>
      </c>
    </row>
    <row r="1037" spans="1:12" x14ac:dyDescent="0.25">
      <c r="A1037" s="12">
        <v>43090</v>
      </c>
      <c r="B1037">
        <v>274.73200000000003</v>
      </c>
      <c r="C1037">
        <v>250.86199999999999</v>
      </c>
      <c r="D1037">
        <f t="shared" si="1"/>
        <v>102.18899999999999</v>
      </c>
      <c r="E1037">
        <v>200.672</v>
      </c>
      <c r="F1037">
        <v>168.59200000000001</v>
      </c>
      <c r="G1037">
        <v>250.22</v>
      </c>
      <c r="H1037">
        <v>206.31</v>
      </c>
      <c r="I1037">
        <v>238.79599999999999</v>
      </c>
      <c r="L1037">
        <v>102.18899999999999</v>
      </c>
    </row>
    <row r="1038" spans="1:12" x14ac:dyDescent="0.25">
      <c r="A1038" s="12">
        <v>43091</v>
      </c>
      <c r="B1038">
        <v>274.27800000000002</v>
      </c>
      <c r="C1038">
        <v>250.721</v>
      </c>
      <c r="D1038">
        <f t="shared" si="1"/>
        <v>101.82899999999999</v>
      </c>
      <c r="E1038">
        <v>200.14699999999999</v>
      </c>
      <c r="F1038">
        <v>168.27</v>
      </c>
      <c r="G1038">
        <v>249.745</v>
      </c>
      <c r="H1038">
        <v>206.261</v>
      </c>
      <c r="I1038">
        <v>239.13200000000001</v>
      </c>
      <c r="L1038">
        <v>101.82899999999999</v>
      </c>
    </row>
    <row r="1039" spans="1:12" x14ac:dyDescent="0.25">
      <c r="A1039" s="12">
        <v>43096</v>
      </c>
      <c r="B1039">
        <v>274.31200000000001</v>
      </c>
      <c r="C1039">
        <v>250.80600000000001</v>
      </c>
      <c r="D1039">
        <f t="shared" si="1"/>
        <v>102.045</v>
      </c>
      <c r="E1039">
        <v>200.447</v>
      </c>
      <c r="F1039">
        <v>168.279</v>
      </c>
      <c r="G1039">
        <v>249.80699999999999</v>
      </c>
      <c r="H1039">
        <v>206.18199999999999</v>
      </c>
      <c r="I1039">
        <v>239.17699999999999</v>
      </c>
      <c r="L1039">
        <v>102.045</v>
      </c>
    </row>
    <row r="1040" spans="1:12" x14ac:dyDescent="0.25">
      <c r="A1040" s="12">
        <v>43097</v>
      </c>
      <c r="B1040">
        <v>274.298</v>
      </c>
      <c r="C1040">
        <v>250.85</v>
      </c>
      <c r="D1040">
        <f t="shared" si="1"/>
        <v>101.971</v>
      </c>
      <c r="E1040">
        <v>200.41300000000001</v>
      </c>
      <c r="F1040">
        <v>168.327</v>
      </c>
      <c r="G1040">
        <v>249.87700000000001</v>
      </c>
      <c r="H1040">
        <v>206.16</v>
      </c>
      <c r="I1040">
        <v>239.221</v>
      </c>
      <c r="L1040">
        <v>101.971</v>
      </c>
    </row>
    <row r="1041" spans="1:12" x14ac:dyDescent="0.25">
      <c r="A1041" s="12">
        <v>43098</v>
      </c>
      <c r="B1041">
        <v>274.43799999999999</v>
      </c>
      <c r="C1041">
        <v>251.03800000000001</v>
      </c>
      <c r="D1041">
        <f t="shared" si="1"/>
        <v>101.937</v>
      </c>
      <c r="E1041">
        <v>200.52099999999999</v>
      </c>
      <c r="F1041">
        <v>168.43199999999999</v>
      </c>
      <c r="G1041">
        <v>250.00299999999999</v>
      </c>
      <c r="H1041">
        <v>206.28</v>
      </c>
      <c r="I1041">
        <v>238.99600000000001</v>
      </c>
      <c r="L1041">
        <v>101.937</v>
      </c>
    </row>
    <row r="1042" spans="1:12" x14ac:dyDescent="0.25">
      <c r="A1042" s="12">
        <v>43100</v>
      </c>
      <c r="B1042">
        <v>273.726</v>
      </c>
      <c r="C1042">
        <v>250.874</v>
      </c>
      <c r="D1042">
        <f t="shared" si="1"/>
        <v>101.682</v>
      </c>
      <c r="E1042">
        <v>200.364</v>
      </c>
      <c r="F1042">
        <v>168.173</v>
      </c>
      <c r="G1042">
        <v>249.834</v>
      </c>
      <c r="H1042">
        <v>206.22300000000001</v>
      </c>
      <c r="I1042">
        <v>238.84100000000001</v>
      </c>
      <c r="L1042">
        <v>101.682</v>
      </c>
    </row>
    <row r="1043" spans="1:12" x14ac:dyDescent="0.25">
      <c r="A1043" s="12">
        <v>43102</v>
      </c>
      <c r="B1043">
        <v>273.71699999999998</v>
      </c>
      <c r="C1043">
        <v>250.86</v>
      </c>
      <c r="D1043">
        <f t="shared" ref="D1043:D1106" si="2">IF(L1043&gt;1,L1043,L1043*100)</f>
        <v>101.68600000000001</v>
      </c>
      <c r="E1043">
        <v>200.33699999999999</v>
      </c>
      <c r="F1043">
        <v>168.27799999999999</v>
      </c>
      <c r="G1043">
        <v>249.839</v>
      </c>
      <c r="H1043">
        <v>206.22200000000001</v>
      </c>
      <c r="I1043">
        <v>238.84200000000001</v>
      </c>
      <c r="L1043">
        <v>101.68600000000001</v>
      </c>
    </row>
    <row r="1044" spans="1:12" x14ac:dyDescent="0.25">
      <c r="A1044" s="12">
        <v>43103</v>
      </c>
      <c r="B1044">
        <v>273.16300000000001</v>
      </c>
      <c r="C1044">
        <v>250.80099999999999</v>
      </c>
      <c r="D1044">
        <f t="shared" si="2"/>
        <v>101.56</v>
      </c>
      <c r="E1044">
        <v>200.35499999999999</v>
      </c>
      <c r="F1044">
        <v>168.166</v>
      </c>
      <c r="G1044">
        <v>249.52</v>
      </c>
      <c r="H1044">
        <v>206.18100000000001</v>
      </c>
      <c r="I1044">
        <v>238.81800000000001</v>
      </c>
      <c r="L1044">
        <v>101.56</v>
      </c>
    </row>
    <row r="1045" spans="1:12" x14ac:dyDescent="0.25">
      <c r="A1045" s="12">
        <v>43104</v>
      </c>
      <c r="B1045">
        <v>273.327</v>
      </c>
      <c r="C1045">
        <v>250.81299999999999</v>
      </c>
      <c r="D1045">
        <f t="shared" si="2"/>
        <v>101.462</v>
      </c>
      <c r="E1045">
        <v>200.11500000000001</v>
      </c>
      <c r="F1045">
        <v>167.988</v>
      </c>
      <c r="G1045">
        <v>249.39400000000001</v>
      </c>
      <c r="H1045">
        <v>206.37100000000001</v>
      </c>
      <c r="I1045">
        <v>239.84200000000001</v>
      </c>
      <c r="L1045">
        <v>101.462</v>
      </c>
    </row>
    <row r="1046" spans="1:12" x14ac:dyDescent="0.25">
      <c r="A1046" s="12">
        <v>43105</v>
      </c>
      <c r="B1046">
        <v>274.10399999999998</v>
      </c>
      <c r="C1046">
        <v>250.86799999999999</v>
      </c>
      <c r="D1046">
        <f t="shared" si="2"/>
        <v>101.71299999999999</v>
      </c>
      <c r="E1046">
        <v>200.88300000000001</v>
      </c>
      <c r="F1046">
        <v>168.20099999999999</v>
      </c>
      <c r="G1046">
        <v>250.077</v>
      </c>
      <c r="H1046">
        <v>206.48500000000001</v>
      </c>
      <c r="I1046">
        <v>240.51499999999999</v>
      </c>
      <c r="L1046">
        <v>101.71299999999999</v>
      </c>
    </row>
    <row r="1047" spans="1:12" x14ac:dyDescent="0.25">
      <c r="A1047" s="12">
        <v>43108</v>
      </c>
      <c r="B1047">
        <v>274.92</v>
      </c>
      <c r="C1047">
        <v>251.06899999999999</v>
      </c>
      <c r="D1047">
        <f t="shared" si="2"/>
        <v>101.95099999999999</v>
      </c>
      <c r="E1047">
        <v>201.41499999999999</v>
      </c>
      <c r="F1047">
        <v>168.24799999999999</v>
      </c>
      <c r="G1047">
        <v>251.19900000000001</v>
      </c>
      <c r="H1047">
        <v>206.643</v>
      </c>
      <c r="I1047">
        <v>241.501</v>
      </c>
      <c r="L1047">
        <v>101.95099999999999</v>
      </c>
    </row>
    <row r="1048" spans="1:12" x14ac:dyDescent="0.25">
      <c r="A1048" s="12">
        <v>43109</v>
      </c>
      <c r="B1048">
        <v>275.726</v>
      </c>
      <c r="C1048">
        <v>251.262</v>
      </c>
      <c r="D1048">
        <f t="shared" si="2"/>
        <v>102.43</v>
      </c>
      <c r="E1048">
        <v>202.136</v>
      </c>
      <c r="F1048">
        <v>168.39400000000001</v>
      </c>
      <c r="G1048">
        <v>252.18600000000001</v>
      </c>
      <c r="H1048">
        <v>206.661</v>
      </c>
      <c r="I1048">
        <v>242.15</v>
      </c>
      <c r="L1048">
        <v>102.43</v>
      </c>
    </row>
    <row r="1049" spans="1:12" x14ac:dyDescent="0.25">
      <c r="A1049" s="12">
        <v>43110</v>
      </c>
      <c r="B1049">
        <v>276.35899999999998</v>
      </c>
      <c r="C1049">
        <v>251.226</v>
      </c>
      <c r="D1049">
        <f t="shared" si="2"/>
        <v>102.715</v>
      </c>
      <c r="E1049">
        <v>202.501</v>
      </c>
      <c r="F1049">
        <v>168.46299999999999</v>
      </c>
      <c r="G1049">
        <v>252.791</v>
      </c>
      <c r="H1049">
        <v>206.779</v>
      </c>
      <c r="I1049">
        <v>242.554</v>
      </c>
      <c r="L1049">
        <v>102.715</v>
      </c>
    </row>
    <row r="1050" spans="1:12" x14ac:dyDescent="0.25">
      <c r="A1050" s="12">
        <v>43111</v>
      </c>
      <c r="B1050">
        <v>276.15800000000002</v>
      </c>
      <c r="C1050">
        <v>250.80799999999999</v>
      </c>
      <c r="D1050">
        <f t="shared" si="2"/>
        <v>102.744</v>
      </c>
      <c r="E1050">
        <v>202.935</v>
      </c>
      <c r="F1050">
        <v>168.45400000000001</v>
      </c>
      <c r="G1050">
        <v>253.11799999999999</v>
      </c>
      <c r="H1050">
        <v>206.65199999999999</v>
      </c>
      <c r="I1050">
        <v>241.90899999999999</v>
      </c>
      <c r="L1050">
        <v>102.744</v>
      </c>
    </row>
    <row r="1051" spans="1:12" x14ac:dyDescent="0.25">
      <c r="A1051" s="12">
        <v>43112</v>
      </c>
      <c r="B1051">
        <v>275.63499999999999</v>
      </c>
      <c r="C1051">
        <v>250.61199999999999</v>
      </c>
      <c r="D1051">
        <f t="shared" si="2"/>
        <v>102.51900000000001</v>
      </c>
      <c r="E1051">
        <v>202.244</v>
      </c>
      <c r="F1051">
        <v>168.14599999999999</v>
      </c>
      <c r="G1051">
        <v>252.328</v>
      </c>
      <c r="H1051">
        <v>206.44499999999999</v>
      </c>
      <c r="I1051">
        <v>241.512</v>
      </c>
      <c r="L1051">
        <v>102.51900000000001</v>
      </c>
    </row>
    <row r="1052" spans="1:12" x14ac:dyDescent="0.25">
      <c r="A1052" s="12">
        <v>43115</v>
      </c>
      <c r="B1052">
        <v>275.63499999999999</v>
      </c>
      <c r="C1052">
        <v>250.41</v>
      </c>
      <c r="D1052">
        <f t="shared" si="2"/>
        <v>102.313</v>
      </c>
      <c r="E1052">
        <v>202.45</v>
      </c>
      <c r="F1052">
        <v>167.53</v>
      </c>
      <c r="G1052">
        <v>252.16399999999999</v>
      </c>
      <c r="H1052">
        <v>206.38200000000001</v>
      </c>
      <c r="I1052">
        <v>242.19900000000001</v>
      </c>
      <c r="L1052">
        <v>102.313</v>
      </c>
    </row>
    <row r="1053" spans="1:12" x14ac:dyDescent="0.25">
      <c r="A1053" s="12">
        <v>43116</v>
      </c>
      <c r="B1053">
        <v>275.45699999999999</v>
      </c>
      <c r="C1053">
        <v>250.26</v>
      </c>
      <c r="D1053">
        <f t="shared" si="2"/>
        <v>102.169</v>
      </c>
      <c r="E1053">
        <v>202.76</v>
      </c>
      <c r="F1053">
        <v>167.52</v>
      </c>
      <c r="G1053">
        <v>252.25200000000001</v>
      </c>
      <c r="H1053">
        <v>206.34899999999999</v>
      </c>
      <c r="I1053">
        <v>241.71100000000001</v>
      </c>
      <c r="L1053">
        <v>102.169</v>
      </c>
    </row>
    <row r="1054" spans="1:12" x14ac:dyDescent="0.25">
      <c r="A1054" s="12">
        <v>43117</v>
      </c>
      <c r="B1054">
        <v>275.54000000000002</v>
      </c>
      <c r="C1054">
        <v>250.41800000000001</v>
      </c>
      <c r="D1054">
        <f t="shared" si="2"/>
        <v>102.251</v>
      </c>
      <c r="E1054">
        <v>202.40700000000001</v>
      </c>
      <c r="F1054">
        <v>167.33</v>
      </c>
      <c r="G1054">
        <v>252.202</v>
      </c>
      <c r="H1054">
        <v>206.42699999999999</v>
      </c>
      <c r="I1054">
        <v>242.274</v>
      </c>
      <c r="L1054">
        <v>102.251</v>
      </c>
    </row>
    <row r="1055" spans="1:12" x14ac:dyDescent="0.25">
      <c r="A1055" s="12">
        <v>43118</v>
      </c>
      <c r="B1055">
        <v>275.63600000000002</v>
      </c>
      <c r="C1055">
        <v>250.57900000000001</v>
      </c>
      <c r="D1055">
        <f t="shared" si="2"/>
        <v>102.06399999999999</v>
      </c>
      <c r="E1055">
        <v>202.83699999999999</v>
      </c>
      <c r="F1055">
        <v>167.52199999999999</v>
      </c>
      <c r="G1055">
        <v>252.51499999999999</v>
      </c>
      <c r="H1055">
        <v>206.398</v>
      </c>
      <c r="I1055">
        <v>242.346</v>
      </c>
      <c r="L1055">
        <v>102.06399999999999</v>
      </c>
    </row>
    <row r="1056" spans="1:12" x14ac:dyDescent="0.25">
      <c r="A1056" s="12">
        <v>43119</v>
      </c>
      <c r="B1056">
        <v>275.53800000000001</v>
      </c>
      <c r="C1056">
        <v>250.334</v>
      </c>
      <c r="D1056">
        <f t="shared" si="2"/>
        <v>102.18600000000001</v>
      </c>
      <c r="E1056">
        <v>202.678</v>
      </c>
      <c r="F1056">
        <v>167.494</v>
      </c>
      <c r="G1056">
        <v>252.21700000000001</v>
      </c>
      <c r="H1056">
        <v>206.333</v>
      </c>
      <c r="I1056">
        <v>242.45699999999999</v>
      </c>
      <c r="L1056">
        <v>102.18600000000001</v>
      </c>
    </row>
    <row r="1057" spans="1:12" x14ac:dyDescent="0.25">
      <c r="A1057" s="12">
        <v>43122</v>
      </c>
      <c r="B1057">
        <v>275.44299999999998</v>
      </c>
      <c r="C1057">
        <v>250.125</v>
      </c>
      <c r="D1057">
        <f t="shared" si="2"/>
        <v>102.114</v>
      </c>
      <c r="E1057">
        <v>202.70599999999999</v>
      </c>
      <c r="F1057">
        <v>167.38499999999999</v>
      </c>
      <c r="G1057">
        <v>252.447</v>
      </c>
      <c r="H1057">
        <v>206.303</v>
      </c>
      <c r="I1057">
        <v>242.99199999999999</v>
      </c>
      <c r="L1057">
        <v>102.114</v>
      </c>
    </row>
    <row r="1058" spans="1:12" x14ac:dyDescent="0.25">
      <c r="A1058" s="12">
        <v>43123</v>
      </c>
      <c r="B1058">
        <v>275.97500000000002</v>
      </c>
      <c r="C1058">
        <v>250.005</v>
      </c>
      <c r="D1058">
        <f t="shared" si="2"/>
        <v>102.376</v>
      </c>
      <c r="E1058">
        <v>203.06</v>
      </c>
      <c r="F1058">
        <v>167.39400000000001</v>
      </c>
      <c r="G1058">
        <v>252.96899999999999</v>
      </c>
      <c r="H1058">
        <v>206.21899999999999</v>
      </c>
      <c r="I1058">
        <v>243.33600000000001</v>
      </c>
      <c r="L1058">
        <v>102.376</v>
      </c>
    </row>
    <row r="1059" spans="1:12" x14ac:dyDescent="0.25">
      <c r="A1059" s="12">
        <v>43124</v>
      </c>
      <c r="B1059">
        <v>276.39499999999998</v>
      </c>
      <c r="C1059">
        <v>249.99600000000001</v>
      </c>
      <c r="D1059">
        <f t="shared" si="2"/>
        <v>102.6</v>
      </c>
      <c r="E1059">
        <v>203.33500000000001</v>
      </c>
      <c r="F1059">
        <v>167.37799999999999</v>
      </c>
      <c r="G1059">
        <v>253.321</v>
      </c>
      <c r="H1059">
        <v>206.24100000000001</v>
      </c>
      <c r="I1059">
        <v>243.72499999999999</v>
      </c>
      <c r="L1059">
        <v>102.6</v>
      </c>
    </row>
    <row r="1060" spans="1:12" x14ac:dyDescent="0.25">
      <c r="A1060" s="12">
        <v>43125</v>
      </c>
      <c r="B1060">
        <v>276.27699999999999</v>
      </c>
      <c r="C1060">
        <v>249.86099999999999</v>
      </c>
      <c r="D1060">
        <f t="shared" si="2"/>
        <v>102.533</v>
      </c>
      <c r="E1060">
        <v>203.72300000000001</v>
      </c>
      <c r="F1060">
        <v>167.44</v>
      </c>
      <c r="G1060">
        <v>253.57300000000001</v>
      </c>
      <c r="H1060">
        <v>206.256</v>
      </c>
      <c r="I1060">
        <v>243.08</v>
      </c>
      <c r="L1060">
        <v>102.533</v>
      </c>
    </row>
    <row r="1061" spans="1:12" x14ac:dyDescent="0.25">
      <c r="A1061" s="12">
        <v>43126</v>
      </c>
      <c r="B1061">
        <v>275.86200000000002</v>
      </c>
      <c r="C1061">
        <v>249.767</v>
      </c>
      <c r="D1061">
        <f t="shared" si="2"/>
        <v>102.07299999999999</v>
      </c>
      <c r="E1061">
        <v>203.203</v>
      </c>
      <c r="F1061">
        <v>167.17500000000001</v>
      </c>
      <c r="G1061">
        <v>253.46100000000001</v>
      </c>
      <c r="H1061">
        <v>206.297</v>
      </c>
      <c r="I1061">
        <v>242.73699999999999</v>
      </c>
      <c r="L1061">
        <v>102.07299999999999</v>
      </c>
    </row>
    <row r="1062" spans="1:12" x14ac:dyDescent="0.25">
      <c r="A1062" s="12">
        <v>43129</v>
      </c>
      <c r="B1062">
        <v>275.45100000000002</v>
      </c>
      <c r="C1062">
        <v>249.886</v>
      </c>
      <c r="D1062">
        <f t="shared" si="2"/>
        <v>101.795</v>
      </c>
      <c r="E1062">
        <v>202.755</v>
      </c>
      <c r="F1062">
        <v>166.95599999999999</v>
      </c>
      <c r="G1062">
        <v>252.72300000000001</v>
      </c>
      <c r="H1062">
        <v>206.375</v>
      </c>
      <c r="I1062">
        <v>243.36199999999999</v>
      </c>
      <c r="L1062">
        <v>101.795</v>
      </c>
    </row>
    <row r="1063" spans="1:12" x14ac:dyDescent="0.25">
      <c r="A1063" s="12">
        <v>43130</v>
      </c>
      <c r="B1063">
        <v>275.71699999999998</v>
      </c>
      <c r="C1063">
        <v>249.71799999999999</v>
      </c>
      <c r="D1063">
        <f t="shared" si="2"/>
        <v>102.298</v>
      </c>
      <c r="E1063">
        <v>203.321</v>
      </c>
      <c r="F1063">
        <v>167.01499999999999</v>
      </c>
      <c r="G1063">
        <v>253.17</v>
      </c>
      <c r="H1063">
        <v>206.255</v>
      </c>
      <c r="I1063">
        <v>243.16499999999999</v>
      </c>
      <c r="L1063">
        <v>102.298</v>
      </c>
    </row>
    <row r="1064" spans="1:12" x14ac:dyDescent="0.25">
      <c r="A1064" s="12">
        <v>43131</v>
      </c>
      <c r="B1064">
        <v>275.32499999999999</v>
      </c>
      <c r="C1064">
        <v>249.53100000000001</v>
      </c>
      <c r="D1064">
        <f t="shared" si="2"/>
        <v>101.961</v>
      </c>
      <c r="E1064">
        <v>203.24299999999999</v>
      </c>
      <c r="F1064">
        <v>166.79</v>
      </c>
      <c r="G1064">
        <v>252.99</v>
      </c>
      <c r="H1064">
        <v>205.96700000000001</v>
      </c>
      <c r="I1064">
        <v>241.84</v>
      </c>
      <c r="L1064">
        <v>101.961</v>
      </c>
    </row>
    <row r="1065" spans="1:12" x14ac:dyDescent="0.25">
      <c r="A1065" s="12">
        <v>43132</v>
      </c>
      <c r="B1065">
        <v>274.49099999999999</v>
      </c>
      <c r="C1065">
        <v>249.44399999999999</v>
      </c>
      <c r="D1065">
        <f t="shared" si="2"/>
        <v>101.447</v>
      </c>
      <c r="E1065">
        <v>202.178</v>
      </c>
      <c r="F1065">
        <v>166.732</v>
      </c>
      <c r="G1065">
        <v>251.70599999999999</v>
      </c>
      <c r="H1065">
        <v>205.834</v>
      </c>
      <c r="I1065">
        <v>241.779</v>
      </c>
      <c r="L1065">
        <v>101.447</v>
      </c>
    </row>
    <row r="1066" spans="1:12" x14ac:dyDescent="0.25">
      <c r="A1066" s="12">
        <v>43133</v>
      </c>
      <c r="B1066">
        <v>274.13900000000001</v>
      </c>
      <c r="C1066">
        <v>249.40100000000001</v>
      </c>
      <c r="D1066">
        <f t="shared" si="2"/>
        <v>101.274</v>
      </c>
      <c r="E1066">
        <v>202.09200000000001</v>
      </c>
      <c r="F1066">
        <v>166.66800000000001</v>
      </c>
      <c r="G1066">
        <v>251.56399999999999</v>
      </c>
      <c r="H1066">
        <v>205.83199999999999</v>
      </c>
      <c r="I1066">
        <v>241.059</v>
      </c>
      <c r="L1066">
        <v>101.274</v>
      </c>
    </row>
    <row r="1067" spans="1:12" x14ac:dyDescent="0.25">
      <c r="A1067" s="12">
        <v>43136</v>
      </c>
      <c r="B1067">
        <v>273.47199999999998</v>
      </c>
      <c r="C1067">
        <v>249.05</v>
      </c>
      <c r="D1067">
        <f t="shared" si="2"/>
        <v>101.066</v>
      </c>
      <c r="E1067">
        <v>201.678</v>
      </c>
      <c r="F1067">
        <v>166.65</v>
      </c>
      <c r="G1067">
        <v>251.06299999999999</v>
      </c>
      <c r="H1067">
        <v>205.797</v>
      </c>
      <c r="I1067">
        <v>239.709</v>
      </c>
      <c r="L1067">
        <v>101.066</v>
      </c>
    </row>
    <row r="1068" spans="1:12" x14ac:dyDescent="0.25">
      <c r="A1068" s="12">
        <v>43137</v>
      </c>
      <c r="B1068">
        <v>271.62299999999999</v>
      </c>
      <c r="C1068">
        <v>248.69399999999999</v>
      </c>
      <c r="D1068">
        <f t="shared" si="2"/>
        <v>100.245</v>
      </c>
      <c r="E1068">
        <v>200.48500000000001</v>
      </c>
      <c r="F1068">
        <v>166.35300000000001</v>
      </c>
      <c r="G1068">
        <v>249.44300000000001</v>
      </c>
      <c r="H1068">
        <v>205.54</v>
      </c>
      <c r="I1068">
        <v>238.60900000000001</v>
      </c>
      <c r="L1068">
        <v>100.245</v>
      </c>
    </row>
    <row r="1069" spans="1:12" x14ac:dyDescent="0.25">
      <c r="A1069" s="12">
        <v>43138</v>
      </c>
      <c r="B1069">
        <v>269.54399999999998</v>
      </c>
      <c r="C1069">
        <v>248.77</v>
      </c>
      <c r="D1069">
        <f t="shared" si="2"/>
        <v>99</v>
      </c>
      <c r="E1069">
        <v>199.29599999999999</v>
      </c>
      <c r="F1069">
        <v>166.249</v>
      </c>
      <c r="G1069">
        <v>247.46700000000001</v>
      </c>
      <c r="H1069">
        <v>205.48099999999999</v>
      </c>
      <c r="I1069">
        <v>236.34700000000001</v>
      </c>
      <c r="L1069">
        <v>0.99</v>
      </c>
    </row>
    <row r="1070" spans="1:12" x14ac:dyDescent="0.25">
      <c r="A1070" s="12">
        <v>43139</v>
      </c>
      <c r="B1070">
        <v>269.70800000000003</v>
      </c>
      <c r="C1070">
        <v>248.809</v>
      </c>
      <c r="D1070">
        <f t="shared" si="2"/>
        <v>99.378999999999991</v>
      </c>
      <c r="E1070">
        <v>196.578</v>
      </c>
      <c r="F1070">
        <v>166.33199999999999</v>
      </c>
      <c r="G1070">
        <v>245.21799999999999</v>
      </c>
      <c r="H1070">
        <v>205.447</v>
      </c>
      <c r="I1070">
        <v>238.01400000000001</v>
      </c>
      <c r="L1070">
        <v>0.99378999999999995</v>
      </c>
    </row>
    <row r="1071" spans="1:12" x14ac:dyDescent="0.25">
      <c r="A1071" s="12">
        <v>43140</v>
      </c>
      <c r="B1071">
        <v>269.54399999999998</v>
      </c>
      <c r="C1071">
        <v>248.595</v>
      </c>
      <c r="D1071">
        <f t="shared" si="2"/>
        <v>99.477000000000004</v>
      </c>
      <c r="E1071">
        <v>198.55600000000001</v>
      </c>
      <c r="F1071">
        <v>166.54300000000001</v>
      </c>
      <c r="G1071">
        <v>246.66900000000001</v>
      </c>
      <c r="H1071">
        <v>205.40899999999999</v>
      </c>
      <c r="I1071">
        <v>235.92</v>
      </c>
      <c r="L1071">
        <v>0.99477000000000004</v>
      </c>
    </row>
    <row r="1072" spans="1:12" x14ac:dyDescent="0.25">
      <c r="A1072" s="12">
        <v>43143</v>
      </c>
      <c r="B1072">
        <v>267.61599999999999</v>
      </c>
      <c r="C1072">
        <v>248.10300000000001</v>
      </c>
      <c r="D1072">
        <f t="shared" si="2"/>
        <v>98.537999999999997</v>
      </c>
      <c r="E1072">
        <v>196.64</v>
      </c>
      <c r="F1072">
        <v>166.07900000000001</v>
      </c>
      <c r="G1072">
        <v>245.178</v>
      </c>
      <c r="H1072">
        <v>205.12700000000001</v>
      </c>
      <c r="I1072">
        <v>234.63</v>
      </c>
      <c r="L1072">
        <v>0.98538000000000003</v>
      </c>
    </row>
    <row r="1073" spans="1:12" x14ac:dyDescent="0.25">
      <c r="A1073" s="12">
        <v>43144</v>
      </c>
      <c r="B1073">
        <v>267.048</v>
      </c>
      <c r="C1073">
        <v>247.857</v>
      </c>
      <c r="D1073">
        <f t="shared" si="2"/>
        <v>98.653000000000006</v>
      </c>
      <c r="E1073">
        <v>194.89</v>
      </c>
      <c r="F1073">
        <v>165.69399999999999</v>
      </c>
      <c r="G1073">
        <v>243.25800000000001</v>
      </c>
      <c r="H1073">
        <v>205.00200000000001</v>
      </c>
      <c r="I1073">
        <v>235.87799999999999</v>
      </c>
      <c r="L1073">
        <v>0.98653000000000002</v>
      </c>
    </row>
    <row r="1074" spans="1:12" x14ac:dyDescent="0.25">
      <c r="A1074" s="12">
        <v>43145</v>
      </c>
      <c r="B1074">
        <v>267.851</v>
      </c>
      <c r="C1074">
        <v>247.64699999999999</v>
      </c>
      <c r="D1074">
        <f t="shared" si="2"/>
        <v>98.853999999999999</v>
      </c>
      <c r="E1074">
        <v>196.18</v>
      </c>
      <c r="F1074">
        <v>165.71299999999999</v>
      </c>
      <c r="G1074">
        <v>244.07900000000001</v>
      </c>
      <c r="H1074">
        <v>204.934</v>
      </c>
      <c r="I1074">
        <v>235.40100000000001</v>
      </c>
      <c r="L1074">
        <v>0.98853999999999997</v>
      </c>
    </row>
    <row r="1075" spans="1:12" x14ac:dyDescent="0.25">
      <c r="A1075" s="12">
        <v>43146</v>
      </c>
      <c r="B1075">
        <v>267.33</v>
      </c>
      <c r="C1075">
        <v>247.46</v>
      </c>
      <c r="D1075">
        <f t="shared" si="2"/>
        <v>98.728999999999999</v>
      </c>
      <c r="E1075">
        <v>195.798</v>
      </c>
      <c r="F1075">
        <v>165.423</v>
      </c>
      <c r="G1075">
        <v>243.64</v>
      </c>
      <c r="H1075">
        <v>204.86199999999999</v>
      </c>
      <c r="I1075">
        <v>236.06800000000001</v>
      </c>
      <c r="L1075">
        <v>0.98729</v>
      </c>
    </row>
    <row r="1076" spans="1:12" x14ac:dyDescent="0.25">
      <c r="A1076" s="12">
        <v>43147</v>
      </c>
      <c r="B1076">
        <v>267.92</v>
      </c>
      <c r="C1076">
        <v>246.93</v>
      </c>
      <c r="D1076">
        <f t="shared" si="2"/>
        <v>98.95</v>
      </c>
      <c r="E1076">
        <v>196.31899999999999</v>
      </c>
      <c r="F1076">
        <v>165.19399999999999</v>
      </c>
      <c r="G1076">
        <v>244.298</v>
      </c>
      <c r="H1076">
        <v>204.78100000000001</v>
      </c>
      <c r="I1076">
        <v>236.75700000000001</v>
      </c>
      <c r="L1076">
        <v>0.98950000000000005</v>
      </c>
    </row>
    <row r="1077" spans="1:12" x14ac:dyDescent="0.25">
      <c r="A1077" s="12">
        <v>43150</v>
      </c>
      <c r="B1077">
        <v>268.65100000000001</v>
      </c>
      <c r="C1077">
        <v>247.15100000000001</v>
      </c>
      <c r="D1077">
        <f t="shared" si="2"/>
        <v>99.344999999999999</v>
      </c>
      <c r="E1077">
        <v>197.23</v>
      </c>
      <c r="F1077">
        <v>165.33199999999999</v>
      </c>
      <c r="G1077">
        <v>245.584</v>
      </c>
      <c r="H1077">
        <v>204.92400000000001</v>
      </c>
      <c r="I1077">
        <v>238.03700000000001</v>
      </c>
      <c r="L1077">
        <v>0.99345000000000006</v>
      </c>
    </row>
    <row r="1078" spans="1:12" x14ac:dyDescent="0.25">
      <c r="A1078" s="12">
        <v>43151</v>
      </c>
      <c r="B1078">
        <v>269.173</v>
      </c>
      <c r="C1078">
        <v>247.553</v>
      </c>
      <c r="D1078">
        <f t="shared" si="2"/>
        <v>99.658000000000001</v>
      </c>
      <c r="E1078">
        <v>198.5</v>
      </c>
      <c r="F1078">
        <v>165.84800000000001</v>
      </c>
      <c r="G1078">
        <v>246.602</v>
      </c>
      <c r="H1078">
        <v>205.21100000000001</v>
      </c>
      <c r="I1078">
        <v>237.548</v>
      </c>
      <c r="L1078">
        <v>0.99658000000000002</v>
      </c>
    </row>
    <row r="1079" spans="1:12" x14ac:dyDescent="0.25">
      <c r="A1079" s="12">
        <v>43152</v>
      </c>
      <c r="B1079">
        <v>269.49099999999999</v>
      </c>
      <c r="C1079">
        <v>247.68199999999999</v>
      </c>
      <c r="D1079">
        <f t="shared" si="2"/>
        <v>99.715000000000003</v>
      </c>
      <c r="E1079">
        <v>198.107</v>
      </c>
      <c r="F1079">
        <v>165.82599999999999</v>
      </c>
      <c r="G1079">
        <v>246.29400000000001</v>
      </c>
      <c r="H1079">
        <v>205.16499999999999</v>
      </c>
      <c r="I1079">
        <v>238.005</v>
      </c>
      <c r="L1079">
        <v>0.99714999999999998</v>
      </c>
    </row>
    <row r="1080" spans="1:12" x14ac:dyDescent="0.25">
      <c r="A1080" s="12">
        <v>43153</v>
      </c>
      <c r="B1080">
        <v>269.32900000000001</v>
      </c>
      <c r="C1080">
        <v>247.547</v>
      </c>
      <c r="D1080">
        <f t="shared" si="2"/>
        <v>99.855000000000004</v>
      </c>
      <c r="E1080">
        <v>198.30699999999999</v>
      </c>
      <c r="F1080">
        <v>165.738</v>
      </c>
      <c r="G1080">
        <v>246.55600000000001</v>
      </c>
      <c r="H1080">
        <v>205.048</v>
      </c>
      <c r="I1080">
        <v>238.40700000000001</v>
      </c>
      <c r="L1080">
        <v>0.99855000000000005</v>
      </c>
    </row>
    <row r="1081" spans="1:12" x14ac:dyDescent="0.25">
      <c r="A1081" s="12">
        <v>43154</v>
      </c>
      <c r="B1081">
        <v>269.16800000000001</v>
      </c>
      <c r="C1081">
        <v>247.41</v>
      </c>
      <c r="D1081">
        <f t="shared" si="2"/>
        <v>99.748999999999995</v>
      </c>
      <c r="E1081">
        <v>198.60900000000001</v>
      </c>
      <c r="F1081">
        <v>165.798</v>
      </c>
      <c r="G1081">
        <v>246.77600000000001</v>
      </c>
      <c r="H1081">
        <v>205.07</v>
      </c>
      <c r="I1081">
        <v>238.17500000000001</v>
      </c>
      <c r="L1081">
        <v>0.99748999999999999</v>
      </c>
    </row>
    <row r="1082" spans="1:12" x14ac:dyDescent="0.25">
      <c r="A1082" s="12">
        <v>43157</v>
      </c>
      <c r="B1082">
        <v>268.928</v>
      </c>
      <c r="C1082">
        <v>247.285</v>
      </c>
      <c r="D1082">
        <f t="shared" si="2"/>
        <v>99.858999999999995</v>
      </c>
      <c r="E1082">
        <v>198.29900000000001</v>
      </c>
      <c r="F1082">
        <v>165.77600000000001</v>
      </c>
      <c r="G1082">
        <v>246.55500000000001</v>
      </c>
      <c r="H1082">
        <v>205.02699999999999</v>
      </c>
      <c r="I1082">
        <v>238.465</v>
      </c>
      <c r="L1082">
        <v>0.99858999999999998</v>
      </c>
    </row>
    <row r="1083" spans="1:12" x14ac:dyDescent="0.25">
      <c r="A1083" s="12">
        <v>43158</v>
      </c>
      <c r="B1083">
        <v>269.97199999999998</v>
      </c>
      <c r="C1083">
        <v>247.44900000000001</v>
      </c>
      <c r="D1083">
        <f t="shared" si="2"/>
        <v>100.502</v>
      </c>
      <c r="E1083">
        <v>198.60499999999999</v>
      </c>
      <c r="F1083">
        <v>165.96899999999999</v>
      </c>
      <c r="G1083">
        <v>247.03899999999999</v>
      </c>
      <c r="H1083">
        <v>205.20400000000001</v>
      </c>
      <c r="I1083">
        <v>239.08</v>
      </c>
      <c r="L1083">
        <v>100.502</v>
      </c>
    </row>
    <row r="1084" spans="1:12" x14ac:dyDescent="0.25">
      <c r="A1084" s="12">
        <v>43159</v>
      </c>
      <c r="B1084">
        <v>270.625</v>
      </c>
      <c r="C1084">
        <v>247.65</v>
      </c>
      <c r="D1084">
        <f t="shared" si="2"/>
        <v>100.964</v>
      </c>
      <c r="E1084">
        <v>199.45699999999999</v>
      </c>
      <c r="F1084">
        <v>166.11199999999999</v>
      </c>
      <c r="G1084">
        <v>247.81899999999999</v>
      </c>
      <c r="H1084">
        <v>205.33</v>
      </c>
      <c r="I1084">
        <v>238.828</v>
      </c>
      <c r="L1084">
        <v>100.964</v>
      </c>
    </row>
    <row r="1085" spans="1:12" x14ac:dyDescent="0.25">
      <c r="A1085" s="12">
        <v>43160</v>
      </c>
      <c r="B1085">
        <v>270.32600000000002</v>
      </c>
      <c r="C1085">
        <v>247.70099999999999</v>
      </c>
      <c r="D1085">
        <f t="shared" si="2"/>
        <v>100.801</v>
      </c>
      <c r="E1085">
        <v>199.47900000000001</v>
      </c>
      <c r="F1085">
        <v>166.16200000000001</v>
      </c>
      <c r="G1085">
        <v>247.66499999999999</v>
      </c>
      <c r="H1085">
        <v>205.22300000000001</v>
      </c>
      <c r="I1085">
        <v>238.79300000000001</v>
      </c>
      <c r="L1085">
        <v>100.801</v>
      </c>
    </row>
    <row r="1086" spans="1:12" x14ac:dyDescent="0.25">
      <c r="A1086" s="12">
        <v>43161</v>
      </c>
      <c r="B1086">
        <v>269.51</v>
      </c>
      <c r="C1086">
        <v>247.71799999999999</v>
      </c>
      <c r="D1086">
        <f t="shared" si="2"/>
        <v>100.404</v>
      </c>
      <c r="E1086">
        <v>198.916</v>
      </c>
      <c r="F1086">
        <v>166.25899999999999</v>
      </c>
      <c r="G1086">
        <v>247.40600000000001</v>
      </c>
      <c r="H1086">
        <v>205.24299999999999</v>
      </c>
      <c r="I1086">
        <v>238.108</v>
      </c>
      <c r="L1086">
        <v>100.404</v>
      </c>
    </row>
    <row r="1087" spans="1:12" x14ac:dyDescent="0.25">
      <c r="A1087" s="12">
        <v>43164</v>
      </c>
      <c r="B1087">
        <v>267.892</v>
      </c>
      <c r="C1087">
        <v>247.607</v>
      </c>
      <c r="D1087">
        <f t="shared" si="2"/>
        <v>99.661999999999992</v>
      </c>
      <c r="E1087">
        <v>198.09899999999999</v>
      </c>
      <c r="F1087">
        <v>166.26400000000001</v>
      </c>
      <c r="G1087">
        <v>245.792</v>
      </c>
      <c r="H1087">
        <v>205.173</v>
      </c>
      <c r="I1087">
        <v>235.93700000000001</v>
      </c>
      <c r="L1087" s="30">
        <v>0.99661999999999995</v>
      </c>
    </row>
    <row r="1088" spans="1:12" x14ac:dyDescent="0.25">
      <c r="A1088" s="12">
        <v>43165</v>
      </c>
      <c r="B1088">
        <v>266.85899999999998</v>
      </c>
      <c r="C1088">
        <v>247.392</v>
      </c>
      <c r="D1088">
        <f t="shared" si="2"/>
        <v>99.692000000000007</v>
      </c>
      <c r="E1088">
        <v>196.232</v>
      </c>
      <c r="F1088">
        <v>165.958</v>
      </c>
      <c r="G1088">
        <v>243.83199999999999</v>
      </c>
      <c r="H1088">
        <v>205.11799999999999</v>
      </c>
      <c r="I1088">
        <v>236.81800000000001</v>
      </c>
      <c r="L1088" s="30">
        <v>0.99692000000000003</v>
      </c>
    </row>
    <row r="1089" spans="1:12" x14ac:dyDescent="0.25">
      <c r="A1089" s="12">
        <v>43166</v>
      </c>
      <c r="B1089">
        <v>267.48200000000003</v>
      </c>
      <c r="C1089">
        <v>247.12299999999999</v>
      </c>
      <c r="D1089">
        <f t="shared" si="2"/>
        <v>99.477000000000004</v>
      </c>
      <c r="E1089">
        <v>197.10400000000001</v>
      </c>
      <c r="F1089">
        <v>165.96299999999999</v>
      </c>
      <c r="G1089">
        <v>244.52600000000001</v>
      </c>
      <c r="H1089">
        <v>205.06100000000001</v>
      </c>
      <c r="I1089">
        <v>236.78100000000001</v>
      </c>
      <c r="L1089" s="30">
        <v>0.99477000000000004</v>
      </c>
    </row>
    <row r="1090" spans="1:12" x14ac:dyDescent="0.25">
      <c r="A1090" s="12">
        <v>43167</v>
      </c>
      <c r="B1090">
        <v>268.125</v>
      </c>
      <c r="C1090">
        <v>247.24799999999999</v>
      </c>
      <c r="D1090">
        <f t="shared" si="2"/>
        <v>99.355999999999995</v>
      </c>
      <c r="E1090">
        <v>197.239</v>
      </c>
      <c r="F1090">
        <v>165.834</v>
      </c>
      <c r="G1090">
        <v>245.261</v>
      </c>
      <c r="H1090">
        <v>205.15600000000001</v>
      </c>
      <c r="I1090">
        <v>237.05199999999999</v>
      </c>
      <c r="L1090" s="30">
        <v>0.99356</v>
      </c>
    </row>
    <row r="1091" spans="1:12" x14ac:dyDescent="0.25">
      <c r="A1091" s="12">
        <v>43168</v>
      </c>
      <c r="B1091">
        <v>267.86200000000002</v>
      </c>
      <c r="C1091">
        <v>247.1</v>
      </c>
      <c r="D1091">
        <f t="shared" si="2"/>
        <v>99.481999999999999</v>
      </c>
      <c r="E1091">
        <v>197.37100000000001</v>
      </c>
      <c r="F1091">
        <v>165.86199999999999</v>
      </c>
      <c r="G1091">
        <v>245.447</v>
      </c>
      <c r="H1091">
        <v>205.14599999999999</v>
      </c>
      <c r="I1091">
        <v>237.89099999999999</v>
      </c>
      <c r="L1091" s="30">
        <v>0.99482000000000004</v>
      </c>
    </row>
    <row r="1092" spans="1:12" x14ac:dyDescent="0.25">
      <c r="A1092" s="12">
        <v>43171</v>
      </c>
      <c r="B1092">
        <v>268.83100000000002</v>
      </c>
      <c r="C1092">
        <v>247.34100000000001</v>
      </c>
      <c r="D1092">
        <f t="shared" si="2"/>
        <v>100.09399999999999</v>
      </c>
      <c r="E1092">
        <v>198.22499999999999</v>
      </c>
      <c r="F1092">
        <v>166.03299999999999</v>
      </c>
      <c r="G1092">
        <v>246.43700000000001</v>
      </c>
      <c r="H1092">
        <v>205.17599999999999</v>
      </c>
      <c r="I1092">
        <v>238.608</v>
      </c>
      <c r="L1092">
        <v>100.09399999999999</v>
      </c>
    </row>
    <row r="1093" spans="1:12" x14ac:dyDescent="0.25">
      <c r="A1093" s="12">
        <v>43172</v>
      </c>
      <c r="B1093">
        <v>269.88400000000001</v>
      </c>
      <c r="C1093">
        <v>247.38499999999999</v>
      </c>
      <c r="D1093">
        <f t="shared" si="2"/>
        <v>100.577</v>
      </c>
      <c r="E1093">
        <v>198.98</v>
      </c>
      <c r="F1093">
        <v>166.03200000000001</v>
      </c>
      <c r="G1093">
        <v>247.06200000000001</v>
      </c>
      <c r="H1093">
        <v>205.203</v>
      </c>
      <c r="I1093">
        <v>239.089</v>
      </c>
      <c r="L1093">
        <v>100.577</v>
      </c>
    </row>
    <row r="1094" spans="1:12" x14ac:dyDescent="0.25">
      <c r="A1094" s="12">
        <v>43173</v>
      </c>
      <c r="B1094">
        <v>269.95100000000002</v>
      </c>
      <c r="C1094">
        <v>247.322</v>
      </c>
      <c r="D1094">
        <f t="shared" si="2"/>
        <v>100.63200000000001</v>
      </c>
      <c r="E1094">
        <v>199.43600000000001</v>
      </c>
      <c r="F1094">
        <v>166.16900000000001</v>
      </c>
      <c r="G1094">
        <v>247.512</v>
      </c>
      <c r="H1094">
        <v>205.14</v>
      </c>
      <c r="I1094">
        <v>238.375</v>
      </c>
      <c r="L1094">
        <v>100.63200000000001</v>
      </c>
    </row>
    <row r="1095" spans="1:12" x14ac:dyDescent="0.25">
      <c r="A1095" s="12">
        <v>43174</v>
      </c>
      <c r="B1095">
        <v>269.51299999999998</v>
      </c>
      <c r="C1095">
        <v>247.41200000000001</v>
      </c>
      <c r="D1095">
        <f t="shared" si="2"/>
        <v>100.21599999999999</v>
      </c>
      <c r="E1095">
        <v>198.75299999999999</v>
      </c>
      <c r="F1095">
        <v>166.03899999999999</v>
      </c>
      <c r="G1095">
        <v>246.91</v>
      </c>
      <c r="H1095">
        <v>205.21199999999999</v>
      </c>
      <c r="I1095">
        <v>238.36099999999999</v>
      </c>
      <c r="L1095">
        <v>100.21599999999999</v>
      </c>
    </row>
    <row r="1096" spans="1:12" x14ac:dyDescent="0.25">
      <c r="A1096" s="12">
        <v>43175</v>
      </c>
      <c r="B1096">
        <v>269.238</v>
      </c>
      <c r="C1096">
        <v>247.535</v>
      </c>
      <c r="D1096">
        <f t="shared" si="2"/>
        <v>100.22799999999999</v>
      </c>
      <c r="E1096">
        <v>198.58099999999999</v>
      </c>
      <c r="F1096">
        <v>166.10499999999999</v>
      </c>
      <c r="G1096">
        <v>246.648</v>
      </c>
      <c r="H1096">
        <v>205.20099999999999</v>
      </c>
      <c r="I1096">
        <v>238.75</v>
      </c>
      <c r="L1096">
        <v>100.22799999999999</v>
      </c>
    </row>
    <row r="1097" spans="1:12" x14ac:dyDescent="0.25">
      <c r="A1097" s="12">
        <v>43178</v>
      </c>
      <c r="B1097">
        <v>269.18599999999998</v>
      </c>
      <c r="C1097">
        <v>247.50200000000001</v>
      </c>
      <c r="D1097">
        <f t="shared" si="2"/>
        <v>100.444</v>
      </c>
      <c r="E1097">
        <v>198.72200000000001</v>
      </c>
      <c r="F1097">
        <v>165.78399999999999</v>
      </c>
      <c r="G1097">
        <v>246.88499999999999</v>
      </c>
      <c r="H1097">
        <v>205.08600000000001</v>
      </c>
      <c r="I1097">
        <v>238.93600000000001</v>
      </c>
      <c r="L1097">
        <v>100.444</v>
      </c>
    </row>
    <row r="1098" spans="1:12" x14ac:dyDescent="0.25">
      <c r="A1098" s="12">
        <v>43179</v>
      </c>
      <c r="B1098">
        <v>269.38900000000001</v>
      </c>
      <c r="C1098">
        <v>247.23599999999999</v>
      </c>
      <c r="D1098">
        <f t="shared" si="2"/>
        <v>100.402</v>
      </c>
      <c r="E1098">
        <v>198.92599999999999</v>
      </c>
      <c r="F1098">
        <v>165.85300000000001</v>
      </c>
      <c r="G1098">
        <v>247.089</v>
      </c>
      <c r="H1098">
        <v>205.047</v>
      </c>
      <c r="I1098">
        <v>237.703</v>
      </c>
      <c r="L1098">
        <v>100.402</v>
      </c>
    </row>
    <row r="1099" spans="1:12" x14ac:dyDescent="0.25">
      <c r="A1099" s="12">
        <v>43180</v>
      </c>
      <c r="B1099">
        <v>268.56799999999998</v>
      </c>
      <c r="C1099">
        <v>247.11</v>
      </c>
      <c r="D1099">
        <f t="shared" si="2"/>
        <v>99.896000000000001</v>
      </c>
      <c r="E1099">
        <v>197.60499999999999</v>
      </c>
      <c r="F1099">
        <v>165.60599999999999</v>
      </c>
      <c r="G1099">
        <v>245.99199999999999</v>
      </c>
      <c r="H1099">
        <v>204.952</v>
      </c>
      <c r="I1099">
        <v>238.441</v>
      </c>
      <c r="L1099" s="30">
        <v>0.99895999999999996</v>
      </c>
    </row>
    <row r="1100" spans="1:12" x14ac:dyDescent="0.25">
      <c r="A1100" s="12">
        <v>43181</v>
      </c>
      <c r="B1100">
        <v>268.68900000000002</v>
      </c>
      <c r="C1100">
        <v>246.946</v>
      </c>
      <c r="D1100">
        <f t="shared" si="2"/>
        <v>100.017</v>
      </c>
      <c r="E1100">
        <v>198.024</v>
      </c>
      <c r="F1100">
        <v>165.55500000000001</v>
      </c>
      <c r="G1100">
        <v>246.07499999999999</v>
      </c>
      <c r="H1100">
        <v>204.90100000000001</v>
      </c>
      <c r="I1100">
        <v>238.345</v>
      </c>
      <c r="L1100">
        <v>100.017</v>
      </c>
    </row>
    <row r="1101" spans="1:12" x14ac:dyDescent="0.25">
      <c r="A1101" s="12">
        <v>43182</v>
      </c>
      <c r="B1101">
        <v>268.50599999999997</v>
      </c>
      <c r="C1101">
        <v>246.94800000000001</v>
      </c>
      <c r="D1101">
        <f t="shared" si="2"/>
        <v>99.872</v>
      </c>
      <c r="E1101">
        <v>198.05199999999999</v>
      </c>
      <c r="F1101">
        <v>165.57599999999999</v>
      </c>
      <c r="G1101">
        <v>246.09</v>
      </c>
      <c r="H1101">
        <v>204.93799999999999</v>
      </c>
      <c r="I1101">
        <v>237.36600000000001</v>
      </c>
      <c r="L1101" s="30">
        <v>0.99872000000000005</v>
      </c>
    </row>
    <row r="1102" spans="1:12" x14ac:dyDescent="0.25">
      <c r="A1102" s="12">
        <v>43185</v>
      </c>
      <c r="B1102">
        <v>266.81099999999998</v>
      </c>
      <c r="C1102">
        <v>246.94800000000001</v>
      </c>
      <c r="D1102">
        <f t="shared" si="2"/>
        <v>99.106000000000009</v>
      </c>
      <c r="E1102">
        <v>196.69900000000001</v>
      </c>
      <c r="F1102">
        <v>165.65100000000001</v>
      </c>
      <c r="G1102">
        <v>244.72900000000001</v>
      </c>
      <c r="H1102">
        <v>205.077</v>
      </c>
      <c r="I1102">
        <v>236.262</v>
      </c>
      <c r="L1102" s="30">
        <v>0.99106000000000005</v>
      </c>
    </row>
    <row r="1103" spans="1:12" x14ac:dyDescent="0.25">
      <c r="A1103" s="12">
        <v>43186</v>
      </c>
      <c r="B1103">
        <v>265.255</v>
      </c>
      <c r="C1103">
        <v>246.773</v>
      </c>
      <c r="D1103">
        <f t="shared" si="2"/>
        <v>98.165000000000006</v>
      </c>
      <c r="E1103">
        <v>195.29400000000001</v>
      </c>
      <c r="F1103">
        <v>165.51300000000001</v>
      </c>
      <c r="G1103">
        <v>243.61199999999999</v>
      </c>
      <c r="H1103">
        <v>205.04400000000001</v>
      </c>
      <c r="I1103">
        <v>235.44900000000001</v>
      </c>
      <c r="L1103" s="30">
        <v>0.98165000000000002</v>
      </c>
    </row>
    <row r="1104" spans="1:12" x14ac:dyDescent="0.25">
      <c r="A1104" s="12">
        <v>43187</v>
      </c>
      <c r="B1104">
        <v>266.19600000000003</v>
      </c>
      <c r="C1104">
        <v>246.84700000000001</v>
      </c>
      <c r="D1104">
        <f t="shared" si="2"/>
        <v>98.602000000000004</v>
      </c>
      <c r="E1104">
        <v>194.69399999999999</v>
      </c>
      <c r="F1104">
        <v>165.39599999999999</v>
      </c>
      <c r="G1104">
        <v>243.208</v>
      </c>
      <c r="H1104">
        <v>205.083</v>
      </c>
      <c r="I1104">
        <v>236.75700000000001</v>
      </c>
      <c r="L1104" s="30">
        <v>0.98602000000000001</v>
      </c>
    </row>
    <row r="1105" spans="1:12" x14ac:dyDescent="0.25">
      <c r="A1105" s="12">
        <v>43188</v>
      </c>
      <c r="B1105">
        <v>265.92399999999998</v>
      </c>
      <c r="C1105">
        <v>247.11500000000001</v>
      </c>
      <c r="D1105">
        <f t="shared" si="2"/>
        <v>98.54</v>
      </c>
      <c r="E1105">
        <v>196.29400000000001</v>
      </c>
      <c r="F1105">
        <v>166.059</v>
      </c>
      <c r="G1105">
        <v>244.24799999999999</v>
      </c>
      <c r="H1105">
        <v>205.22300000000001</v>
      </c>
      <c r="I1105">
        <v>236.566</v>
      </c>
      <c r="L1105" s="30">
        <v>0.98540000000000005</v>
      </c>
    </row>
    <row r="1106" spans="1:12" x14ac:dyDescent="0.25">
      <c r="A1106" s="12">
        <v>43193</v>
      </c>
      <c r="B1106">
        <v>265.97500000000002</v>
      </c>
      <c r="C1106">
        <v>247.35900000000001</v>
      </c>
      <c r="D1106">
        <f t="shared" si="2"/>
        <v>98.692999999999998</v>
      </c>
      <c r="E1106">
        <v>195.756</v>
      </c>
      <c r="F1106">
        <v>166.21299999999999</v>
      </c>
      <c r="G1106">
        <v>244.017</v>
      </c>
      <c r="H1106">
        <v>205.262</v>
      </c>
      <c r="I1106">
        <v>237.393</v>
      </c>
      <c r="L1106" s="30">
        <v>0.98692999999999997</v>
      </c>
    </row>
    <row r="1107" spans="1:12" x14ac:dyDescent="0.25">
      <c r="A1107" s="12">
        <v>43194</v>
      </c>
      <c r="B1107">
        <v>266.608</v>
      </c>
      <c r="C1107">
        <v>247.59200000000001</v>
      </c>
      <c r="D1107">
        <f t="shared" ref="D1107:D1170" si="3">IF(L1107&gt;1,L1107,L1107*100)</f>
        <v>99.168999999999997</v>
      </c>
      <c r="E1107">
        <v>196.52600000000001</v>
      </c>
      <c r="F1107">
        <v>166.49299999999999</v>
      </c>
      <c r="G1107">
        <v>244.62100000000001</v>
      </c>
      <c r="H1107">
        <v>205.363</v>
      </c>
      <c r="I1107">
        <v>236.96199999999999</v>
      </c>
      <c r="L1107" s="30">
        <v>0.99168999999999996</v>
      </c>
    </row>
    <row r="1108" spans="1:12" x14ac:dyDescent="0.25">
      <c r="A1108" s="12">
        <v>43195</v>
      </c>
      <c r="B1108">
        <v>266.42500000000001</v>
      </c>
      <c r="C1108">
        <v>247.66900000000001</v>
      </c>
      <c r="D1108">
        <f t="shared" si="3"/>
        <v>98.908000000000001</v>
      </c>
      <c r="E1108">
        <v>195.84700000000001</v>
      </c>
      <c r="F1108">
        <v>166.416</v>
      </c>
      <c r="G1108">
        <v>244.285</v>
      </c>
      <c r="H1108">
        <v>205.41399999999999</v>
      </c>
      <c r="I1108">
        <v>236.67500000000001</v>
      </c>
      <c r="L1108" s="30">
        <v>0.98907999999999996</v>
      </c>
    </row>
    <row r="1109" spans="1:12" x14ac:dyDescent="0.25">
      <c r="A1109" s="12">
        <v>43196</v>
      </c>
      <c r="B1109">
        <v>266.839</v>
      </c>
      <c r="C1109">
        <v>247.56700000000001</v>
      </c>
      <c r="D1109">
        <f t="shared" si="3"/>
        <v>99.304000000000002</v>
      </c>
      <c r="E1109">
        <v>195.691</v>
      </c>
      <c r="F1109">
        <v>166.369</v>
      </c>
      <c r="G1109">
        <v>243.73500000000001</v>
      </c>
      <c r="H1109">
        <v>205.40199999999999</v>
      </c>
      <c r="I1109">
        <v>238.43600000000001</v>
      </c>
      <c r="L1109" s="30">
        <v>0.99304000000000003</v>
      </c>
    </row>
    <row r="1110" spans="1:12" x14ac:dyDescent="0.25">
      <c r="A1110" s="12">
        <v>43199</v>
      </c>
      <c r="B1110">
        <v>268.303</v>
      </c>
      <c r="C1110">
        <v>247.595</v>
      </c>
      <c r="D1110">
        <f t="shared" si="3"/>
        <v>99.789000000000001</v>
      </c>
      <c r="E1110">
        <v>197.721</v>
      </c>
      <c r="F1110">
        <v>166.49100000000001</v>
      </c>
      <c r="G1110">
        <v>245.911</v>
      </c>
      <c r="H1110">
        <v>205.41200000000001</v>
      </c>
      <c r="I1110">
        <v>237.90299999999999</v>
      </c>
      <c r="L1110" s="30">
        <v>0.99789000000000005</v>
      </c>
    </row>
    <row r="1111" spans="1:12" x14ac:dyDescent="0.25">
      <c r="A1111" s="12">
        <v>43200</v>
      </c>
      <c r="B1111">
        <v>267.42500000000001</v>
      </c>
      <c r="C1111">
        <v>247.67</v>
      </c>
      <c r="D1111">
        <f t="shared" si="3"/>
        <v>99.177999999999997</v>
      </c>
      <c r="E1111">
        <v>196.905</v>
      </c>
      <c r="F1111">
        <v>166.53100000000001</v>
      </c>
      <c r="G1111">
        <v>245.78700000000001</v>
      </c>
      <c r="H1111">
        <v>205.39500000000001</v>
      </c>
      <c r="I1111">
        <v>237.994</v>
      </c>
      <c r="L1111" s="30">
        <v>0.99177999999999999</v>
      </c>
    </row>
    <row r="1112" spans="1:12" x14ac:dyDescent="0.25">
      <c r="A1112" s="12">
        <v>43201</v>
      </c>
      <c r="B1112">
        <v>267.62799999999999</v>
      </c>
      <c r="C1112">
        <v>247.49700000000001</v>
      </c>
      <c r="D1112">
        <f t="shared" si="3"/>
        <v>99.167000000000002</v>
      </c>
      <c r="E1112">
        <v>197.102</v>
      </c>
      <c r="F1112">
        <v>166.374</v>
      </c>
      <c r="G1112">
        <v>245.483</v>
      </c>
      <c r="H1112">
        <v>205.30500000000001</v>
      </c>
      <c r="I1112">
        <v>238.36699999999999</v>
      </c>
      <c r="L1112" s="30">
        <v>0.99167000000000005</v>
      </c>
    </row>
    <row r="1113" spans="1:12" x14ac:dyDescent="0.25">
      <c r="A1113" s="12">
        <v>43202</v>
      </c>
      <c r="B1113">
        <v>268.48099999999999</v>
      </c>
      <c r="C1113">
        <v>247.58799999999999</v>
      </c>
      <c r="D1113">
        <f t="shared" si="3"/>
        <v>99.516999999999996</v>
      </c>
      <c r="E1113">
        <v>197.577</v>
      </c>
      <c r="F1113">
        <v>166.321</v>
      </c>
      <c r="G1113">
        <v>246.15100000000001</v>
      </c>
      <c r="H1113">
        <v>205.18700000000001</v>
      </c>
      <c r="I1113">
        <v>238.12799999999999</v>
      </c>
      <c r="L1113" s="30">
        <v>0.99517</v>
      </c>
    </row>
    <row r="1114" spans="1:12" x14ac:dyDescent="0.25">
      <c r="A1114" s="12">
        <v>43203</v>
      </c>
      <c r="B1114">
        <v>268.31700000000001</v>
      </c>
      <c r="C1114">
        <v>247.67599999999999</v>
      </c>
      <c r="D1114">
        <f t="shared" si="3"/>
        <v>99.456999999999994</v>
      </c>
      <c r="E1114">
        <v>197.262</v>
      </c>
      <c r="F1114">
        <v>166.34200000000001</v>
      </c>
      <c r="G1114">
        <v>245.86699999999999</v>
      </c>
      <c r="H1114">
        <v>205.17699999999999</v>
      </c>
      <c r="I1114">
        <v>238.626</v>
      </c>
      <c r="L1114" s="30">
        <v>0.99456999999999995</v>
      </c>
    </row>
    <row r="1115" spans="1:12" x14ac:dyDescent="0.25">
      <c r="A1115" s="12">
        <v>43206</v>
      </c>
      <c r="B1115">
        <v>269.11399999999998</v>
      </c>
      <c r="C1115">
        <v>247.56899999999999</v>
      </c>
      <c r="D1115">
        <f t="shared" si="3"/>
        <v>99.757999999999996</v>
      </c>
      <c r="E1115">
        <v>197.756</v>
      </c>
      <c r="F1115">
        <v>166.31700000000001</v>
      </c>
      <c r="G1115">
        <v>246.65299999999999</v>
      </c>
      <c r="H1115">
        <v>205.31700000000001</v>
      </c>
      <c r="I1115">
        <v>238.547</v>
      </c>
      <c r="L1115" s="30">
        <v>0.99758000000000002</v>
      </c>
    </row>
    <row r="1116" spans="1:12" x14ac:dyDescent="0.25">
      <c r="A1116" s="12">
        <v>43207</v>
      </c>
      <c r="B1116">
        <v>269.041</v>
      </c>
      <c r="C1116">
        <v>247.50399999999999</v>
      </c>
      <c r="D1116">
        <f t="shared" si="3"/>
        <v>99.628</v>
      </c>
      <c r="E1116">
        <v>197.68600000000001</v>
      </c>
      <c r="F1116">
        <v>166.33600000000001</v>
      </c>
      <c r="G1116">
        <v>246.84100000000001</v>
      </c>
      <c r="H1116">
        <v>205.39099999999999</v>
      </c>
      <c r="I1116">
        <v>238.21299999999999</v>
      </c>
      <c r="L1116" s="30">
        <v>0.99628000000000005</v>
      </c>
    </row>
    <row r="1117" spans="1:12" x14ac:dyDescent="0.25">
      <c r="A1117" s="12">
        <v>43208</v>
      </c>
      <c r="B1117">
        <v>269.27999999999997</v>
      </c>
      <c r="C1117">
        <v>247.55600000000001</v>
      </c>
      <c r="D1117">
        <f t="shared" si="3"/>
        <v>99.819000000000003</v>
      </c>
      <c r="E1117">
        <v>197.42699999999999</v>
      </c>
      <c r="F1117">
        <v>166.22</v>
      </c>
      <c r="G1117">
        <v>246.54300000000001</v>
      </c>
      <c r="H1117">
        <v>205.37700000000001</v>
      </c>
      <c r="I1117">
        <v>238.96199999999999</v>
      </c>
      <c r="L1117" s="30">
        <v>0.99819000000000002</v>
      </c>
    </row>
    <row r="1118" spans="1:12" x14ac:dyDescent="0.25">
      <c r="A1118" s="12">
        <v>43209</v>
      </c>
      <c r="B1118">
        <v>270.06</v>
      </c>
      <c r="C1118">
        <v>247.60900000000001</v>
      </c>
      <c r="D1118">
        <f t="shared" si="3"/>
        <v>100.2</v>
      </c>
      <c r="E1118">
        <v>198.309</v>
      </c>
      <c r="F1118">
        <v>166.36199999999999</v>
      </c>
      <c r="G1118">
        <v>247.40700000000001</v>
      </c>
      <c r="H1118">
        <v>205.505</v>
      </c>
      <c r="I1118">
        <v>239.04300000000001</v>
      </c>
      <c r="L1118">
        <v>100.2</v>
      </c>
    </row>
    <row r="1119" spans="1:12" x14ac:dyDescent="0.25">
      <c r="A1119" s="12">
        <v>43210</v>
      </c>
      <c r="B1119">
        <v>270.06599999999997</v>
      </c>
      <c r="C1119">
        <v>247.31200000000001</v>
      </c>
      <c r="D1119">
        <f t="shared" si="3"/>
        <v>100.131</v>
      </c>
      <c r="E1119">
        <v>198.53299999999999</v>
      </c>
      <c r="F1119">
        <v>166.285</v>
      </c>
      <c r="G1119">
        <v>247.83799999999999</v>
      </c>
      <c r="H1119">
        <v>205.511</v>
      </c>
      <c r="I1119">
        <v>238.79400000000001</v>
      </c>
      <c r="L1119">
        <v>100.131</v>
      </c>
    </row>
    <row r="1120" spans="1:12" x14ac:dyDescent="0.25">
      <c r="A1120" s="12">
        <v>43213</v>
      </c>
      <c r="B1120">
        <v>269.68400000000003</v>
      </c>
      <c r="C1120">
        <v>247.029</v>
      </c>
      <c r="D1120">
        <f t="shared" si="3"/>
        <v>99.991</v>
      </c>
      <c r="E1120">
        <v>197.815</v>
      </c>
      <c r="F1120">
        <v>165.91399999999999</v>
      </c>
      <c r="G1120">
        <v>247.858</v>
      </c>
      <c r="H1120">
        <v>205.31100000000001</v>
      </c>
      <c r="I1120">
        <v>238.62299999999999</v>
      </c>
      <c r="L1120">
        <v>0.99990999999999997</v>
      </c>
    </row>
    <row r="1121" spans="1:12" x14ac:dyDescent="0.25">
      <c r="A1121" s="12">
        <v>43214</v>
      </c>
      <c r="B1121">
        <v>269.41399999999999</v>
      </c>
      <c r="C1121">
        <v>246.845</v>
      </c>
      <c r="D1121">
        <f t="shared" si="3"/>
        <v>99.959000000000003</v>
      </c>
      <c r="E1121">
        <v>197.80699999999999</v>
      </c>
      <c r="F1121">
        <v>165.90700000000001</v>
      </c>
      <c r="G1121">
        <v>247.571</v>
      </c>
      <c r="H1121">
        <v>205.102</v>
      </c>
      <c r="I1121">
        <v>238.839</v>
      </c>
      <c r="L1121">
        <v>0.99958999999999998</v>
      </c>
    </row>
    <row r="1122" spans="1:12" x14ac:dyDescent="0.25">
      <c r="A1122" s="12">
        <v>43215</v>
      </c>
      <c r="B1122">
        <v>269.50099999999998</v>
      </c>
      <c r="C1122">
        <v>246.667</v>
      </c>
      <c r="D1122">
        <f t="shared" si="3"/>
        <v>100.051</v>
      </c>
      <c r="E1122">
        <v>197.98099999999999</v>
      </c>
      <c r="F1122">
        <v>165.73</v>
      </c>
      <c r="G1122">
        <v>247.46600000000001</v>
      </c>
      <c r="H1122">
        <v>204.82599999999999</v>
      </c>
      <c r="I1122">
        <v>238.727</v>
      </c>
      <c r="L1122">
        <v>100.051</v>
      </c>
    </row>
    <row r="1123" spans="1:12" x14ac:dyDescent="0.25">
      <c r="A1123" s="12">
        <v>43216</v>
      </c>
      <c r="B1123">
        <v>268.59800000000001</v>
      </c>
      <c r="C1123">
        <v>246.50299999999999</v>
      </c>
      <c r="D1123">
        <f t="shared" si="3"/>
        <v>99.74</v>
      </c>
      <c r="E1123">
        <v>197.95099999999999</v>
      </c>
      <c r="F1123">
        <v>165.839</v>
      </c>
      <c r="G1123">
        <v>247.14500000000001</v>
      </c>
      <c r="H1123">
        <v>204.70500000000001</v>
      </c>
      <c r="I1123">
        <v>237.97200000000001</v>
      </c>
      <c r="L1123">
        <v>0.99739999999999995</v>
      </c>
    </row>
    <row r="1124" spans="1:12" x14ac:dyDescent="0.25">
      <c r="A1124" s="12">
        <v>43217</v>
      </c>
      <c r="B1124">
        <v>268.14100000000002</v>
      </c>
      <c r="C1124">
        <v>246.351</v>
      </c>
      <c r="D1124">
        <f t="shared" si="3"/>
        <v>99.902999999999992</v>
      </c>
      <c r="E1124">
        <v>196.99600000000001</v>
      </c>
      <c r="F1124">
        <v>165.63399999999999</v>
      </c>
      <c r="G1124">
        <v>245.90899999999999</v>
      </c>
      <c r="H1124">
        <v>204.46199999999999</v>
      </c>
      <c r="I1124">
        <v>238.97200000000001</v>
      </c>
      <c r="L1124">
        <v>0.99902999999999997</v>
      </c>
    </row>
    <row r="1125" spans="1:12" x14ac:dyDescent="0.25">
      <c r="A1125" s="12">
        <v>43222</v>
      </c>
      <c r="B1125">
        <v>269.37</v>
      </c>
      <c r="C1125">
        <v>246.583</v>
      </c>
      <c r="D1125">
        <f t="shared" si="3"/>
        <v>100.614</v>
      </c>
      <c r="E1125">
        <v>198.041</v>
      </c>
      <c r="F1125">
        <v>165.90700000000001</v>
      </c>
      <c r="G1125">
        <v>246.92099999999999</v>
      </c>
      <c r="H1125">
        <v>204.61</v>
      </c>
      <c r="I1125">
        <v>239.45699999999999</v>
      </c>
      <c r="L1125">
        <v>100.614</v>
      </c>
    </row>
    <row r="1126" spans="1:12" x14ac:dyDescent="0.25">
      <c r="A1126" s="12">
        <v>43223</v>
      </c>
      <c r="B1126">
        <v>269.94200000000001</v>
      </c>
      <c r="C1126">
        <v>246.642</v>
      </c>
      <c r="D1126">
        <f t="shared" si="3"/>
        <v>100.931</v>
      </c>
      <c r="E1126">
        <v>198.75899999999999</v>
      </c>
      <c r="F1126">
        <v>165.923</v>
      </c>
      <c r="G1126">
        <v>247.69399999999999</v>
      </c>
      <c r="H1126">
        <v>204.64599999999999</v>
      </c>
      <c r="I1126">
        <v>239.78800000000001</v>
      </c>
      <c r="L1126">
        <v>100.931</v>
      </c>
    </row>
    <row r="1127" spans="1:12" x14ac:dyDescent="0.25">
      <c r="A1127" s="12">
        <v>43227</v>
      </c>
      <c r="B1127">
        <v>270.10899999999998</v>
      </c>
      <c r="C1127">
        <v>246.47</v>
      </c>
      <c r="D1127">
        <f t="shared" si="3"/>
        <v>100.92100000000001</v>
      </c>
      <c r="E1127">
        <v>199.18199999999999</v>
      </c>
      <c r="F1127">
        <v>165.78299999999999</v>
      </c>
      <c r="G1127">
        <v>248.06299999999999</v>
      </c>
      <c r="H1127">
        <v>204.46100000000001</v>
      </c>
      <c r="I1127">
        <v>238.98500000000001</v>
      </c>
      <c r="L1127">
        <v>100.92100000000001</v>
      </c>
    </row>
    <row r="1128" spans="1:12" x14ac:dyDescent="0.25">
      <c r="A1128" s="12">
        <v>43228</v>
      </c>
      <c r="B1128">
        <v>270.73200000000003</v>
      </c>
      <c r="C1128">
        <v>246.41499999999999</v>
      </c>
      <c r="D1128">
        <f t="shared" si="3"/>
        <v>101.151</v>
      </c>
      <c r="E1128">
        <v>199.18899999999999</v>
      </c>
      <c r="F1128">
        <v>165.74199999999999</v>
      </c>
      <c r="G1128">
        <v>247.93600000000001</v>
      </c>
      <c r="H1128">
        <v>204.34</v>
      </c>
      <c r="I1128">
        <v>240.15700000000001</v>
      </c>
      <c r="L1128">
        <v>101.151</v>
      </c>
    </row>
    <row r="1129" spans="1:12" x14ac:dyDescent="0.25">
      <c r="A1129" s="12">
        <v>43229</v>
      </c>
      <c r="B1129">
        <v>271.04700000000003</v>
      </c>
      <c r="C1129">
        <v>246.30799999999999</v>
      </c>
      <c r="D1129">
        <f t="shared" si="3"/>
        <v>101.489</v>
      </c>
      <c r="E1129">
        <v>199.86600000000001</v>
      </c>
      <c r="F1129">
        <v>165.81800000000001</v>
      </c>
      <c r="G1129">
        <v>248.73</v>
      </c>
      <c r="H1129">
        <v>204.364</v>
      </c>
      <c r="I1129">
        <v>240.11799999999999</v>
      </c>
      <c r="L1129">
        <v>101.489</v>
      </c>
    </row>
    <row r="1130" spans="1:12" x14ac:dyDescent="0.25">
      <c r="A1130" s="12">
        <v>43230</v>
      </c>
      <c r="B1130">
        <v>271.15300000000002</v>
      </c>
      <c r="C1130">
        <v>245.989</v>
      </c>
      <c r="D1130">
        <f t="shared" si="3"/>
        <v>101.804</v>
      </c>
      <c r="E1130">
        <v>199</v>
      </c>
      <c r="F1130">
        <v>165.46100000000001</v>
      </c>
      <c r="G1130">
        <v>248.76400000000001</v>
      </c>
      <c r="H1130">
        <v>204.083</v>
      </c>
      <c r="I1130">
        <v>240.452</v>
      </c>
      <c r="L1130">
        <v>101.804</v>
      </c>
    </row>
    <row r="1131" spans="1:12" x14ac:dyDescent="0.25">
      <c r="A1131" s="12">
        <v>43231</v>
      </c>
      <c r="B1131">
        <v>271.44299999999998</v>
      </c>
      <c r="C1131">
        <v>245.95500000000001</v>
      </c>
      <c r="D1131">
        <f t="shared" si="3"/>
        <v>102.08499999999999</v>
      </c>
      <c r="E1131">
        <v>199.35900000000001</v>
      </c>
      <c r="F1131">
        <v>165.47200000000001</v>
      </c>
      <c r="G1131">
        <v>249.07</v>
      </c>
      <c r="H1131">
        <v>203.96100000000001</v>
      </c>
      <c r="I1131">
        <v>241.16399999999999</v>
      </c>
      <c r="L1131">
        <v>102.08499999999999</v>
      </c>
    </row>
    <row r="1132" spans="1:12" x14ac:dyDescent="0.25">
      <c r="A1132" s="12">
        <v>43235</v>
      </c>
      <c r="B1132">
        <v>272.38299999999998</v>
      </c>
      <c r="C1132">
        <v>246.155</v>
      </c>
      <c r="D1132">
        <f t="shared" si="3"/>
        <v>102.23699999999999</v>
      </c>
      <c r="E1132">
        <v>200.49299999999999</v>
      </c>
      <c r="F1132">
        <v>165.85400000000001</v>
      </c>
      <c r="G1132">
        <v>249.82599999999999</v>
      </c>
      <c r="H1132">
        <v>204.245</v>
      </c>
      <c r="I1132">
        <v>241.13</v>
      </c>
      <c r="L1132">
        <v>102.23699999999999</v>
      </c>
    </row>
    <row r="1133" spans="1:12" x14ac:dyDescent="0.25">
      <c r="A1133" s="12">
        <v>43236</v>
      </c>
      <c r="B1133">
        <v>272.38600000000002</v>
      </c>
      <c r="C1133">
        <v>246.09299999999999</v>
      </c>
      <c r="D1133">
        <f t="shared" si="3"/>
        <v>102.227</v>
      </c>
      <c r="E1133">
        <v>200.577</v>
      </c>
      <c r="F1133">
        <v>165.66</v>
      </c>
      <c r="G1133">
        <v>249.70400000000001</v>
      </c>
      <c r="H1133">
        <v>204.101</v>
      </c>
      <c r="I1133">
        <v>240.81899999999999</v>
      </c>
      <c r="L1133">
        <v>102.227</v>
      </c>
    </row>
    <row r="1134" spans="1:12" x14ac:dyDescent="0.25">
      <c r="A1134" s="12">
        <v>43237</v>
      </c>
      <c r="B1134">
        <v>272.47000000000003</v>
      </c>
      <c r="C1134">
        <v>245.80199999999999</v>
      </c>
      <c r="D1134">
        <f t="shared" si="3"/>
        <v>102.342</v>
      </c>
      <c r="E1134">
        <v>200.017</v>
      </c>
      <c r="F1134">
        <v>165.429</v>
      </c>
      <c r="G1134">
        <v>249.53399999999999</v>
      </c>
      <c r="H1134">
        <v>203.74100000000001</v>
      </c>
      <c r="I1134">
        <v>241.29</v>
      </c>
      <c r="L1134">
        <v>102.342</v>
      </c>
    </row>
    <row r="1135" spans="1:12" x14ac:dyDescent="0.25">
      <c r="A1135" s="12">
        <v>43238</v>
      </c>
      <c r="B1135">
        <v>272.69600000000003</v>
      </c>
      <c r="C1135">
        <v>245.56399999999999</v>
      </c>
      <c r="D1135">
        <f t="shared" si="3"/>
        <v>102.616</v>
      </c>
      <c r="E1135">
        <v>200.501</v>
      </c>
      <c r="F1135">
        <v>165.54599999999999</v>
      </c>
      <c r="G1135">
        <v>249.898</v>
      </c>
      <c r="H1135">
        <v>203.72900000000001</v>
      </c>
      <c r="I1135">
        <v>241.47900000000001</v>
      </c>
      <c r="L1135">
        <v>102.616</v>
      </c>
    </row>
    <row r="1136" spans="1:12" x14ac:dyDescent="0.25">
      <c r="A1136" s="12">
        <v>43241</v>
      </c>
      <c r="B1136">
        <v>272.69799999999998</v>
      </c>
      <c r="C1136">
        <v>245.39699999999999</v>
      </c>
      <c r="D1136">
        <f t="shared" si="3"/>
        <v>102.623</v>
      </c>
      <c r="E1136">
        <v>200.589</v>
      </c>
      <c r="F1136">
        <v>165.26900000000001</v>
      </c>
      <c r="G1136">
        <v>250.214</v>
      </c>
      <c r="H1136">
        <v>203.596</v>
      </c>
      <c r="I1136">
        <v>241.203</v>
      </c>
      <c r="L1136">
        <v>102.623</v>
      </c>
    </row>
    <row r="1137" spans="1:12" x14ac:dyDescent="0.25">
      <c r="A1137" s="12">
        <v>43242</v>
      </c>
      <c r="B1137">
        <v>272.92599999999999</v>
      </c>
      <c r="C1137">
        <v>245.45699999999999</v>
      </c>
      <c r="D1137">
        <f t="shared" si="3"/>
        <v>102.718</v>
      </c>
      <c r="E1137">
        <v>200.309</v>
      </c>
      <c r="F1137">
        <v>165.24</v>
      </c>
      <c r="G1137">
        <v>250.239</v>
      </c>
      <c r="H1137">
        <v>203.52199999999999</v>
      </c>
      <c r="I1137">
        <v>241.43</v>
      </c>
      <c r="L1137">
        <v>102.718</v>
      </c>
    </row>
    <row r="1138" spans="1:12" x14ac:dyDescent="0.25">
      <c r="A1138" s="12">
        <v>43243</v>
      </c>
      <c r="B1138">
        <v>273.11799999999999</v>
      </c>
      <c r="C1138">
        <v>245.43199999999999</v>
      </c>
      <c r="D1138">
        <f t="shared" si="3"/>
        <v>102.874</v>
      </c>
      <c r="E1138">
        <v>200.30099999999999</v>
      </c>
      <c r="F1138">
        <v>165.226</v>
      </c>
      <c r="G1138">
        <v>250.16900000000001</v>
      </c>
      <c r="H1138">
        <v>203.51400000000001</v>
      </c>
      <c r="I1138">
        <v>241.834</v>
      </c>
      <c r="L1138">
        <v>102.874</v>
      </c>
    </row>
    <row r="1139" spans="1:12" x14ac:dyDescent="0.25">
      <c r="A1139" s="12">
        <v>43244</v>
      </c>
      <c r="B1139">
        <v>273.09800000000001</v>
      </c>
      <c r="C1139">
        <v>245.69</v>
      </c>
      <c r="D1139">
        <f t="shared" si="3"/>
        <v>102.94</v>
      </c>
      <c r="E1139">
        <v>200.988</v>
      </c>
      <c r="F1139">
        <v>165.30099999999999</v>
      </c>
      <c r="G1139">
        <v>250.892</v>
      </c>
      <c r="H1139">
        <v>203.57599999999999</v>
      </c>
      <c r="I1139">
        <v>241.12799999999999</v>
      </c>
      <c r="L1139">
        <v>102.94</v>
      </c>
    </row>
    <row r="1140" spans="1:12" x14ac:dyDescent="0.25">
      <c r="A1140" s="12">
        <v>43245</v>
      </c>
      <c r="B1140">
        <v>272.91199999999998</v>
      </c>
      <c r="C1140">
        <v>245.869</v>
      </c>
      <c r="D1140">
        <f t="shared" si="3"/>
        <v>103.075</v>
      </c>
      <c r="E1140">
        <v>200.41200000000001</v>
      </c>
      <c r="F1140">
        <v>165.476</v>
      </c>
      <c r="G1140">
        <v>249.71700000000001</v>
      </c>
      <c r="H1140">
        <v>203.58</v>
      </c>
      <c r="I1140">
        <v>240.88900000000001</v>
      </c>
      <c r="L1140">
        <v>103.075</v>
      </c>
    </row>
    <row r="1141" spans="1:12" x14ac:dyDescent="0.25">
      <c r="A1141" s="12">
        <v>43248</v>
      </c>
      <c r="B1141">
        <v>273.08699999999999</v>
      </c>
      <c r="C1141">
        <v>246.304</v>
      </c>
      <c r="D1141">
        <f t="shared" si="3"/>
        <v>103.125</v>
      </c>
      <c r="E1141">
        <v>200.26300000000001</v>
      </c>
      <c r="F1141">
        <v>165.702</v>
      </c>
      <c r="G1141">
        <v>249.458</v>
      </c>
      <c r="H1141">
        <v>203.66900000000001</v>
      </c>
      <c r="I1141">
        <v>241.18100000000001</v>
      </c>
      <c r="L1141">
        <v>103.125</v>
      </c>
    </row>
    <row r="1142" spans="1:12" x14ac:dyDescent="0.25">
      <c r="A1142" s="12">
        <v>43249</v>
      </c>
      <c r="B1142">
        <v>273.13</v>
      </c>
      <c r="C1142">
        <v>246.67699999999999</v>
      </c>
      <c r="D1142">
        <f t="shared" si="3"/>
        <v>103.136</v>
      </c>
      <c r="E1142">
        <v>200.751</v>
      </c>
      <c r="F1142">
        <v>165.875</v>
      </c>
      <c r="G1142">
        <v>249.63499999999999</v>
      </c>
      <c r="H1142">
        <v>203.78700000000001</v>
      </c>
      <c r="I1142">
        <v>241.053</v>
      </c>
      <c r="L1142">
        <v>103.136</v>
      </c>
    </row>
    <row r="1143" spans="1:12" x14ac:dyDescent="0.25">
      <c r="A1143" s="12">
        <v>43250</v>
      </c>
      <c r="B1143">
        <v>273.137</v>
      </c>
      <c r="C1143">
        <v>246.83</v>
      </c>
      <c r="D1143">
        <f t="shared" si="3"/>
        <v>103.28400000000001</v>
      </c>
      <c r="E1143">
        <v>200.702</v>
      </c>
      <c r="F1143">
        <v>165.88800000000001</v>
      </c>
      <c r="G1143">
        <v>249.506</v>
      </c>
      <c r="H1143">
        <v>203.815</v>
      </c>
      <c r="I1143">
        <v>239.90299999999999</v>
      </c>
      <c r="L1143">
        <v>103.28400000000001</v>
      </c>
    </row>
    <row r="1144" spans="1:12" x14ac:dyDescent="0.25">
      <c r="A1144" s="12">
        <v>43251</v>
      </c>
      <c r="B1144">
        <v>272.27600000000001</v>
      </c>
      <c r="C1144">
        <v>246.881</v>
      </c>
      <c r="D1144">
        <f t="shared" si="3"/>
        <v>103.119</v>
      </c>
      <c r="E1144">
        <v>199.77099999999999</v>
      </c>
      <c r="F1144">
        <v>165.62700000000001</v>
      </c>
      <c r="G1144">
        <v>248.483</v>
      </c>
      <c r="H1144">
        <v>203.85599999999999</v>
      </c>
      <c r="I1144">
        <v>239.84200000000001</v>
      </c>
      <c r="L1144">
        <v>103.119</v>
      </c>
    </row>
    <row r="1145" spans="1:12" x14ac:dyDescent="0.25">
      <c r="A1145" s="12">
        <v>43252</v>
      </c>
      <c r="B1145">
        <v>272.67200000000003</v>
      </c>
      <c r="C1145">
        <v>246.69499999999999</v>
      </c>
      <c r="D1145">
        <f t="shared" si="3"/>
        <v>103.13200000000001</v>
      </c>
      <c r="E1145">
        <v>199.76900000000001</v>
      </c>
      <c r="F1145">
        <v>165.39</v>
      </c>
      <c r="G1145">
        <v>248.37100000000001</v>
      </c>
      <c r="H1145">
        <v>203.72399999999999</v>
      </c>
      <c r="I1145">
        <v>239.54</v>
      </c>
      <c r="L1145">
        <v>103.13200000000001</v>
      </c>
    </row>
    <row r="1146" spans="1:12" x14ac:dyDescent="0.25">
      <c r="A1146" s="12">
        <v>43255</v>
      </c>
      <c r="B1146">
        <v>272.27800000000002</v>
      </c>
      <c r="C1146">
        <v>246.5</v>
      </c>
      <c r="D1146">
        <f t="shared" si="3"/>
        <v>102.93600000000001</v>
      </c>
      <c r="E1146">
        <v>199.56399999999999</v>
      </c>
      <c r="F1146">
        <v>165.51599999999999</v>
      </c>
      <c r="G1146">
        <v>248.203</v>
      </c>
      <c r="H1146">
        <v>203.75</v>
      </c>
      <c r="I1146">
        <v>240.26</v>
      </c>
      <c r="L1146">
        <v>102.93600000000001</v>
      </c>
    </row>
    <row r="1147" spans="1:12" x14ac:dyDescent="0.25">
      <c r="A1147" s="12">
        <v>43256</v>
      </c>
      <c r="B1147">
        <v>272.64499999999998</v>
      </c>
      <c r="C1147">
        <v>246.233</v>
      </c>
      <c r="D1147">
        <f t="shared" si="3"/>
        <v>103.188</v>
      </c>
      <c r="E1147">
        <v>200.20699999999999</v>
      </c>
      <c r="F1147">
        <v>165.46700000000001</v>
      </c>
      <c r="G1147">
        <v>248.70599999999999</v>
      </c>
      <c r="H1147">
        <v>203.672</v>
      </c>
      <c r="I1147">
        <v>240.66800000000001</v>
      </c>
      <c r="L1147">
        <v>103.188</v>
      </c>
    </row>
    <row r="1148" spans="1:12" x14ac:dyDescent="0.25">
      <c r="A1148" s="12">
        <v>43257</v>
      </c>
      <c r="B1148">
        <v>273.21199999999999</v>
      </c>
      <c r="C1148">
        <v>246.30500000000001</v>
      </c>
      <c r="D1148">
        <f t="shared" si="3"/>
        <v>103.256</v>
      </c>
      <c r="E1148">
        <v>200.65799999999999</v>
      </c>
      <c r="F1148">
        <v>165.62100000000001</v>
      </c>
      <c r="G1148">
        <v>249.06399999999999</v>
      </c>
      <c r="H1148">
        <v>203.76599999999999</v>
      </c>
      <c r="I1148">
        <v>240.56700000000001</v>
      </c>
      <c r="L1148">
        <v>103.256</v>
      </c>
    </row>
    <row r="1149" spans="1:12" x14ac:dyDescent="0.25">
      <c r="A1149" s="12">
        <v>43258</v>
      </c>
      <c r="B1149">
        <v>273.14999999999998</v>
      </c>
      <c r="C1149">
        <v>246.02699999999999</v>
      </c>
      <c r="D1149">
        <f t="shared" si="3"/>
        <v>103.182</v>
      </c>
      <c r="E1149">
        <v>200.60499999999999</v>
      </c>
      <c r="F1149">
        <v>165.63300000000001</v>
      </c>
      <c r="G1149">
        <v>249.31700000000001</v>
      </c>
      <c r="H1149">
        <v>203.76599999999999</v>
      </c>
      <c r="I1149">
        <v>240.17</v>
      </c>
      <c r="L1149">
        <v>103.182</v>
      </c>
    </row>
    <row r="1150" spans="1:12" x14ac:dyDescent="0.25">
      <c r="A1150" s="12">
        <v>43259</v>
      </c>
      <c r="B1150">
        <v>272.839</v>
      </c>
      <c r="C1150">
        <v>245.613</v>
      </c>
      <c r="D1150">
        <f t="shared" si="3"/>
        <v>102.922</v>
      </c>
      <c r="E1150">
        <v>200.39599999999999</v>
      </c>
      <c r="F1150">
        <v>164.97800000000001</v>
      </c>
      <c r="G1150">
        <v>248.92400000000001</v>
      </c>
      <c r="H1150">
        <v>203.56200000000001</v>
      </c>
      <c r="I1150">
        <v>239.86099999999999</v>
      </c>
      <c r="L1150">
        <v>102.922</v>
      </c>
    </row>
    <row r="1151" spans="1:12" x14ac:dyDescent="0.25">
      <c r="A1151" s="12">
        <v>43262</v>
      </c>
      <c r="B1151">
        <v>272.995</v>
      </c>
      <c r="C1151">
        <v>245.833</v>
      </c>
      <c r="D1151">
        <f t="shared" si="3"/>
        <v>102.857</v>
      </c>
      <c r="E1151">
        <v>200.24299999999999</v>
      </c>
      <c r="F1151">
        <v>164.78200000000001</v>
      </c>
      <c r="G1151">
        <v>249.13200000000001</v>
      </c>
      <c r="H1151">
        <v>203.47499999999999</v>
      </c>
      <c r="I1151">
        <v>239.75</v>
      </c>
      <c r="L1151">
        <v>102.857</v>
      </c>
    </row>
    <row r="1152" spans="1:12" x14ac:dyDescent="0.25">
      <c r="A1152" s="12">
        <v>43263</v>
      </c>
      <c r="B1152">
        <v>272.82600000000002</v>
      </c>
      <c r="C1152">
        <v>245.70699999999999</v>
      </c>
      <c r="D1152">
        <f t="shared" si="3"/>
        <v>103.04300000000001</v>
      </c>
      <c r="E1152">
        <v>200.124</v>
      </c>
      <c r="F1152">
        <v>164.89</v>
      </c>
      <c r="G1152">
        <v>248.85400000000001</v>
      </c>
      <c r="H1152">
        <v>203.422</v>
      </c>
      <c r="I1152">
        <v>240.30600000000001</v>
      </c>
      <c r="L1152">
        <v>103.04300000000001</v>
      </c>
    </row>
    <row r="1153" spans="1:12" x14ac:dyDescent="0.25">
      <c r="A1153" s="12">
        <v>43264</v>
      </c>
      <c r="B1153">
        <v>272.96800000000002</v>
      </c>
      <c r="C1153">
        <v>245.523</v>
      </c>
      <c r="D1153">
        <f t="shared" si="3"/>
        <v>103.039</v>
      </c>
      <c r="E1153">
        <v>200.64099999999999</v>
      </c>
      <c r="F1153">
        <v>164.86199999999999</v>
      </c>
      <c r="G1153">
        <v>249.25800000000001</v>
      </c>
      <c r="H1153">
        <v>203.34</v>
      </c>
      <c r="I1153">
        <v>240.21799999999999</v>
      </c>
      <c r="L1153">
        <v>103.039</v>
      </c>
    </row>
    <row r="1154" spans="1:12" x14ac:dyDescent="0.25">
      <c r="A1154" s="12">
        <v>43265</v>
      </c>
      <c r="B1154">
        <v>273.24700000000001</v>
      </c>
      <c r="C1154">
        <v>245.512</v>
      </c>
      <c r="D1154">
        <f t="shared" si="3"/>
        <v>103.176</v>
      </c>
      <c r="E1154">
        <v>200.578</v>
      </c>
      <c r="F1154">
        <v>164.78100000000001</v>
      </c>
      <c r="G1154">
        <v>249.32</v>
      </c>
      <c r="H1154">
        <v>203.322</v>
      </c>
      <c r="I1154">
        <v>240.428</v>
      </c>
      <c r="L1154">
        <v>103.176</v>
      </c>
    </row>
    <row r="1155" spans="1:12" x14ac:dyDescent="0.25">
      <c r="A1155" s="12">
        <v>43266</v>
      </c>
      <c r="B1155">
        <v>273.23599999999999</v>
      </c>
      <c r="C1155">
        <v>245.60300000000001</v>
      </c>
      <c r="D1155">
        <f t="shared" si="3"/>
        <v>103.36199999999999</v>
      </c>
      <c r="E1155">
        <v>200.74100000000001</v>
      </c>
      <c r="F1155">
        <v>164.84800000000001</v>
      </c>
      <c r="G1155">
        <v>249.482</v>
      </c>
      <c r="H1155">
        <v>203.26400000000001</v>
      </c>
      <c r="I1155">
        <v>241.46799999999999</v>
      </c>
      <c r="L1155">
        <v>103.36199999999999</v>
      </c>
    </row>
    <row r="1156" spans="1:12" x14ac:dyDescent="0.25">
      <c r="A1156" s="12">
        <v>43269</v>
      </c>
      <c r="B1156">
        <v>273.97399999999999</v>
      </c>
      <c r="C1156">
        <v>246.01400000000001</v>
      </c>
      <c r="D1156">
        <f t="shared" si="3"/>
        <v>104.002</v>
      </c>
      <c r="E1156">
        <v>201.32900000000001</v>
      </c>
      <c r="F1156">
        <v>165.21799999999999</v>
      </c>
      <c r="G1156">
        <v>250.501</v>
      </c>
      <c r="H1156">
        <v>203.357</v>
      </c>
      <c r="I1156">
        <v>240.857</v>
      </c>
      <c r="L1156">
        <v>104.002</v>
      </c>
    </row>
    <row r="1157" spans="1:12" x14ac:dyDescent="0.25">
      <c r="A1157" s="12">
        <v>43270</v>
      </c>
      <c r="B1157">
        <v>273.98099999999999</v>
      </c>
      <c r="C1157">
        <v>245.99799999999999</v>
      </c>
      <c r="D1157">
        <f t="shared" si="3"/>
        <v>103.95399999999999</v>
      </c>
      <c r="E1157">
        <v>200.69499999999999</v>
      </c>
      <c r="F1157">
        <v>165.31700000000001</v>
      </c>
      <c r="G1157">
        <v>249.93100000000001</v>
      </c>
      <c r="H1157">
        <v>203.35300000000001</v>
      </c>
      <c r="I1157">
        <v>240.33699999999999</v>
      </c>
      <c r="L1157">
        <v>103.95399999999999</v>
      </c>
    </row>
    <row r="1158" spans="1:12" x14ac:dyDescent="0.25">
      <c r="A1158" s="12">
        <v>43271</v>
      </c>
      <c r="B1158">
        <v>273.15499999999997</v>
      </c>
      <c r="C1158">
        <v>246.065</v>
      </c>
      <c r="D1158">
        <f t="shared" si="3"/>
        <v>103.863</v>
      </c>
      <c r="E1158">
        <v>200.39400000000001</v>
      </c>
      <c r="F1158">
        <v>165.24700000000001</v>
      </c>
      <c r="G1158">
        <v>248.83699999999999</v>
      </c>
      <c r="H1158">
        <v>203.244</v>
      </c>
      <c r="I1158">
        <v>239.809</v>
      </c>
      <c r="L1158">
        <v>103.863</v>
      </c>
    </row>
    <row r="1159" spans="1:12" x14ac:dyDescent="0.25">
      <c r="A1159" s="12">
        <v>43272</v>
      </c>
      <c r="B1159">
        <v>272.49599999999998</v>
      </c>
      <c r="C1159">
        <v>245.86799999999999</v>
      </c>
      <c r="D1159">
        <f t="shared" si="3"/>
        <v>103.83</v>
      </c>
      <c r="E1159">
        <v>199.79900000000001</v>
      </c>
      <c r="F1159">
        <v>165.197</v>
      </c>
      <c r="G1159">
        <v>247.94300000000001</v>
      </c>
      <c r="H1159">
        <v>203.21299999999999</v>
      </c>
      <c r="I1159">
        <v>239.964</v>
      </c>
      <c r="L1159">
        <v>103.83</v>
      </c>
    </row>
    <row r="1160" spans="1:12" x14ac:dyDescent="0.25">
      <c r="A1160" s="12">
        <v>43273</v>
      </c>
      <c r="B1160">
        <v>272.64800000000002</v>
      </c>
      <c r="C1160">
        <v>245.911</v>
      </c>
      <c r="D1160">
        <f t="shared" si="3"/>
        <v>103.833</v>
      </c>
      <c r="E1160">
        <v>200.28100000000001</v>
      </c>
      <c r="F1160">
        <v>165.392</v>
      </c>
      <c r="G1160">
        <v>248.25399999999999</v>
      </c>
      <c r="H1160">
        <v>203.24</v>
      </c>
      <c r="I1160">
        <v>239.19200000000001</v>
      </c>
      <c r="L1160">
        <v>103.833</v>
      </c>
    </row>
    <row r="1161" spans="1:12" x14ac:dyDescent="0.25">
      <c r="A1161" s="12">
        <v>43276</v>
      </c>
      <c r="B1161">
        <v>271.767</v>
      </c>
      <c r="C1161">
        <v>245.78200000000001</v>
      </c>
      <c r="D1161">
        <f t="shared" si="3"/>
        <v>103.426</v>
      </c>
      <c r="E1161">
        <v>199.601</v>
      </c>
      <c r="F1161">
        <v>165.221</v>
      </c>
      <c r="G1161">
        <v>247.35</v>
      </c>
      <c r="H1161">
        <v>203.173</v>
      </c>
      <c r="I1161">
        <v>239.761</v>
      </c>
      <c r="L1161">
        <v>103.426</v>
      </c>
    </row>
    <row r="1162" spans="1:12" x14ac:dyDescent="0.25">
      <c r="A1162" s="12">
        <v>43277</v>
      </c>
      <c r="B1162">
        <v>271.822</v>
      </c>
      <c r="C1162">
        <v>245.8</v>
      </c>
      <c r="D1162">
        <f t="shared" si="3"/>
        <v>103.244</v>
      </c>
      <c r="E1162">
        <v>200.08199999999999</v>
      </c>
      <c r="F1162">
        <v>165.40899999999999</v>
      </c>
      <c r="G1162">
        <v>247.87</v>
      </c>
      <c r="H1162">
        <v>203.238</v>
      </c>
      <c r="I1162">
        <v>237.98699999999999</v>
      </c>
      <c r="L1162">
        <v>103.244</v>
      </c>
    </row>
    <row r="1163" spans="1:12" x14ac:dyDescent="0.25">
      <c r="A1163" s="12">
        <v>43278</v>
      </c>
      <c r="B1163">
        <v>270.29899999999998</v>
      </c>
      <c r="C1163">
        <v>245.81899999999999</v>
      </c>
      <c r="D1163">
        <f t="shared" si="3"/>
        <v>102.58</v>
      </c>
      <c r="E1163">
        <v>198.17699999999999</v>
      </c>
      <c r="F1163">
        <v>165.08500000000001</v>
      </c>
      <c r="G1163">
        <v>246.18</v>
      </c>
      <c r="H1163">
        <v>203.221</v>
      </c>
      <c r="I1163">
        <v>238.07300000000001</v>
      </c>
      <c r="L1163">
        <v>102.58</v>
      </c>
    </row>
    <row r="1164" spans="1:12" x14ac:dyDescent="0.25">
      <c r="A1164" s="12">
        <v>43279</v>
      </c>
      <c r="B1164">
        <v>270.35700000000003</v>
      </c>
      <c r="C1164">
        <v>245.90199999999999</v>
      </c>
      <c r="D1164">
        <f t="shared" si="3"/>
        <v>102.854</v>
      </c>
      <c r="E1164">
        <v>198.52600000000001</v>
      </c>
      <c r="F1164">
        <v>165.06899999999999</v>
      </c>
      <c r="G1164">
        <v>245.911</v>
      </c>
      <c r="H1164">
        <v>203.19900000000001</v>
      </c>
      <c r="I1164">
        <v>238.60900000000001</v>
      </c>
      <c r="L1164">
        <v>102.854</v>
      </c>
    </row>
    <row r="1165" spans="1:12" x14ac:dyDescent="0.25">
      <c r="A1165" s="12">
        <v>43280</v>
      </c>
      <c r="B1165">
        <v>270.01</v>
      </c>
      <c r="C1165">
        <v>246.024</v>
      </c>
      <c r="D1165">
        <f t="shared" si="3"/>
        <v>102.84099999999999</v>
      </c>
      <c r="E1165">
        <v>199.077</v>
      </c>
      <c r="F1165">
        <v>165.22399999999999</v>
      </c>
      <c r="G1165">
        <v>246.667</v>
      </c>
      <c r="H1165">
        <v>203.17</v>
      </c>
      <c r="I1165">
        <v>238.036</v>
      </c>
      <c r="L1165">
        <v>102.84099999999999</v>
      </c>
    </row>
    <row r="1166" spans="1:12" x14ac:dyDescent="0.25">
      <c r="A1166" s="12">
        <v>43283</v>
      </c>
      <c r="B1166">
        <v>269.96699999999998</v>
      </c>
      <c r="C1166">
        <v>245.79</v>
      </c>
      <c r="D1166">
        <f t="shared" si="3"/>
        <v>102.989</v>
      </c>
      <c r="E1166">
        <v>198.37299999999999</v>
      </c>
      <c r="F1166">
        <v>165.11099999999999</v>
      </c>
      <c r="G1166">
        <v>245.49299999999999</v>
      </c>
      <c r="H1166">
        <v>203.02699999999999</v>
      </c>
      <c r="I1166">
        <v>238.59399999999999</v>
      </c>
      <c r="L1166">
        <v>102.989</v>
      </c>
    </row>
    <row r="1167" spans="1:12" x14ac:dyDescent="0.25">
      <c r="A1167" s="12">
        <v>43284</v>
      </c>
      <c r="B1167">
        <v>270.142</v>
      </c>
      <c r="C1167">
        <v>245.815</v>
      </c>
      <c r="D1167">
        <f t="shared" si="3"/>
        <v>102.836</v>
      </c>
      <c r="E1167">
        <v>198.96700000000001</v>
      </c>
      <c r="F1167">
        <v>165.203</v>
      </c>
      <c r="G1167">
        <v>246.40799999999999</v>
      </c>
      <c r="H1167">
        <v>203.03</v>
      </c>
      <c r="I1167">
        <v>237.89400000000001</v>
      </c>
      <c r="L1167">
        <v>102.836</v>
      </c>
    </row>
    <row r="1168" spans="1:12" x14ac:dyDescent="0.25">
      <c r="A1168" s="12">
        <v>43285</v>
      </c>
      <c r="B1168">
        <v>269.89600000000002</v>
      </c>
      <c r="C1168">
        <v>245.63900000000001</v>
      </c>
      <c r="D1168">
        <f t="shared" si="3"/>
        <v>102.86</v>
      </c>
      <c r="E1168">
        <v>198.19</v>
      </c>
      <c r="F1168">
        <v>165.13399999999999</v>
      </c>
      <c r="G1168">
        <v>245.33099999999999</v>
      </c>
      <c r="H1168">
        <v>202.88900000000001</v>
      </c>
      <c r="I1168">
        <v>238.39099999999999</v>
      </c>
      <c r="L1168">
        <v>102.86</v>
      </c>
    </row>
    <row r="1169" spans="1:12" x14ac:dyDescent="0.25">
      <c r="A1169" s="12">
        <v>43286</v>
      </c>
      <c r="B1169">
        <v>269.97899999999998</v>
      </c>
      <c r="C1169">
        <v>245.86099999999999</v>
      </c>
      <c r="D1169">
        <f t="shared" si="3"/>
        <v>102.83799999999999</v>
      </c>
      <c r="E1169">
        <v>198.80600000000001</v>
      </c>
      <c r="F1169">
        <v>165.26300000000001</v>
      </c>
      <c r="G1169">
        <v>246.09200000000001</v>
      </c>
      <c r="H1169">
        <v>203.00399999999999</v>
      </c>
      <c r="I1169">
        <v>238.35400000000001</v>
      </c>
      <c r="L1169">
        <v>102.83799999999999</v>
      </c>
    </row>
    <row r="1170" spans="1:12" x14ac:dyDescent="0.25">
      <c r="A1170" s="12">
        <v>43287</v>
      </c>
      <c r="B1170">
        <v>269.96300000000002</v>
      </c>
      <c r="C1170">
        <v>245.81899999999999</v>
      </c>
      <c r="D1170">
        <f t="shared" si="3"/>
        <v>102.70699999999999</v>
      </c>
      <c r="E1170">
        <v>198.63499999999999</v>
      </c>
      <c r="F1170">
        <v>165.31100000000001</v>
      </c>
      <c r="G1170">
        <v>245.93700000000001</v>
      </c>
      <c r="H1170">
        <v>202.995</v>
      </c>
      <c r="I1170">
        <v>238.53399999999999</v>
      </c>
      <c r="L1170">
        <v>102.70699999999999</v>
      </c>
    </row>
    <row r="1171" spans="1:12" x14ac:dyDescent="0.25">
      <c r="A1171" s="12">
        <v>43291</v>
      </c>
      <c r="B1171">
        <v>270.654</v>
      </c>
      <c r="C1171">
        <v>246.00299999999999</v>
      </c>
      <c r="D1171">
        <f t="shared" ref="D1171:D1234" si="4">IF(L1171&gt;1,L1171,L1171*100)</f>
        <v>102.82299999999999</v>
      </c>
      <c r="E1171">
        <v>198.858</v>
      </c>
      <c r="F1171">
        <v>165.42</v>
      </c>
      <c r="G1171">
        <v>246.25399999999999</v>
      </c>
      <c r="H1171">
        <v>203.12700000000001</v>
      </c>
      <c r="I1171">
        <v>238.78</v>
      </c>
      <c r="L1171">
        <v>102.82299999999999</v>
      </c>
    </row>
    <row r="1172" spans="1:12" x14ac:dyDescent="0.25">
      <c r="A1172" s="12">
        <v>43292</v>
      </c>
      <c r="B1172">
        <v>272.16699999999997</v>
      </c>
      <c r="C1172">
        <v>246.374</v>
      </c>
      <c r="D1172">
        <f t="shared" si="4"/>
        <v>103.477</v>
      </c>
      <c r="E1172">
        <v>200.19</v>
      </c>
      <c r="F1172">
        <v>165.75299999999999</v>
      </c>
      <c r="G1172">
        <v>247.22</v>
      </c>
      <c r="H1172">
        <v>203.423</v>
      </c>
      <c r="I1172">
        <v>240.04900000000001</v>
      </c>
      <c r="L1172">
        <v>103.477</v>
      </c>
    </row>
    <row r="1173" spans="1:12" x14ac:dyDescent="0.25">
      <c r="A1173" s="12">
        <v>43293</v>
      </c>
      <c r="B1173">
        <v>272.63299999999998</v>
      </c>
      <c r="C1173">
        <v>246.39400000000001</v>
      </c>
      <c r="D1173">
        <f t="shared" si="4"/>
        <v>103.54</v>
      </c>
      <c r="E1173">
        <v>200.458</v>
      </c>
      <c r="F1173">
        <v>165.74100000000001</v>
      </c>
      <c r="G1173">
        <v>247.92599999999999</v>
      </c>
      <c r="H1173">
        <v>203.48699999999999</v>
      </c>
      <c r="I1173">
        <v>239.03899999999999</v>
      </c>
      <c r="L1173">
        <v>103.54</v>
      </c>
    </row>
    <row r="1174" spans="1:12" x14ac:dyDescent="0.25">
      <c r="A1174" s="12">
        <v>43294</v>
      </c>
      <c r="B1174">
        <v>271.84800000000001</v>
      </c>
      <c r="C1174">
        <v>246.51900000000001</v>
      </c>
      <c r="D1174">
        <f t="shared" si="4"/>
        <v>103.363</v>
      </c>
      <c r="E1174">
        <v>199.72900000000001</v>
      </c>
      <c r="F1174">
        <v>165.708</v>
      </c>
      <c r="G1174">
        <v>246.67500000000001</v>
      </c>
      <c r="H1174">
        <v>203.46700000000001</v>
      </c>
      <c r="I1174">
        <v>239.60400000000001</v>
      </c>
      <c r="L1174">
        <v>103.363</v>
      </c>
    </row>
    <row r="1175" spans="1:12" x14ac:dyDescent="0.25">
      <c r="A1175" s="12">
        <v>43297</v>
      </c>
      <c r="B1175">
        <v>272.67700000000002</v>
      </c>
      <c r="C1175">
        <v>246.61699999999999</v>
      </c>
      <c r="D1175">
        <f t="shared" si="4"/>
        <v>103.842</v>
      </c>
      <c r="E1175">
        <v>200.19</v>
      </c>
      <c r="F1175">
        <v>165.49299999999999</v>
      </c>
      <c r="G1175">
        <v>247.28299999999999</v>
      </c>
      <c r="H1175">
        <v>203.477</v>
      </c>
      <c r="I1175">
        <v>239.97800000000001</v>
      </c>
      <c r="L1175">
        <v>103.842</v>
      </c>
    </row>
    <row r="1176" spans="1:12" x14ac:dyDescent="0.25">
      <c r="A1176" s="12">
        <v>43298</v>
      </c>
      <c r="B1176">
        <v>272.947</v>
      </c>
      <c r="C1176">
        <v>246.678</v>
      </c>
      <c r="D1176">
        <f t="shared" si="4"/>
        <v>103.872</v>
      </c>
      <c r="E1176">
        <v>200.67099999999999</v>
      </c>
      <c r="F1176">
        <v>165.74199999999999</v>
      </c>
      <c r="G1176">
        <v>247.56100000000001</v>
      </c>
      <c r="H1176">
        <v>203.59399999999999</v>
      </c>
      <c r="I1176">
        <v>239.58600000000001</v>
      </c>
      <c r="L1176">
        <v>103.872</v>
      </c>
    </row>
    <row r="1177" spans="1:12" x14ac:dyDescent="0.25">
      <c r="A1177" s="12">
        <v>43299</v>
      </c>
      <c r="B1177">
        <v>272.73500000000001</v>
      </c>
      <c r="C1177">
        <v>246.73</v>
      </c>
      <c r="D1177">
        <f t="shared" si="4"/>
        <v>103.699</v>
      </c>
      <c r="E1177">
        <v>200.21799999999999</v>
      </c>
      <c r="F1177">
        <v>165.572</v>
      </c>
      <c r="G1177">
        <v>247.304</v>
      </c>
      <c r="H1177">
        <v>203.58500000000001</v>
      </c>
      <c r="I1177">
        <v>240.03</v>
      </c>
      <c r="L1177">
        <v>103.699</v>
      </c>
    </row>
    <row r="1178" spans="1:12" x14ac:dyDescent="0.25">
      <c r="A1178" s="12">
        <v>43300</v>
      </c>
      <c r="B1178">
        <v>273.363</v>
      </c>
      <c r="C1178">
        <v>246.875</v>
      </c>
      <c r="D1178">
        <f t="shared" si="4"/>
        <v>104.07899999999999</v>
      </c>
      <c r="E1178">
        <v>200.43700000000001</v>
      </c>
      <c r="F1178">
        <v>165.631</v>
      </c>
      <c r="G1178">
        <v>247.53899999999999</v>
      </c>
      <c r="H1178">
        <v>203.613</v>
      </c>
      <c r="I1178">
        <v>240.59100000000001</v>
      </c>
      <c r="L1178">
        <v>104.07899999999999</v>
      </c>
    </row>
    <row r="1179" spans="1:12" x14ac:dyDescent="0.25">
      <c r="A1179" s="12">
        <v>43301</v>
      </c>
      <c r="B1179">
        <v>273.96100000000001</v>
      </c>
      <c r="C1179">
        <v>246.80199999999999</v>
      </c>
      <c r="D1179">
        <f t="shared" si="4"/>
        <v>104.297</v>
      </c>
      <c r="E1179">
        <v>200.89599999999999</v>
      </c>
      <c r="F1179">
        <v>165.738</v>
      </c>
      <c r="G1179">
        <v>248.34299999999999</v>
      </c>
      <c r="H1179">
        <v>203.65199999999999</v>
      </c>
      <c r="I1179">
        <v>240.358</v>
      </c>
      <c r="L1179">
        <v>104.297</v>
      </c>
    </row>
    <row r="1180" spans="1:12" x14ac:dyDescent="0.25">
      <c r="A1180" s="12">
        <v>43304</v>
      </c>
      <c r="B1180">
        <v>273.43400000000003</v>
      </c>
      <c r="C1180">
        <v>246.685</v>
      </c>
      <c r="D1180">
        <f t="shared" si="4"/>
        <v>104.08499999999999</v>
      </c>
      <c r="E1180">
        <v>200.733</v>
      </c>
      <c r="F1180">
        <v>165.77500000000001</v>
      </c>
      <c r="G1180">
        <v>248.00200000000001</v>
      </c>
      <c r="H1180">
        <v>203.55</v>
      </c>
      <c r="I1180">
        <v>240.048</v>
      </c>
      <c r="L1180">
        <v>104.08499999999999</v>
      </c>
    </row>
    <row r="1181" spans="1:12" x14ac:dyDescent="0.25">
      <c r="A1181" s="12">
        <v>43305</v>
      </c>
      <c r="B1181">
        <v>272.75</v>
      </c>
      <c r="C1181">
        <v>246.55600000000001</v>
      </c>
      <c r="D1181">
        <f t="shared" si="4"/>
        <v>103.714</v>
      </c>
      <c r="E1181">
        <v>200.45</v>
      </c>
      <c r="F1181">
        <v>165.46700000000001</v>
      </c>
      <c r="G1181">
        <v>247.386</v>
      </c>
      <c r="H1181">
        <v>203.505</v>
      </c>
      <c r="I1181">
        <v>239.78299999999999</v>
      </c>
      <c r="L1181">
        <v>103.714</v>
      </c>
    </row>
    <row r="1182" spans="1:12" x14ac:dyDescent="0.25">
      <c r="A1182" s="12">
        <v>43306</v>
      </c>
      <c r="B1182">
        <v>272.637</v>
      </c>
      <c r="C1182">
        <v>246.249</v>
      </c>
      <c r="D1182">
        <f t="shared" si="4"/>
        <v>103.774</v>
      </c>
      <c r="E1182">
        <v>200.41800000000001</v>
      </c>
      <c r="F1182">
        <v>165.30699999999999</v>
      </c>
      <c r="G1182">
        <v>247.3</v>
      </c>
      <c r="H1182">
        <v>203.447</v>
      </c>
      <c r="I1182">
        <v>240.50299999999999</v>
      </c>
      <c r="L1182">
        <v>103.774</v>
      </c>
    </row>
    <row r="1183" spans="1:12" x14ac:dyDescent="0.25">
      <c r="A1183" s="12">
        <v>43307</v>
      </c>
      <c r="B1183">
        <v>273.327</v>
      </c>
      <c r="C1183">
        <v>246.41200000000001</v>
      </c>
      <c r="D1183">
        <f t="shared" si="4"/>
        <v>104.06</v>
      </c>
      <c r="E1183">
        <v>201.31899999999999</v>
      </c>
      <c r="F1183">
        <v>165.71899999999999</v>
      </c>
      <c r="G1183">
        <v>248.221</v>
      </c>
      <c r="H1183">
        <v>203.583</v>
      </c>
      <c r="I1183">
        <v>240.48500000000001</v>
      </c>
      <c r="L1183">
        <v>104.06</v>
      </c>
    </row>
    <row r="1184" spans="1:12" x14ac:dyDescent="0.25">
      <c r="A1184" s="12">
        <v>43308</v>
      </c>
      <c r="B1184">
        <v>273.83800000000002</v>
      </c>
      <c r="C1184">
        <v>246.50700000000001</v>
      </c>
      <c r="D1184">
        <f t="shared" si="4"/>
        <v>104.389</v>
      </c>
      <c r="E1184">
        <v>201.42699999999999</v>
      </c>
      <c r="F1184">
        <v>165.88900000000001</v>
      </c>
      <c r="G1184">
        <v>248.15299999999999</v>
      </c>
      <c r="H1184">
        <v>203.68899999999999</v>
      </c>
      <c r="I1184">
        <v>241.08199999999999</v>
      </c>
      <c r="L1184">
        <v>104.389</v>
      </c>
    </row>
    <row r="1185" spans="1:12" x14ac:dyDescent="0.25">
      <c r="A1185" s="12">
        <v>43311</v>
      </c>
      <c r="B1185">
        <v>274.26</v>
      </c>
      <c r="C1185">
        <v>246.75200000000001</v>
      </c>
      <c r="D1185">
        <f t="shared" si="4"/>
        <v>104.51300000000001</v>
      </c>
      <c r="E1185">
        <v>202.08500000000001</v>
      </c>
      <c r="F1185">
        <v>166.071</v>
      </c>
      <c r="G1185">
        <v>249.08</v>
      </c>
      <c r="H1185">
        <v>203.797</v>
      </c>
      <c r="I1185">
        <v>241.58500000000001</v>
      </c>
      <c r="L1185">
        <v>104.51300000000001</v>
      </c>
    </row>
    <row r="1186" spans="1:12" x14ac:dyDescent="0.25">
      <c r="A1186" s="12">
        <v>43312</v>
      </c>
      <c r="B1186">
        <v>274.34399999999999</v>
      </c>
      <c r="C1186">
        <v>246.727</v>
      </c>
      <c r="D1186">
        <f t="shared" si="4"/>
        <v>104.205</v>
      </c>
      <c r="E1186">
        <v>202.22300000000001</v>
      </c>
      <c r="F1186">
        <v>166.11799999999999</v>
      </c>
      <c r="G1186">
        <v>249.673</v>
      </c>
      <c r="H1186">
        <v>203.946</v>
      </c>
      <c r="I1186">
        <v>240.98400000000001</v>
      </c>
      <c r="L1186">
        <v>104.205</v>
      </c>
    </row>
    <row r="1187" spans="1:12" x14ac:dyDescent="0.25">
      <c r="A1187" s="12">
        <v>43313</v>
      </c>
      <c r="B1187">
        <v>273.73700000000002</v>
      </c>
      <c r="C1187">
        <v>246.66399999999999</v>
      </c>
      <c r="D1187">
        <f t="shared" si="4"/>
        <v>103.815</v>
      </c>
      <c r="E1187">
        <v>201.39699999999999</v>
      </c>
      <c r="F1187">
        <v>165.79</v>
      </c>
      <c r="G1187">
        <v>249.215</v>
      </c>
      <c r="H1187">
        <v>203.874</v>
      </c>
      <c r="I1187">
        <v>241.136</v>
      </c>
      <c r="L1187">
        <v>103.815</v>
      </c>
    </row>
    <row r="1188" spans="1:12" x14ac:dyDescent="0.25">
      <c r="A1188" s="12">
        <v>43314</v>
      </c>
      <c r="B1188">
        <v>273.69499999999999</v>
      </c>
      <c r="C1188">
        <v>246.67099999999999</v>
      </c>
      <c r="D1188">
        <f t="shared" si="4"/>
        <v>103.995</v>
      </c>
      <c r="E1188">
        <v>201.67400000000001</v>
      </c>
      <c r="F1188">
        <v>165.81700000000001</v>
      </c>
      <c r="G1188">
        <v>249.304</v>
      </c>
      <c r="H1188">
        <v>203.89599999999999</v>
      </c>
      <c r="I1188">
        <v>240.72399999999999</v>
      </c>
      <c r="L1188">
        <v>103.995</v>
      </c>
    </row>
    <row r="1189" spans="1:12" x14ac:dyDescent="0.25">
      <c r="A1189" s="12">
        <v>43315</v>
      </c>
      <c r="B1189">
        <v>273.43</v>
      </c>
      <c r="C1189">
        <v>246.59299999999999</v>
      </c>
      <c r="D1189">
        <f t="shared" si="4"/>
        <v>103.974</v>
      </c>
      <c r="E1189">
        <v>201.35900000000001</v>
      </c>
      <c r="F1189">
        <v>165.60300000000001</v>
      </c>
      <c r="G1189">
        <v>248.9</v>
      </c>
      <c r="H1189">
        <v>203.85599999999999</v>
      </c>
      <c r="I1189">
        <v>240.11199999999999</v>
      </c>
      <c r="L1189">
        <v>103.974</v>
      </c>
    </row>
    <row r="1190" spans="1:12" x14ac:dyDescent="0.25">
      <c r="A1190" s="12">
        <v>43318</v>
      </c>
      <c r="B1190">
        <v>273.31799999999998</v>
      </c>
      <c r="C1190">
        <v>246.63800000000001</v>
      </c>
      <c r="D1190">
        <f t="shared" si="4"/>
        <v>104.26900000000001</v>
      </c>
      <c r="E1190">
        <v>200.91399999999999</v>
      </c>
      <c r="F1190">
        <v>165.59200000000001</v>
      </c>
      <c r="G1190">
        <v>248.04599999999999</v>
      </c>
      <c r="H1190">
        <v>203.76499999999999</v>
      </c>
      <c r="I1190">
        <v>240.80099999999999</v>
      </c>
      <c r="L1190">
        <v>104.26900000000001</v>
      </c>
    </row>
    <row r="1191" spans="1:12" x14ac:dyDescent="0.25">
      <c r="A1191" s="12">
        <v>43319</v>
      </c>
      <c r="B1191">
        <v>274.10500000000002</v>
      </c>
      <c r="C1191">
        <v>246.91300000000001</v>
      </c>
      <c r="D1191">
        <f t="shared" si="4"/>
        <v>104.694</v>
      </c>
      <c r="E1191">
        <v>201.566</v>
      </c>
      <c r="F1191">
        <v>165.83799999999999</v>
      </c>
      <c r="G1191">
        <v>248.85499999999999</v>
      </c>
      <c r="H1191">
        <v>203.95</v>
      </c>
      <c r="I1191">
        <v>240.876</v>
      </c>
      <c r="L1191">
        <v>104.694</v>
      </c>
    </row>
    <row r="1192" spans="1:12" x14ac:dyDescent="0.25">
      <c r="A1192" s="12">
        <v>43320</v>
      </c>
      <c r="B1192">
        <v>274.42599999999999</v>
      </c>
      <c r="C1192">
        <v>246.85400000000001</v>
      </c>
      <c r="D1192">
        <f t="shared" si="4"/>
        <v>104.79</v>
      </c>
      <c r="E1192">
        <v>201.83</v>
      </c>
      <c r="F1192">
        <v>165.96600000000001</v>
      </c>
      <c r="G1192">
        <v>248.85</v>
      </c>
      <c r="H1192">
        <v>204.01</v>
      </c>
      <c r="I1192">
        <v>241.22800000000001</v>
      </c>
      <c r="L1192">
        <v>104.79</v>
      </c>
    </row>
    <row r="1193" spans="1:12" x14ac:dyDescent="0.25">
      <c r="A1193" s="12">
        <v>43321</v>
      </c>
      <c r="B1193">
        <v>274.54599999999999</v>
      </c>
      <c r="C1193">
        <v>246.732</v>
      </c>
      <c r="D1193">
        <f t="shared" si="4"/>
        <v>104.879</v>
      </c>
      <c r="E1193">
        <v>202.23699999999999</v>
      </c>
      <c r="F1193">
        <v>165.88</v>
      </c>
      <c r="G1193">
        <v>249.32400000000001</v>
      </c>
      <c r="H1193">
        <v>203.96199999999999</v>
      </c>
      <c r="I1193">
        <v>241.18100000000001</v>
      </c>
      <c r="L1193">
        <v>104.879</v>
      </c>
    </row>
    <row r="1194" spans="1:12" x14ac:dyDescent="0.25">
      <c r="A1194" s="12">
        <v>43322</v>
      </c>
      <c r="B1194">
        <v>274.29199999999997</v>
      </c>
      <c r="C1194">
        <v>246.613</v>
      </c>
      <c r="D1194">
        <f t="shared" si="4"/>
        <v>104.869</v>
      </c>
      <c r="E1194">
        <v>202.18799999999999</v>
      </c>
      <c r="F1194">
        <v>165.81299999999999</v>
      </c>
      <c r="G1194">
        <v>249.07900000000001</v>
      </c>
      <c r="H1194">
        <v>203.899</v>
      </c>
      <c r="I1194">
        <v>241.29599999999999</v>
      </c>
      <c r="L1194">
        <v>104.869</v>
      </c>
    </row>
    <row r="1195" spans="1:12" x14ac:dyDescent="0.25">
      <c r="A1195" s="12">
        <v>43325</v>
      </c>
      <c r="B1195">
        <v>274.06599999999997</v>
      </c>
      <c r="C1195">
        <v>246.64500000000001</v>
      </c>
      <c r="D1195">
        <f t="shared" si="4"/>
        <v>105.179</v>
      </c>
      <c r="E1195">
        <v>202.429</v>
      </c>
      <c r="F1195">
        <v>165.84100000000001</v>
      </c>
      <c r="G1195">
        <v>249.286</v>
      </c>
      <c r="H1195">
        <v>203.82900000000001</v>
      </c>
      <c r="I1195">
        <v>240.44800000000001</v>
      </c>
      <c r="L1195">
        <v>105.179</v>
      </c>
    </row>
    <row r="1196" spans="1:12" x14ac:dyDescent="0.25">
      <c r="A1196" s="12">
        <v>43326</v>
      </c>
      <c r="B1196">
        <v>273.03399999999999</v>
      </c>
      <c r="C1196">
        <v>245.74299999999999</v>
      </c>
      <c r="D1196">
        <f t="shared" si="4"/>
        <v>105.292</v>
      </c>
      <c r="E1196">
        <v>201.88800000000001</v>
      </c>
      <c r="F1196">
        <v>165.851</v>
      </c>
      <c r="G1196">
        <v>247.94900000000001</v>
      </c>
      <c r="H1196">
        <v>203.518</v>
      </c>
      <c r="I1196">
        <v>239.767</v>
      </c>
      <c r="L1196">
        <v>105.292</v>
      </c>
    </row>
    <row r="1197" spans="1:12" x14ac:dyDescent="0.25">
      <c r="A1197" s="12">
        <v>43327</v>
      </c>
      <c r="B1197">
        <v>272.30399999999997</v>
      </c>
      <c r="C1197">
        <v>245.24</v>
      </c>
      <c r="D1197">
        <f t="shared" si="4"/>
        <v>105.152</v>
      </c>
      <c r="E1197">
        <v>201.34800000000001</v>
      </c>
      <c r="F1197">
        <v>165.53899999999999</v>
      </c>
      <c r="G1197">
        <v>247.428</v>
      </c>
      <c r="H1197">
        <v>203.10400000000001</v>
      </c>
      <c r="I1197">
        <v>239.79400000000001</v>
      </c>
      <c r="L1197">
        <v>105.152</v>
      </c>
    </row>
    <row r="1198" spans="1:12" x14ac:dyDescent="0.25">
      <c r="A1198" s="12">
        <v>43328</v>
      </c>
      <c r="B1198">
        <v>272.596</v>
      </c>
      <c r="C1198">
        <v>245.47900000000001</v>
      </c>
      <c r="D1198">
        <f t="shared" si="4"/>
        <v>105.485</v>
      </c>
      <c r="E1198">
        <v>200.71700000000001</v>
      </c>
      <c r="F1198">
        <v>165.78700000000001</v>
      </c>
      <c r="G1198">
        <v>247.62200000000001</v>
      </c>
      <c r="H1198">
        <v>203.2</v>
      </c>
      <c r="I1198">
        <v>238.91800000000001</v>
      </c>
      <c r="L1198">
        <v>105.485</v>
      </c>
    </row>
    <row r="1199" spans="1:12" x14ac:dyDescent="0.25">
      <c r="A1199" s="12">
        <v>43329</v>
      </c>
      <c r="B1199">
        <v>272.67</v>
      </c>
      <c r="C1199">
        <v>245.72300000000001</v>
      </c>
      <c r="D1199">
        <f t="shared" si="4"/>
        <v>105.27800000000001</v>
      </c>
      <c r="E1199">
        <v>200.94200000000001</v>
      </c>
      <c r="F1199">
        <v>165.66499999999999</v>
      </c>
      <c r="G1199">
        <v>246.75399999999999</v>
      </c>
      <c r="H1199">
        <v>203.12700000000001</v>
      </c>
      <c r="I1199">
        <v>239.328</v>
      </c>
      <c r="L1199">
        <v>105.27800000000001</v>
      </c>
    </row>
    <row r="1200" spans="1:12" x14ac:dyDescent="0.25">
      <c r="A1200" s="12">
        <v>43332</v>
      </c>
      <c r="B1200">
        <v>272.35399999999998</v>
      </c>
      <c r="C1200">
        <v>245.75700000000001</v>
      </c>
      <c r="D1200">
        <f t="shared" si="4"/>
        <v>105.25</v>
      </c>
      <c r="E1200">
        <v>200.905</v>
      </c>
      <c r="F1200">
        <v>165.70699999999999</v>
      </c>
      <c r="G1200">
        <v>246.596</v>
      </c>
      <c r="H1200">
        <v>203.12700000000001</v>
      </c>
      <c r="I1200">
        <v>239.03</v>
      </c>
      <c r="L1200">
        <v>105.25</v>
      </c>
    </row>
    <row r="1201" spans="1:12" x14ac:dyDescent="0.25">
      <c r="A1201" s="12">
        <v>43333</v>
      </c>
      <c r="B1201">
        <v>272.52600000000001</v>
      </c>
      <c r="C1201">
        <v>245.70500000000001</v>
      </c>
      <c r="D1201">
        <f t="shared" si="4"/>
        <v>105.363</v>
      </c>
      <c r="E1201">
        <v>201.61099999999999</v>
      </c>
      <c r="F1201">
        <v>165.70400000000001</v>
      </c>
      <c r="G1201">
        <v>246.37799999999999</v>
      </c>
      <c r="H1201">
        <v>203.02600000000001</v>
      </c>
      <c r="I1201">
        <v>239.529</v>
      </c>
      <c r="L1201">
        <v>105.363</v>
      </c>
    </row>
    <row r="1202" spans="1:12" x14ac:dyDescent="0.25">
      <c r="A1202" s="12">
        <v>43334</v>
      </c>
      <c r="B1202">
        <v>273.05200000000002</v>
      </c>
      <c r="C1202">
        <v>245.69900000000001</v>
      </c>
      <c r="D1202">
        <f t="shared" si="4"/>
        <v>105.33499999999999</v>
      </c>
      <c r="E1202">
        <v>201.75899999999999</v>
      </c>
      <c r="F1202">
        <v>165.70599999999999</v>
      </c>
      <c r="G1202">
        <v>246.96100000000001</v>
      </c>
      <c r="H1202">
        <v>203.03800000000001</v>
      </c>
      <c r="I1202">
        <v>239.578</v>
      </c>
      <c r="L1202">
        <v>105.33499999999999</v>
      </c>
    </row>
    <row r="1203" spans="1:12" x14ac:dyDescent="0.25">
      <c r="A1203" s="12">
        <v>43335</v>
      </c>
      <c r="B1203">
        <v>273.20400000000001</v>
      </c>
      <c r="C1203">
        <v>245.75800000000001</v>
      </c>
      <c r="D1203">
        <f t="shared" si="4"/>
        <v>104.92</v>
      </c>
      <c r="E1203">
        <v>201.482</v>
      </c>
      <c r="F1203">
        <v>165.70400000000001</v>
      </c>
      <c r="G1203">
        <v>246.952</v>
      </c>
      <c r="H1203">
        <v>203</v>
      </c>
      <c r="I1203">
        <v>239.47499999999999</v>
      </c>
      <c r="L1203">
        <v>104.92</v>
      </c>
    </row>
    <row r="1204" spans="1:12" x14ac:dyDescent="0.25">
      <c r="A1204" s="12">
        <v>43336</v>
      </c>
      <c r="B1204">
        <v>273.33300000000003</v>
      </c>
      <c r="C1204">
        <v>245.96100000000001</v>
      </c>
      <c r="D1204">
        <f t="shared" si="4"/>
        <v>104.76300000000001</v>
      </c>
      <c r="E1204">
        <v>201.52799999999999</v>
      </c>
      <c r="F1204">
        <v>165.684</v>
      </c>
      <c r="G1204">
        <v>246.87899999999999</v>
      </c>
      <c r="H1204">
        <v>202.995</v>
      </c>
      <c r="I1204">
        <v>239.37100000000001</v>
      </c>
      <c r="L1204">
        <v>104.76300000000001</v>
      </c>
    </row>
    <row r="1205" spans="1:12" x14ac:dyDescent="0.25">
      <c r="A1205" s="12">
        <v>43339</v>
      </c>
      <c r="B1205">
        <v>273.13299999999998</v>
      </c>
      <c r="C1205">
        <v>245.88300000000001</v>
      </c>
      <c r="D1205">
        <f t="shared" si="4"/>
        <v>104.655</v>
      </c>
      <c r="E1205">
        <v>201.43799999999999</v>
      </c>
      <c r="F1205">
        <v>165.584</v>
      </c>
      <c r="G1205">
        <v>246.89599999999999</v>
      </c>
      <c r="H1205">
        <v>202.946</v>
      </c>
      <c r="I1205">
        <v>239.49700000000001</v>
      </c>
      <c r="L1205">
        <v>104.655</v>
      </c>
    </row>
    <row r="1206" spans="1:12" x14ac:dyDescent="0.25">
      <c r="A1206" s="12">
        <v>43340</v>
      </c>
      <c r="B1206">
        <v>273.214</v>
      </c>
      <c r="C1206">
        <v>245.75299999999999</v>
      </c>
      <c r="D1206">
        <f t="shared" si="4"/>
        <v>104.663</v>
      </c>
      <c r="E1206">
        <v>201.7</v>
      </c>
      <c r="F1206">
        <v>165.464</v>
      </c>
      <c r="G1206">
        <v>246.86699999999999</v>
      </c>
      <c r="H1206">
        <v>202.93100000000001</v>
      </c>
      <c r="I1206">
        <v>239.959</v>
      </c>
      <c r="L1206">
        <v>104.663</v>
      </c>
    </row>
    <row r="1207" spans="1:12" x14ac:dyDescent="0.25">
      <c r="A1207" s="12">
        <v>43341</v>
      </c>
      <c r="B1207">
        <v>273.57</v>
      </c>
      <c r="C1207">
        <v>245.60400000000001</v>
      </c>
      <c r="D1207">
        <f t="shared" si="4"/>
        <v>104.578</v>
      </c>
      <c r="E1207">
        <v>201.93299999999999</v>
      </c>
      <c r="F1207">
        <v>165.37799999999999</v>
      </c>
      <c r="G1207">
        <v>247.21700000000001</v>
      </c>
      <c r="H1207">
        <v>202.87200000000001</v>
      </c>
      <c r="I1207">
        <v>239.78</v>
      </c>
      <c r="L1207">
        <v>104.578</v>
      </c>
    </row>
    <row r="1208" spans="1:12" x14ac:dyDescent="0.25">
      <c r="A1208" s="12">
        <v>43342</v>
      </c>
      <c r="B1208">
        <v>273.76900000000001</v>
      </c>
      <c r="C1208">
        <v>245.49600000000001</v>
      </c>
      <c r="D1208">
        <f t="shared" si="4"/>
        <v>104.639</v>
      </c>
      <c r="E1208">
        <v>201.86799999999999</v>
      </c>
      <c r="F1208">
        <v>165.23599999999999</v>
      </c>
      <c r="G1208">
        <v>247.40899999999999</v>
      </c>
      <c r="H1208">
        <v>202.81</v>
      </c>
      <c r="I1208">
        <v>239.99</v>
      </c>
      <c r="L1208">
        <v>104.639</v>
      </c>
    </row>
    <row r="1209" spans="1:12" x14ac:dyDescent="0.25">
      <c r="A1209" s="12">
        <v>43343</v>
      </c>
      <c r="B1209">
        <v>273.59699999999998</v>
      </c>
      <c r="C1209">
        <v>245.303</v>
      </c>
      <c r="D1209">
        <f t="shared" si="4"/>
        <v>104.843</v>
      </c>
      <c r="E1209">
        <v>201.71</v>
      </c>
      <c r="F1209">
        <v>165.214</v>
      </c>
      <c r="G1209">
        <v>247.351</v>
      </c>
      <c r="H1209">
        <v>202.602</v>
      </c>
      <c r="I1209">
        <v>239.376</v>
      </c>
      <c r="L1209">
        <v>104.843</v>
      </c>
    </row>
    <row r="1210" spans="1:12" x14ac:dyDescent="0.25">
      <c r="A1210" s="12">
        <v>43346</v>
      </c>
      <c r="B1210">
        <v>273.36</v>
      </c>
      <c r="C1210">
        <v>245.292</v>
      </c>
      <c r="D1210">
        <f t="shared" si="4"/>
        <v>104.89700000000001</v>
      </c>
      <c r="E1210">
        <v>201.30699999999999</v>
      </c>
      <c r="F1210">
        <v>165.11799999999999</v>
      </c>
      <c r="G1210">
        <v>247.06200000000001</v>
      </c>
      <c r="H1210">
        <v>202.43799999999999</v>
      </c>
      <c r="I1210">
        <v>238.821</v>
      </c>
      <c r="L1210">
        <v>104.89700000000001</v>
      </c>
    </row>
    <row r="1211" spans="1:12" x14ac:dyDescent="0.25">
      <c r="A1211" s="12">
        <v>43347</v>
      </c>
      <c r="B1211">
        <v>273.11599999999999</v>
      </c>
      <c r="C1211">
        <v>245.30699999999999</v>
      </c>
      <c r="D1211">
        <f t="shared" si="4"/>
        <v>104.846</v>
      </c>
      <c r="E1211">
        <v>201.381</v>
      </c>
      <c r="F1211">
        <v>165.11199999999999</v>
      </c>
      <c r="G1211">
        <v>246.5</v>
      </c>
      <c r="H1211">
        <v>202.446</v>
      </c>
      <c r="I1211">
        <v>238.99700000000001</v>
      </c>
      <c r="L1211">
        <v>104.846</v>
      </c>
    </row>
    <row r="1212" spans="1:12" x14ac:dyDescent="0.25">
      <c r="A1212" s="12">
        <v>43348</v>
      </c>
      <c r="B1212">
        <v>272.91399999999999</v>
      </c>
      <c r="C1212">
        <v>245.209</v>
      </c>
      <c r="D1212">
        <f t="shared" si="4"/>
        <v>104.88</v>
      </c>
      <c r="E1212">
        <v>201.078</v>
      </c>
      <c r="F1212">
        <v>165.07499999999999</v>
      </c>
      <c r="G1212">
        <v>246.58</v>
      </c>
      <c r="H1212">
        <v>202.428</v>
      </c>
      <c r="I1212">
        <v>238.39599999999999</v>
      </c>
      <c r="L1212">
        <v>104.88</v>
      </c>
    </row>
    <row r="1213" spans="1:12" x14ac:dyDescent="0.25">
      <c r="A1213" s="12">
        <v>43349</v>
      </c>
      <c r="B1213">
        <v>272.05</v>
      </c>
      <c r="C1213">
        <v>244.70500000000001</v>
      </c>
      <c r="D1213">
        <f t="shared" si="4"/>
        <v>104.723</v>
      </c>
      <c r="E1213">
        <v>200.42</v>
      </c>
      <c r="F1213">
        <v>164.91399999999999</v>
      </c>
      <c r="G1213">
        <v>245.70699999999999</v>
      </c>
      <c r="H1213">
        <v>202.107</v>
      </c>
      <c r="I1213">
        <v>237.29599999999999</v>
      </c>
      <c r="L1213">
        <v>104.723</v>
      </c>
    </row>
    <row r="1214" spans="1:12" x14ac:dyDescent="0.25">
      <c r="A1214" s="12">
        <v>43350</v>
      </c>
      <c r="B1214">
        <v>271.20100000000002</v>
      </c>
      <c r="C1214">
        <v>244.47200000000001</v>
      </c>
      <c r="D1214">
        <f t="shared" si="4"/>
        <v>104.248</v>
      </c>
      <c r="E1214">
        <v>200.143</v>
      </c>
      <c r="F1214">
        <v>165.07400000000001</v>
      </c>
      <c r="G1214">
        <v>244.554</v>
      </c>
      <c r="H1214">
        <v>201.81899999999999</v>
      </c>
      <c r="I1214">
        <v>236.93100000000001</v>
      </c>
      <c r="L1214">
        <v>104.248</v>
      </c>
    </row>
    <row r="1215" spans="1:12" x14ac:dyDescent="0.25">
      <c r="A1215" s="12">
        <v>43353</v>
      </c>
      <c r="B1215">
        <v>270.87299999999999</v>
      </c>
      <c r="C1215">
        <v>244.703</v>
      </c>
      <c r="D1215">
        <f t="shared" si="4"/>
        <v>104.167</v>
      </c>
      <c r="E1215">
        <v>199.70699999999999</v>
      </c>
      <c r="F1215">
        <v>165.21299999999999</v>
      </c>
      <c r="G1215">
        <v>244.13800000000001</v>
      </c>
      <c r="H1215">
        <v>201.892</v>
      </c>
      <c r="I1215">
        <v>237.12</v>
      </c>
      <c r="L1215">
        <v>104.167</v>
      </c>
    </row>
    <row r="1216" spans="1:12" x14ac:dyDescent="0.25">
      <c r="A1216" s="12">
        <v>43354</v>
      </c>
      <c r="B1216">
        <v>270.63600000000002</v>
      </c>
      <c r="C1216">
        <v>244.643</v>
      </c>
      <c r="D1216">
        <f t="shared" si="4"/>
        <v>104.188</v>
      </c>
      <c r="E1216">
        <v>200.02699999999999</v>
      </c>
      <c r="F1216">
        <v>165.05799999999999</v>
      </c>
      <c r="G1216">
        <v>243.93799999999999</v>
      </c>
      <c r="H1216">
        <v>201.99799999999999</v>
      </c>
      <c r="I1216">
        <v>237.24</v>
      </c>
      <c r="L1216">
        <v>104.188</v>
      </c>
    </row>
    <row r="1217" spans="1:12" x14ac:dyDescent="0.25">
      <c r="A1217" s="12">
        <v>43355</v>
      </c>
      <c r="B1217">
        <v>270.66800000000001</v>
      </c>
      <c r="C1217">
        <v>244.48699999999999</v>
      </c>
      <c r="D1217">
        <f t="shared" si="4"/>
        <v>104.19499999999999</v>
      </c>
      <c r="E1217">
        <v>199.54499999999999</v>
      </c>
      <c r="F1217">
        <v>165.01</v>
      </c>
      <c r="G1217">
        <v>244.304</v>
      </c>
      <c r="H1217">
        <v>201.928</v>
      </c>
      <c r="I1217">
        <v>237.13499999999999</v>
      </c>
      <c r="L1217">
        <v>104.19499999999999</v>
      </c>
    </row>
    <row r="1218" spans="1:12" x14ac:dyDescent="0.25">
      <c r="A1218" s="12">
        <v>43356</v>
      </c>
      <c r="B1218">
        <v>270.54599999999999</v>
      </c>
      <c r="C1218">
        <v>244.42099999999999</v>
      </c>
      <c r="D1218">
        <f t="shared" si="4"/>
        <v>104.301</v>
      </c>
      <c r="E1218">
        <v>200.09899999999999</v>
      </c>
      <c r="F1218">
        <v>165.03</v>
      </c>
      <c r="G1218">
        <v>244.07300000000001</v>
      </c>
      <c r="H1218">
        <v>201.85400000000001</v>
      </c>
      <c r="I1218">
        <v>237.59800000000001</v>
      </c>
      <c r="L1218">
        <v>104.301</v>
      </c>
    </row>
    <row r="1219" spans="1:12" x14ac:dyDescent="0.25">
      <c r="A1219" s="12">
        <v>43357</v>
      </c>
      <c r="B1219">
        <v>271.06099999999998</v>
      </c>
      <c r="C1219">
        <v>244.58699999999999</v>
      </c>
      <c r="D1219">
        <f t="shared" si="4"/>
        <v>104.23</v>
      </c>
      <c r="E1219">
        <v>200.25299999999999</v>
      </c>
      <c r="F1219">
        <v>164.928</v>
      </c>
      <c r="G1219">
        <v>244.542</v>
      </c>
      <c r="H1219">
        <v>202.00299999999999</v>
      </c>
      <c r="I1219">
        <v>237.631</v>
      </c>
      <c r="L1219">
        <v>104.23</v>
      </c>
    </row>
    <row r="1220" spans="1:12" x14ac:dyDescent="0.25">
      <c r="A1220" s="12">
        <v>43360</v>
      </c>
      <c r="B1220">
        <v>271.29599999999999</v>
      </c>
      <c r="C1220">
        <v>244.75399999999999</v>
      </c>
      <c r="D1220">
        <f t="shared" si="4"/>
        <v>104.229</v>
      </c>
      <c r="E1220">
        <v>200.40600000000001</v>
      </c>
      <c r="F1220">
        <v>164.94200000000001</v>
      </c>
      <c r="G1220">
        <v>244.61099999999999</v>
      </c>
      <c r="H1220">
        <v>202.119</v>
      </c>
      <c r="I1220">
        <v>237.97</v>
      </c>
      <c r="L1220">
        <v>104.229</v>
      </c>
    </row>
    <row r="1221" spans="1:12" x14ac:dyDescent="0.25">
      <c r="A1221" s="12">
        <v>43361</v>
      </c>
      <c r="B1221">
        <v>271.40800000000002</v>
      </c>
      <c r="C1221">
        <v>244.71899999999999</v>
      </c>
      <c r="D1221">
        <f t="shared" si="4"/>
        <v>104.25</v>
      </c>
      <c r="E1221">
        <v>200.268</v>
      </c>
      <c r="F1221">
        <v>164.86699999999999</v>
      </c>
      <c r="G1221">
        <v>244.9</v>
      </c>
      <c r="H1221">
        <v>202.16200000000001</v>
      </c>
      <c r="I1221">
        <v>237.976</v>
      </c>
      <c r="L1221">
        <v>104.25</v>
      </c>
    </row>
    <row r="1222" spans="1:12" x14ac:dyDescent="0.25">
      <c r="A1222" s="12">
        <v>43362</v>
      </c>
      <c r="B1222">
        <v>271.15300000000002</v>
      </c>
      <c r="C1222">
        <v>244.64</v>
      </c>
      <c r="D1222">
        <f t="shared" si="4"/>
        <v>104.11</v>
      </c>
      <c r="E1222">
        <v>200.202</v>
      </c>
      <c r="F1222">
        <v>164.79599999999999</v>
      </c>
      <c r="G1222">
        <v>244.82499999999999</v>
      </c>
      <c r="H1222">
        <v>202.12</v>
      </c>
      <c r="I1222">
        <v>238.21299999999999</v>
      </c>
      <c r="L1222">
        <v>104.11</v>
      </c>
    </row>
    <row r="1223" spans="1:12" x14ac:dyDescent="0.25">
      <c r="A1223" s="12">
        <v>43363</v>
      </c>
      <c r="B1223">
        <v>271.37400000000002</v>
      </c>
      <c r="C1223">
        <v>244.595</v>
      </c>
      <c r="D1223">
        <f t="shared" si="4"/>
        <v>104.31</v>
      </c>
      <c r="E1223">
        <v>200.53399999999999</v>
      </c>
      <c r="F1223">
        <v>164.816</v>
      </c>
      <c r="G1223">
        <v>244.904</v>
      </c>
      <c r="H1223">
        <v>202.1</v>
      </c>
      <c r="I1223">
        <v>238.62899999999999</v>
      </c>
      <c r="L1223">
        <v>104.31</v>
      </c>
    </row>
    <row r="1224" spans="1:12" x14ac:dyDescent="0.25">
      <c r="A1224" s="12">
        <v>43364</v>
      </c>
      <c r="B1224">
        <v>271.58300000000003</v>
      </c>
      <c r="C1224">
        <v>244.37200000000001</v>
      </c>
      <c r="D1224">
        <f t="shared" si="4"/>
        <v>104.373</v>
      </c>
      <c r="E1224">
        <v>200.89599999999999</v>
      </c>
      <c r="F1224">
        <v>164.86099999999999</v>
      </c>
      <c r="G1224">
        <v>245.39400000000001</v>
      </c>
      <c r="H1224">
        <v>202.20699999999999</v>
      </c>
      <c r="I1224">
        <v>239.149</v>
      </c>
      <c r="L1224">
        <v>104.373</v>
      </c>
    </row>
    <row r="1225" spans="1:12" x14ac:dyDescent="0.25">
      <c r="A1225" s="12">
        <v>43368</v>
      </c>
      <c r="B1225">
        <v>272.18799999999999</v>
      </c>
      <c r="C1225">
        <v>244.554</v>
      </c>
      <c r="D1225">
        <f t="shared" si="4"/>
        <v>104.52500000000001</v>
      </c>
      <c r="E1225">
        <v>201.51</v>
      </c>
      <c r="F1225">
        <v>164.953</v>
      </c>
      <c r="G1225">
        <v>245.83799999999999</v>
      </c>
      <c r="H1225">
        <v>202.233</v>
      </c>
      <c r="I1225">
        <v>239.71100000000001</v>
      </c>
      <c r="L1225">
        <v>104.52500000000001</v>
      </c>
    </row>
    <row r="1226" spans="1:12" x14ac:dyDescent="0.25">
      <c r="A1226" s="12">
        <v>43369</v>
      </c>
      <c r="B1226">
        <v>272.45499999999998</v>
      </c>
      <c r="C1226">
        <v>244.71600000000001</v>
      </c>
      <c r="D1226">
        <f t="shared" si="4"/>
        <v>104.197</v>
      </c>
      <c r="E1226">
        <v>201.07400000000001</v>
      </c>
      <c r="F1226">
        <v>164.70500000000001</v>
      </c>
      <c r="G1226">
        <v>245.833</v>
      </c>
      <c r="H1226">
        <v>202.31</v>
      </c>
      <c r="I1226">
        <v>239.28</v>
      </c>
      <c r="L1226">
        <v>104.197</v>
      </c>
    </row>
    <row r="1227" spans="1:12" x14ac:dyDescent="0.25">
      <c r="A1227" s="12">
        <v>43370</v>
      </c>
      <c r="B1227">
        <v>272.40899999999999</v>
      </c>
      <c r="C1227">
        <v>244.64099999999999</v>
      </c>
      <c r="D1227">
        <f t="shared" si="4"/>
        <v>104.29</v>
      </c>
      <c r="E1227">
        <v>201.304</v>
      </c>
      <c r="F1227">
        <v>164.81299999999999</v>
      </c>
      <c r="G1227">
        <v>246.083</v>
      </c>
      <c r="H1227">
        <v>202.17099999999999</v>
      </c>
      <c r="I1227">
        <v>239.64699999999999</v>
      </c>
      <c r="L1227">
        <v>104.29</v>
      </c>
    </row>
    <row r="1228" spans="1:12" x14ac:dyDescent="0.25">
      <c r="A1228" s="12">
        <v>43371</v>
      </c>
      <c r="B1228">
        <v>272.61</v>
      </c>
      <c r="C1228">
        <v>245.048</v>
      </c>
      <c r="D1228">
        <f t="shared" si="4"/>
        <v>104.46899999999999</v>
      </c>
      <c r="E1228">
        <v>201.81</v>
      </c>
      <c r="F1228">
        <v>165.268</v>
      </c>
      <c r="G1228">
        <v>246.36</v>
      </c>
      <c r="H1228">
        <v>202.303</v>
      </c>
      <c r="I1228">
        <v>240.071</v>
      </c>
      <c r="L1228">
        <v>104.46899999999999</v>
      </c>
    </row>
    <row r="1229" spans="1:12" x14ac:dyDescent="0.25">
      <c r="A1229" s="12">
        <v>43374</v>
      </c>
      <c r="B1229">
        <v>272.79700000000003</v>
      </c>
      <c r="C1229">
        <v>245.60300000000001</v>
      </c>
      <c r="D1229">
        <f t="shared" si="4"/>
        <v>104.82899999999999</v>
      </c>
      <c r="E1229">
        <v>201.88900000000001</v>
      </c>
      <c r="F1229">
        <v>165.465</v>
      </c>
      <c r="G1229">
        <v>246.797</v>
      </c>
      <c r="H1229">
        <v>202.53399999999999</v>
      </c>
      <c r="I1229">
        <v>239.505</v>
      </c>
      <c r="L1229">
        <v>104.82899999999999</v>
      </c>
    </row>
    <row r="1230" spans="1:12" x14ac:dyDescent="0.25">
      <c r="A1230" s="12">
        <v>43375</v>
      </c>
      <c r="B1230">
        <v>272.75700000000001</v>
      </c>
      <c r="C1230">
        <v>245.59200000000001</v>
      </c>
      <c r="D1230">
        <f t="shared" si="4"/>
        <v>105.003</v>
      </c>
      <c r="E1230">
        <v>201.995</v>
      </c>
      <c r="F1230">
        <v>165.221</v>
      </c>
      <c r="G1230">
        <v>246.54599999999999</v>
      </c>
      <c r="H1230">
        <v>202.73099999999999</v>
      </c>
      <c r="I1230">
        <v>239.667</v>
      </c>
      <c r="L1230">
        <v>105.003</v>
      </c>
    </row>
    <row r="1231" spans="1:12" x14ac:dyDescent="0.25">
      <c r="A1231" s="12">
        <v>43376</v>
      </c>
      <c r="B1231">
        <v>272.88600000000002</v>
      </c>
      <c r="C1231">
        <v>245.73500000000001</v>
      </c>
      <c r="D1231">
        <f t="shared" si="4"/>
        <v>105.19</v>
      </c>
      <c r="E1231">
        <v>201.60499999999999</v>
      </c>
      <c r="F1231">
        <v>165.23</v>
      </c>
      <c r="G1231">
        <v>247.005</v>
      </c>
      <c r="H1231">
        <v>202.76599999999999</v>
      </c>
      <c r="I1231">
        <v>239.321</v>
      </c>
      <c r="L1231">
        <v>105.19</v>
      </c>
    </row>
    <row r="1232" spans="1:12" x14ac:dyDescent="0.25">
      <c r="A1232" s="12">
        <v>43377</v>
      </c>
      <c r="B1232">
        <v>272.61200000000002</v>
      </c>
      <c r="C1232">
        <v>245.67099999999999</v>
      </c>
      <c r="D1232">
        <f t="shared" si="4"/>
        <v>105.295</v>
      </c>
      <c r="E1232">
        <v>201.65</v>
      </c>
      <c r="F1232">
        <v>165.32900000000001</v>
      </c>
      <c r="G1232">
        <v>246.94399999999999</v>
      </c>
      <c r="H1232">
        <v>202.88499999999999</v>
      </c>
      <c r="I1232">
        <v>239.61</v>
      </c>
      <c r="L1232">
        <v>105.295</v>
      </c>
    </row>
    <row r="1233" spans="1:12" x14ac:dyDescent="0.25">
      <c r="A1233" s="12">
        <v>43378</v>
      </c>
      <c r="B1233">
        <v>272.46699999999998</v>
      </c>
      <c r="C1233">
        <v>245.22900000000001</v>
      </c>
      <c r="D1233">
        <f t="shared" si="4"/>
        <v>105.161</v>
      </c>
      <c r="E1233">
        <v>201.28100000000001</v>
      </c>
      <c r="F1233">
        <v>164.90799999999999</v>
      </c>
      <c r="G1233">
        <v>246.92099999999999</v>
      </c>
      <c r="H1233">
        <v>202.761</v>
      </c>
      <c r="I1233">
        <v>238.45400000000001</v>
      </c>
      <c r="L1233">
        <v>105.161</v>
      </c>
    </row>
    <row r="1234" spans="1:12" x14ac:dyDescent="0.25">
      <c r="A1234" s="12">
        <v>43381</v>
      </c>
      <c r="B1234">
        <v>271.17599999999999</v>
      </c>
      <c r="C1234">
        <v>244.488</v>
      </c>
      <c r="D1234">
        <f t="shared" si="4"/>
        <v>104.706</v>
      </c>
      <c r="E1234">
        <v>200.52600000000001</v>
      </c>
      <c r="F1234">
        <v>164.68299999999999</v>
      </c>
      <c r="G1234">
        <v>245.751</v>
      </c>
      <c r="H1234">
        <v>202.19499999999999</v>
      </c>
      <c r="I1234">
        <v>237.559</v>
      </c>
      <c r="L1234">
        <v>104.706</v>
      </c>
    </row>
    <row r="1235" spans="1:12" x14ac:dyDescent="0.25">
      <c r="A1235" s="12">
        <v>43382</v>
      </c>
      <c r="B1235">
        <v>270.18200000000002</v>
      </c>
      <c r="C1235">
        <v>244.37299999999999</v>
      </c>
      <c r="D1235">
        <f t="shared" ref="D1235:D1298" si="5">IF(L1235&gt;1,L1235,L1235*100)</f>
        <v>104.39700000000001</v>
      </c>
      <c r="E1235">
        <v>199.71299999999999</v>
      </c>
      <c r="F1235">
        <v>164.601</v>
      </c>
      <c r="G1235">
        <v>244.76499999999999</v>
      </c>
      <c r="H1235">
        <v>202.05</v>
      </c>
      <c r="I1235">
        <v>236.78899999999999</v>
      </c>
      <c r="L1235">
        <v>104.39700000000001</v>
      </c>
    </row>
    <row r="1236" spans="1:12" x14ac:dyDescent="0.25">
      <c r="A1236" s="12">
        <v>43383</v>
      </c>
      <c r="B1236">
        <v>269.71800000000002</v>
      </c>
      <c r="C1236">
        <v>244.453</v>
      </c>
      <c r="D1236">
        <f t="shared" si="5"/>
        <v>104.399</v>
      </c>
      <c r="E1236">
        <v>199.12200000000001</v>
      </c>
      <c r="F1236">
        <v>164.477</v>
      </c>
      <c r="G1236">
        <v>244.06899999999999</v>
      </c>
      <c r="H1236">
        <v>202.15899999999999</v>
      </c>
      <c r="I1236">
        <v>237.09200000000001</v>
      </c>
      <c r="L1236">
        <v>104.399</v>
      </c>
    </row>
    <row r="1237" spans="1:12" x14ac:dyDescent="0.25">
      <c r="A1237" s="12">
        <v>43384</v>
      </c>
      <c r="B1237">
        <v>269.16699999999997</v>
      </c>
      <c r="C1237">
        <v>244.24600000000001</v>
      </c>
      <c r="D1237">
        <f t="shared" si="5"/>
        <v>104.178</v>
      </c>
      <c r="E1237">
        <v>199.142</v>
      </c>
      <c r="F1237">
        <v>164.44399999999999</v>
      </c>
      <c r="G1237">
        <v>243.929</v>
      </c>
      <c r="H1237">
        <v>202.16</v>
      </c>
      <c r="I1237">
        <v>235.393</v>
      </c>
      <c r="L1237">
        <v>104.178</v>
      </c>
    </row>
    <row r="1238" spans="1:12" x14ac:dyDescent="0.25">
      <c r="A1238" s="12">
        <v>43385</v>
      </c>
      <c r="B1238">
        <v>267.46300000000002</v>
      </c>
      <c r="C1238">
        <v>244.114</v>
      </c>
      <c r="D1238">
        <f t="shared" si="5"/>
        <v>102.804</v>
      </c>
      <c r="E1238">
        <v>196.97</v>
      </c>
      <c r="F1238">
        <v>164.21</v>
      </c>
      <c r="G1238">
        <v>242.31299999999999</v>
      </c>
      <c r="H1238">
        <v>201.958</v>
      </c>
      <c r="I1238">
        <v>233.71199999999999</v>
      </c>
      <c r="L1238">
        <v>102.804</v>
      </c>
    </row>
    <row r="1239" spans="1:12" x14ac:dyDescent="0.25">
      <c r="A1239" s="12">
        <v>43388</v>
      </c>
      <c r="B1239">
        <v>265.90600000000001</v>
      </c>
      <c r="C1239">
        <v>244.31299999999999</v>
      </c>
      <c r="D1239">
        <f t="shared" si="5"/>
        <v>102.068</v>
      </c>
      <c r="E1239">
        <v>196.607</v>
      </c>
      <c r="F1239">
        <v>164.262</v>
      </c>
      <c r="G1239">
        <v>240.28299999999999</v>
      </c>
      <c r="H1239">
        <v>202.02699999999999</v>
      </c>
      <c r="I1239">
        <v>233.69200000000001</v>
      </c>
      <c r="L1239">
        <v>102.068</v>
      </c>
    </row>
    <row r="1240" spans="1:12" x14ac:dyDescent="0.25">
      <c r="A1240" s="12">
        <v>43389</v>
      </c>
      <c r="B1240">
        <v>266.43599999999998</v>
      </c>
      <c r="C1240">
        <v>244.46700000000001</v>
      </c>
      <c r="D1240">
        <f t="shared" si="5"/>
        <v>102.227</v>
      </c>
      <c r="E1240">
        <v>196.39400000000001</v>
      </c>
      <c r="F1240">
        <v>164.31700000000001</v>
      </c>
      <c r="G1240">
        <v>240.38800000000001</v>
      </c>
      <c r="H1240">
        <v>202.16300000000001</v>
      </c>
      <c r="I1240">
        <v>233.85900000000001</v>
      </c>
      <c r="L1240">
        <v>102.227</v>
      </c>
    </row>
    <row r="1241" spans="1:12" x14ac:dyDescent="0.25">
      <c r="A1241" s="12">
        <v>43390</v>
      </c>
      <c r="B1241">
        <v>266.18299999999999</v>
      </c>
      <c r="C1241">
        <v>244.518</v>
      </c>
      <c r="D1241">
        <f t="shared" si="5"/>
        <v>102.10899999999999</v>
      </c>
      <c r="E1241">
        <v>196.577</v>
      </c>
      <c r="F1241">
        <v>164.357</v>
      </c>
      <c r="G1241">
        <v>240.352</v>
      </c>
      <c r="H1241">
        <v>202.286</v>
      </c>
      <c r="I1241">
        <v>235.12299999999999</v>
      </c>
      <c r="L1241">
        <v>102.10899999999999</v>
      </c>
    </row>
    <row r="1242" spans="1:12" x14ac:dyDescent="0.25">
      <c r="A1242" s="12">
        <v>43391</v>
      </c>
      <c r="B1242">
        <v>267.786</v>
      </c>
      <c r="C1242">
        <v>244.77699999999999</v>
      </c>
      <c r="D1242">
        <f t="shared" si="5"/>
        <v>102.91800000000001</v>
      </c>
      <c r="E1242">
        <v>197.715</v>
      </c>
      <c r="F1242">
        <v>164.58</v>
      </c>
      <c r="G1242">
        <v>241.733</v>
      </c>
      <c r="H1242">
        <v>202.47900000000001</v>
      </c>
      <c r="I1242">
        <v>234.935</v>
      </c>
      <c r="L1242">
        <v>102.91800000000001</v>
      </c>
    </row>
    <row r="1243" spans="1:12" x14ac:dyDescent="0.25">
      <c r="A1243" s="12">
        <v>43392</v>
      </c>
      <c r="B1243">
        <v>267.798</v>
      </c>
      <c r="C1243">
        <v>244.74700000000001</v>
      </c>
      <c r="D1243">
        <f t="shared" si="5"/>
        <v>103.05200000000001</v>
      </c>
      <c r="E1243">
        <v>197.57</v>
      </c>
      <c r="F1243">
        <v>164.49199999999999</v>
      </c>
      <c r="G1243">
        <v>242.17</v>
      </c>
      <c r="H1243">
        <v>202.625</v>
      </c>
      <c r="I1243">
        <v>234.31100000000001</v>
      </c>
      <c r="L1243">
        <v>103.05200000000001</v>
      </c>
    </row>
    <row r="1244" spans="1:12" x14ac:dyDescent="0.25">
      <c r="A1244" s="12">
        <v>43395</v>
      </c>
      <c r="B1244">
        <v>267.03500000000003</v>
      </c>
      <c r="C1244">
        <v>244.65600000000001</v>
      </c>
      <c r="D1244">
        <f t="shared" si="5"/>
        <v>102.785</v>
      </c>
      <c r="E1244">
        <v>196.99799999999999</v>
      </c>
      <c r="F1244">
        <v>164.50899999999999</v>
      </c>
      <c r="G1244">
        <v>241.62700000000001</v>
      </c>
      <c r="H1244">
        <v>202.56299999999999</v>
      </c>
      <c r="I1244">
        <v>234.25299999999999</v>
      </c>
      <c r="L1244">
        <v>102.785</v>
      </c>
    </row>
    <row r="1245" spans="1:12" x14ac:dyDescent="0.25">
      <c r="A1245" s="12">
        <v>43396</v>
      </c>
      <c r="B1245">
        <v>266.56299999999999</v>
      </c>
      <c r="C1245">
        <v>244.39</v>
      </c>
      <c r="D1245">
        <f t="shared" si="5"/>
        <v>102.61499999999999</v>
      </c>
      <c r="E1245">
        <v>197.214</v>
      </c>
      <c r="F1245">
        <v>164.46799999999999</v>
      </c>
      <c r="G1245">
        <v>240.99199999999999</v>
      </c>
      <c r="H1245">
        <v>202.39400000000001</v>
      </c>
      <c r="I1245">
        <v>233.99199999999999</v>
      </c>
      <c r="L1245">
        <v>102.61499999999999</v>
      </c>
    </row>
    <row r="1246" spans="1:12" x14ac:dyDescent="0.25">
      <c r="A1246" s="12">
        <v>43397</v>
      </c>
      <c r="B1246">
        <v>265.81</v>
      </c>
      <c r="C1246">
        <v>244.34</v>
      </c>
      <c r="D1246">
        <f t="shared" si="5"/>
        <v>102.369</v>
      </c>
      <c r="E1246">
        <v>196.13499999999999</v>
      </c>
      <c r="F1246">
        <v>164.363</v>
      </c>
      <c r="G1246">
        <v>240.82499999999999</v>
      </c>
      <c r="H1246">
        <v>202.45099999999999</v>
      </c>
      <c r="I1246">
        <v>232.535</v>
      </c>
      <c r="L1246">
        <v>102.369</v>
      </c>
    </row>
    <row r="1247" spans="1:12" x14ac:dyDescent="0.25">
      <c r="A1247" s="12">
        <v>43398</v>
      </c>
      <c r="B1247">
        <v>265.14</v>
      </c>
      <c r="C1247">
        <v>244.48</v>
      </c>
      <c r="D1247">
        <f t="shared" si="5"/>
        <v>102.282</v>
      </c>
      <c r="E1247">
        <v>196.21700000000001</v>
      </c>
      <c r="F1247">
        <v>164.625</v>
      </c>
      <c r="G1247">
        <v>239.06200000000001</v>
      </c>
      <c r="H1247">
        <v>202.33799999999999</v>
      </c>
      <c r="I1247">
        <v>232.434</v>
      </c>
      <c r="L1247">
        <v>102.282</v>
      </c>
    </row>
    <row r="1248" spans="1:12" x14ac:dyDescent="0.25">
      <c r="A1248" s="12">
        <v>43399</v>
      </c>
      <c r="B1248">
        <v>263.85899999999998</v>
      </c>
      <c r="C1248">
        <v>244.39599999999999</v>
      </c>
      <c r="D1248">
        <f t="shared" si="5"/>
        <v>101.667</v>
      </c>
      <c r="E1248">
        <v>195.34299999999999</v>
      </c>
      <c r="F1248">
        <v>164.44800000000001</v>
      </c>
      <c r="G1248">
        <v>239.11600000000001</v>
      </c>
      <c r="H1248">
        <v>202.387</v>
      </c>
      <c r="I1248">
        <v>233.041</v>
      </c>
      <c r="L1248">
        <v>101.667</v>
      </c>
    </row>
    <row r="1249" spans="1:12" x14ac:dyDescent="0.25">
      <c r="A1249" s="12">
        <v>43402</v>
      </c>
      <c r="B1249">
        <v>263.97899999999998</v>
      </c>
      <c r="C1249">
        <v>244.45500000000001</v>
      </c>
      <c r="D1249">
        <f t="shared" si="5"/>
        <v>101.86199999999999</v>
      </c>
      <c r="E1249">
        <v>194.971</v>
      </c>
      <c r="F1249">
        <v>164.648</v>
      </c>
      <c r="G1249">
        <v>238.70599999999999</v>
      </c>
      <c r="H1249">
        <v>202.30199999999999</v>
      </c>
      <c r="I1249">
        <v>232.14099999999999</v>
      </c>
      <c r="L1249">
        <v>101.86199999999999</v>
      </c>
    </row>
    <row r="1250" spans="1:12" x14ac:dyDescent="0.25">
      <c r="A1250" s="12">
        <v>43403</v>
      </c>
      <c r="B1250">
        <v>263.18200000000002</v>
      </c>
      <c r="C1250">
        <v>244.423</v>
      </c>
      <c r="D1250">
        <f t="shared" si="5"/>
        <v>101.70699999999999</v>
      </c>
      <c r="E1250">
        <v>195.62899999999999</v>
      </c>
      <c r="F1250">
        <v>164.67</v>
      </c>
      <c r="G1250">
        <v>238.221</v>
      </c>
      <c r="H1250">
        <v>202.32499999999999</v>
      </c>
      <c r="I1250">
        <v>232.63499999999999</v>
      </c>
      <c r="L1250">
        <v>101.70699999999999</v>
      </c>
    </row>
    <row r="1251" spans="1:12" x14ac:dyDescent="0.25">
      <c r="A1251" s="12">
        <v>43404</v>
      </c>
      <c r="B1251">
        <v>263.27100000000002</v>
      </c>
      <c r="C1251">
        <v>244.39699999999999</v>
      </c>
      <c r="D1251">
        <f t="shared" si="5"/>
        <v>101.372</v>
      </c>
      <c r="E1251">
        <v>194.857</v>
      </c>
      <c r="F1251">
        <v>164.50899999999999</v>
      </c>
      <c r="G1251">
        <v>239.059</v>
      </c>
      <c r="H1251">
        <v>202.27199999999999</v>
      </c>
      <c r="I1251">
        <v>232.43899999999999</v>
      </c>
      <c r="L1251">
        <v>101.372</v>
      </c>
    </row>
    <row r="1252" spans="1:12" x14ac:dyDescent="0.25">
      <c r="A1252" s="12">
        <v>43405</v>
      </c>
      <c r="B1252">
        <v>263.80099999999999</v>
      </c>
      <c r="C1252">
        <v>244.27799999999999</v>
      </c>
      <c r="D1252">
        <f t="shared" si="5"/>
        <v>102.15600000000001</v>
      </c>
      <c r="E1252">
        <v>195.911</v>
      </c>
      <c r="F1252">
        <v>164.499</v>
      </c>
      <c r="G1252">
        <v>238.67</v>
      </c>
      <c r="H1252">
        <v>202.19900000000001</v>
      </c>
      <c r="I1252">
        <v>234.15700000000001</v>
      </c>
      <c r="L1252">
        <v>102.15600000000001</v>
      </c>
    </row>
    <row r="1253" spans="1:12" x14ac:dyDescent="0.25">
      <c r="A1253" s="12">
        <v>43406</v>
      </c>
      <c r="B1253">
        <v>264.50700000000001</v>
      </c>
      <c r="C1253">
        <v>243.82300000000001</v>
      </c>
      <c r="D1253">
        <f t="shared" si="5"/>
        <v>102.627</v>
      </c>
      <c r="E1253">
        <v>196.499</v>
      </c>
      <c r="F1253">
        <v>164.51</v>
      </c>
      <c r="G1253">
        <v>240.03200000000001</v>
      </c>
      <c r="H1253">
        <v>202.119</v>
      </c>
      <c r="I1253">
        <v>234.58199999999999</v>
      </c>
      <c r="L1253">
        <v>102.627</v>
      </c>
    </row>
    <row r="1254" spans="1:12" x14ac:dyDescent="0.25">
      <c r="A1254" s="12">
        <v>43409</v>
      </c>
      <c r="B1254">
        <v>265.32799999999997</v>
      </c>
      <c r="C1254">
        <v>243.761</v>
      </c>
      <c r="D1254">
        <f t="shared" si="5"/>
        <v>102.655</v>
      </c>
      <c r="E1254">
        <v>196.91300000000001</v>
      </c>
      <c r="F1254">
        <v>164.489</v>
      </c>
      <c r="G1254">
        <v>240.614</v>
      </c>
      <c r="H1254">
        <v>202.18600000000001</v>
      </c>
      <c r="I1254">
        <v>234.989</v>
      </c>
      <c r="L1254">
        <v>102.655</v>
      </c>
    </row>
    <row r="1255" spans="1:12" x14ac:dyDescent="0.25">
      <c r="A1255" s="12">
        <v>43410</v>
      </c>
      <c r="B1255">
        <v>266.00299999999999</v>
      </c>
      <c r="C1255">
        <v>243.81899999999999</v>
      </c>
      <c r="D1255">
        <f t="shared" si="5"/>
        <v>102.652</v>
      </c>
      <c r="E1255">
        <v>197.124</v>
      </c>
      <c r="F1255">
        <v>164.55199999999999</v>
      </c>
      <c r="G1255">
        <v>241.565</v>
      </c>
      <c r="H1255">
        <v>202.309</v>
      </c>
      <c r="I1255">
        <v>235.01599999999999</v>
      </c>
      <c r="L1255">
        <v>102.652</v>
      </c>
    </row>
    <row r="1256" spans="1:12" x14ac:dyDescent="0.25">
      <c r="A1256" s="12">
        <v>43411</v>
      </c>
      <c r="B1256">
        <v>265.83800000000002</v>
      </c>
      <c r="C1256">
        <v>243.965</v>
      </c>
      <c r="D1256">
        <f t="shared" si="5"/>
        <v>102.67400000000001</v>
      </c>
      <c r="E1256">
        <v>197.1</v>
      </c>
      <c r="F1256">
        <v>164.52699999999999</v>
      </c>
      <c r="G1256">
        <v>241.45500000000001</v>
      </c>
      <c r="H1256">
        <v>202.39599999999999</v>
      </c>
      <c r="I1256">
        <v>234.785</v>
      </c>
      <c r="L1256">
        <v>102.67400000000001</v>
      </c>
    </row>
    <row r="1257" spans="1:12" x14ac:dyDescent="0.25">
      <c r="A1257" s="12">
        <v>43412</v>
      </c>
      <c r="B1257">
        <v>266.06400000000002</v>
      </c>
      <c r="C1257">
        <v>243.96700000000001</v>
      </c>
      <c r="D1257">
        <f t="shared" si="5"/>
        <v>102.81</v>
      </c>
      <c r="E1257">
        <v>197.137</v>
      </c>
      <c r="F1257">
        <v>164.51300000000001</v>
      </c>
      <c r="G1257">
        <v>241.292</v>
      </c>
      <c r="H1257">
        <v>202.49100000000001</v>
      </c>
      <c r="I1257">
        <v>235.774</v>
      </c>
      <c r="L1257">
        <v>102.81</v>
      </c>
    </row>
    <row r="1258" spans="1:12" x14ac:dyDescent="0.25">
      <c r="A1258" s="12">
        <v>43413</v>
      </c>
      <c r="B1258">
        <v>267.37900000000002</v>
      </c>
      <c r="C1258">
        <v>244.208</v>
      </c>
      <c r="D1258">
        <f t="shared" si="5"/>
        <v>103.39400000000001</v>
      </c>
      <c r="E1258">
        <v>197.90899999999999</v>
      </c>
      <c r="F1258">
        <v>164.54900000000001</v>
      </c>
      <c r="G1258">
        <v>242.03100000000001</v>
      </c>
      <c r="H1258">
        <v>202.584</v>
      </c>
      <c r="I1258">
        <v>235.81299999999999</v>
      </c>
      <c r="L1258">
        <v>103.39400000000001</v>
      </c>
    </row>
    <row r="1259" spans="1:12" x14ac:dyDescent="0.25">
      <c r="A1259" s="12">
        <v>43416</v>
      </c>
      <c r="B1259">
        <v>267.29700000000003</v>
      </c>
      <c r="C1259">
        <v>244.184</v>
      </c>
      <c r="D1259">
        <f t="shared" si="5"/>
        <v>103.55200000000001</v>
      </c>
      <c r="E1259">
        <v>198.30500000000001</v>
      </c>
      <c r="F1259">
        <v>164.94499999999999</v>
      </c>
      <c r="G1259">
        <v>242.423</v>
      </c>
      <c r="H1259">
        <v>202.50299999999999</v>
      </c>
      <c r="I1259">
        <v>235.40199999999999</v>
      </c>
      <c r="L1259">
        <v>103.55200000000001</v>
      </c>
    </row>
    <row r="1260" spans="1:12" x14ac:dyDescent="0.25">
      <c r="A1260" s="12">
        <v>43417</v>
      </c>
      <c r="B1260">
        <v>266.85199999999998</v>
      </c>
      <c r="C1260">
        <v>244.327</v>
      </c>
      <c r="D1260">
        <f t="shared" si="5"/>
        <v>103.497</v>
      </c>
      <c r="E1260">
        <v>197.881</v>
      </c>
      <c r="F1260">
        <v>165.018</v>
      </c>
      <c r="G1260">
        <v>242.08500000000001</v>
      </c>
      <c r="H1260">
        <v>202.465</v>
      </c>
      <c r="I1260">
        <v>234.65700000000001</v>
      </c>
      <c r="L1260">
        <v>103.497</v>
      </c>
    </row>
    <row r="1261" spans="1:12" x14ac:dyDescent="0.25">
      <c r="A1261" s="12">
        <v>43418</v>
      </c>
      <c r="B1261">
        <v>265.96300000000002</v>
      </c>
      <c r="C1261">
        <v>244.31700000000001</v>
      </c>
      <c r="D1261">
        <f t="shared" si="5"/>
        <v>103.221</v>
      </c>
      <c r="E1261">
        <v>197.32300000000001</v>
      </c>
      <c r="F1261">
        <v>165.05099999999999</v>
      </c>
      <c r="G1261">
        <v>241.446</v>
      </c>
      <c r="H1261">
        <v>202.52600000000001</v>
      </c>
      <c r="I1261">
        <v>235.291</v>
      </c>
      <c r="L1261">
        <v>103.221</v>
      </c>
    </row>
    <row r="1262" spans="1:12" x14ac:dyDescent="0.25">
      <c r="A1262" s="12">
        <v>43419</v>
      </c>
      <c r="B1262">
        <v>265.649</v>
      </c>
      <c r="C1262">
        <v>244.113</v>
      </c>
      <c r="D1262">
        <f t="shared" si="5"/>
        <v>102.93</v>
      </c>
      <c r="E1262">
        <v>197.65799999999999</v>
      </c>
      <c r="F1262">
        <v>164.87299999999999</v>
      </c>
      <c r="G1262">
        <v>241.28</v>
      </c>
      <c r="H1262">
        <v>202.26499999999999</v>
      </c>
      <c r="I1262">
        <v>234.54900000000001</v>
      </c>
      <c r="L1262">
        <v>102.93</v>
      </c>
    </row>
    <row r="1263" spans="1:12" x14ac:dyDescent="0.25">
      <c r="A1263" s="12">
        <v>43420</v>
      </c>
      <c r="B1263">
        <v>265.21300000000002</v>
      </c>
      <c r="C1263">
        <v>244.07</v>
      </c>
      <c r="D1263">
        <f t="shared" si="5"/>
        <v>102.52500000000001</v>
      </c>
      <c r="E1263">
        <v>196.923</v>
      </c>
      <c r="F1263">
        <v>164.70699999999999</v>
      </c>
      <c r="G1263">
        <v>241.10300000000001</v>
      </c>
      <c r="H1263">
        <v>202.23400000000001</v>
      </c>
      <c r="I1263">
        <v>234.32599999999999</v>
      </c>
      <c r="L1263">
        <v>102.52500000000001</v>
      </c>
    </row>
    <row r="1264" spans="1:12" x14ac:dyDescent="0.25">
      <c r="A1264" s="12">
        <v>43424</v>
      </c>
      <c r="B1264">
        <v>265.09399999999999</v>
      </c>
      <c r="C1264">
        <v>243.86</v>
      </c>
      <c r="D1264">
        <f t="shared" si="5"/>
        <v>102.642</v>
      </c>
      <c r="E1264">
        <v>196.58</v>
      </c>
      <c r="F1264">
        <v>164.45</v>
      </c>
      <c r="G1264">
        <v>240.245</v>
      </c>
      <c r="H1264">
        <v>202.22800000000001</v>
      </c>
      <c r="I1264">
        <v>234.03399999999999</v>
      </c>
      <c r="L1264">
        <v>102.642</v>
      </c>
    </row>
    <row r="1265" spans="1:12" x14ac:dyDescent="0.25">
      <c r="A1265" s="12">
        <v>43425</v>
      </c>
      <c r="B1265">
        <v>263.74900000000002</v>
      </c>
      <c r="C1265">
        <v>243.73</v>
      </c>
      <c r="D1265">
        <f t="shared" si="5"/>
        <v>101.554</v>
      </c>
      <c r="E1265">
        <v>195.80500000000001</v>
      </c>
      <c r="F1265">
        <v>163.91399999999999</v>
      </c>
      <c r="G1265">
        <v>239.59700000000001</v>
      </c>
      <c r="H1265">
        <v>202.07</v>
      </c>
      <c r="I1265">
        <v>232.00899999999999</v>
      </c>
      <c r="L1265">
        <v>101.554</v>
      </c>
    </row>
    <row r="1266" spans="1:12" x14ac:dyDescent="0.25">
      <c r="A1266" s="12">
        <v>43426</v>
      </c>
      <c r="B1266">
        <v>262.233</v>
      </c>
      <c r="C1266">
        <v>243.495</v>
      </c>
      <c r="D1266">
        <f t="shared" si="5"/>
        <v>101.19199999999999</v>
      </c>
      <c r="E1266">
        <v>194.67699999999999</v>
      </c>
      <c r="F1266">
        <v>163.63800000000001</v>
      </c>
      <c r="G1266">
        <v>237.85599999999999</v>
      </c>
      <c r="H1266">
        <v>201.87</v>
      </c>
      <c r="I1266">
        <v>233.012</v>
      </c>
      <c r="L1266">
        <v>101.19199999999999</v>
      </c>
    </row>
    <row r="1267" spans="1:12" x14ac:dyDescent="0.25">
      <c r="A1267" s="12">
        <v>43427</v>
      </c>
      <c r="B1267">
        <v>262.31299999999999</v>
      </c>
      <c r="C1267">
        <v>243.27099999999999</v>
      </c>
      <c r="D1267">
        <f t="shared" si="5"/>
        <v>101.319</v>
      </c>
      <c r="E1267">
        <v>195.47800000000001</v>
      </c>
      <c r="F1267">
        <v>163.89400000000001</v>
      </c>
      <c r="G1267">
        <v>238.73699999999999</v>
      </c>
      <c r="H1267">
        <v>201.935</v>
      </c>
      <c r="I1267">
        <v>232.25299999999999</v>
      </c>
      <c r="L1267">
        <v>101.319</v>
      </c>
    </row>
    <row r="1268" spans="1:12" x14ac:dyDescent="0.25">
      <c r="A1268" s="12">
        <v>43430</v>
      </c>
      <c r="B1268">
        <v>262.67500000000001</v>
      </c>
      <c r="C1268">
        <v>243.51400000000001</v>
      </c>
      <c r="D1268">
        <f t="shared" si="5"/>
        <v>101.42400000000001</v>
      </c>
      <c r="E1268">
        <v>194.98</v>
      </c>
      <c r="F1268">
        <v>163.91399999999999</v>
      </c>
      <c r="G1268">
        <v>238.52600000000001</v>
      </c>
      <c r="H1268">
        <v>201.97300000000001</v>
      </c>
      <c r="I1268">
        <v>232.74299999999999</v>
      </c>
      <c r="L1268">
        <v>101.42400000000001</v>
      </c>
    </row>
    <row r="1269" spans="1:12" x14ac:dyDescent="0.25">
      <c r="A1269" s="12">
        <v>43431</v>
      </c>
      <c r="B1269">
        <v>262.66899999999998</v>
      </c>
      <c r="C1269">
        <v>243.49299999999999</v>
      </c>
      <c r="D1269">
        <f t="shared" si="5"/>
        <v>101.568</v>
      </c>
      <c r="E1269">
        <v>195.38800000000001</v>
      </c>
      <c r="F1269">
        <v>164.02799999999999</v>
      </c>
      <c r="G1269">
        <v>238.65299999999999</v>
      </c>
      <c r="H1269">
        <v>202.02500000000001</v>
      </c>
      <c r="I1269">
        <v>233.62700000000001</v>
      </c>
      <c r="L1269">
        <v>101.568</v>
      </c>
    </row>
    <row r="1270" spans="1:12" x14ac:dyDescent="0.25">
      <c r="A1270" s="12">
        <v>43432</v>
      </c>
      <c r="B1270">
        <v>263.517</v>
      </c>
      <c r="C1270">
        <v>243.37899999999999</v>
      </c>
      <c r="D1270">
        <f t="shared" si="5"/>
        <v>102.09699999999999</v>
      </c>
      <c r="E1270">
        <v>196.096</v>
      </c>
      <c r="F1270">
        <v>164.03899999999999</v>
      </c>
      <c r="G1270">
        <v>239.45</v>
      </c>
      <c r="H1270">
        <v>201.982</v>
      </c>
      <c r="I1270">
        <v>233.727</v>
      </c>
      <c r="L1270">
        <v>102.09699999999999</v>
      </c>
    </row>
    <row r="1271" spans="1:12" x14ac:dyDescent="0.25">
      <c r="A1271" s="12">
        <v>43433</v>
      </c>
      <c r="B1271">
        <v>263.62299999999999</v>
      </c>
      <c r="C1271">
        <v>243.2</v>
      </c>
      <c r="D1271">
        <f t="shared" si="5"/>
        <v>102.419</v>
      </c>
      <c r="E1271">
        <v>196.179</v>
      </c>
      <c r="F1271">
        <v>164.03100000000001</v>
      </c>
      <c r="G1271">
        <v>239.624</v>
      </c>
      <c r="H1271">
        <v>201.988</v>
      </c>
      <c r="I1271">
        <v>233.90700000000001</v>
      </c>
      <c r="L1271">
        <v>102.419</v>
      </c>
    </row>
    <row r="1272" spans="1:12" x14ac:dyDescent="0.25">
      <c r="A1272" s="12">
        <v>43434</v>
      </c>
      <c r="B1272">
        <v>264.58</v>
      </c>
      <c r="C1272">
        <v>243.04</v>
      </c>
      <c r="D1272">
        <f t="shared" si="5"/>
        <v>102.92400000000001</v>
      </c>
      <c r="E1272">
        <v>196.511</v>
      </c>
      <c r="F1272">
        <v>164.05600000000001</v>
      </c>
      <c r="G1272">
        <v>239.88499999999999</v>
      </c>
      <c r="H1272">
        <v>201.947</v>
      </c>
      <c r="I1272">
        <v>234.32300000000001</v>
      </c>
      <c r="L1272">
        <v>102.92400000000001</v>
      </c>
    </row>
    <row r="1273" spans="1:12" x14ac:dyDescent="0.25">
      <c r="A1273" s="12">
        <v>43437</v>
      </c>
      <c r="B1273">
        <v>264.75599999999997</v>
      </c>
      <c r="C1273">
        <v>243.273</v>
      </c>
      <c r="D1273">
        <f t="shared" si="5"/>
        <v>102.842</v>
      </c>
      <c r="E1273">
        <v>196.941</v>
      </c>
      <c r="F1273">
        <v>164.24299999999999</v>
      </c>
      <c r="G1273">
        <v>240.29599999999999</v>
      </c>
      <c r="H1273">
        <v>202.17099999999999</v>
      </c>
      <c r="I1273">
        <v>234.197</v>
      </c>
      <c r="L1273">
        <v>102.842</v>
      </c>
    </row>
    <row r="1274" spans="1:12" x14ac:dyDescent="0.25">
      <c r="A1274" s="12">
        <v>43438</v>
      </c>
      <c r="B1274">
        <v>265.07299999999998</v>
      </c>
      <c r="C1274">
        <v>243.26400000000001</v>
      </c>
      <c r="D1274">
        <f t="shared" si="5"/>
        <v>103.33799999999999</v>
      </c>
      <c r="E1274">
        <v>196.95500000000001</v>
      </c>
      <c r="F1274">
        <v>164.31200000000001</v>
      </c>
      <c r="G1274">
        <v>240.172</v>
      </c>
      <c r="H1274">
        <v>202.22399999999999</v>
      </c>
      <c r="I1274">
        <v>235.44499999999999</v>
      </c>
      <c r="L1274">
        <v>103.33799999999999</v>
      </c>
    </row>
    <row r="1275" spans="1:12" x14ac:dyDescent="0.25">
      <c r="A1275" s="12">
        <v>43439</v>
      </c>
      <c r="B1275">
        <v>266.17599999999999</v>
      </c>
      <c r="C1275">
        <v>243.458</v>
      </c>
      <c r="D1275">
        <f t="shared" si="5"/>
        <v>103.6</v>
      </c>
      <c r="E1275">
        <v>198.08799999999999</v>
      </c>
      <c r="F1275">
        <v>164.52</v>
      </c>
      <c r="G1275">
        <v>241.483</v>
      </c>
      <c r="H1275">
        <v>202.4</v>
      </c>
      <c r="I1275">
        <v>234.99600000000001</v>
      </c>
      <c r="L1275">
        <v>103.6</v>
      </c>
    </row>
    <row r="1276" spans="1:12" x14ac:dyDescent="0.25">
      <c r="A1276" s="12">
        <v>43440</v>
      </c>
      <c r="B1276">
        <v>264.67200000000003</v>
      </c>
      <c r="C1276">
        <v>243.74199999999999</v>
      </c>
      <c r="D1276">
        <f t="shared" si="5"/>
        <v>102.801</v>
      </c>
      <c r="E1276">
        <v>197.76300000000001</v>
      </c>
      <c r="F1276">
        <v>164.52799999999999</v>
      </c>
      <c r="G1276">
        <v>240.85900000000001</v>
      </c>
      <c r="H1276">
        <v>202.351</v>
      </c>
      <c r="I1276">
        <v>233.79900000000001</v>
      </c>
      <c r="L1276">
        <v>102.801</v>
      </c>
    </row>
    <row r="1277" spans="1:12" x14ac:dyDescent="0.25">
      <c r="A1277" s="12">
        <v>43441</v>
      </c>
      <c r="B1277">
        <v>263.93700000000001</v>
      </c>
      <c r="C1277">
        <v>243.702</v>
      </c>
      <c r="D1277">
        <f t="shared" si="5"/>
        <v>102.19799999999999</v>
      </c>
      <c r="E1277">
        <v>196.74199999999999</v>
      </c>
      <c r="F1277">
        <v>164.43299999999999</v>
      </c>
      <c r="G1277">
        <v>239.84399999999999</v>
      </c>
      <c r="H1277">
        <v>202.27099999999999</v>
      </c>
      <c r="I1277">
        <v>231.20699999999999</v>
      </c>
      <c r="L1277">
        <v>102.19799999999999</v>
      </c>
    </row>
    <row r="1278" spans="1:12" x14ac:dyDescent="0.25">
      <c r="A1278" s="12">
        <v>43444</v>
      </c>
      <c r="B1278">
        <v>262.43400000000003</v>
      </c>
      <c r="C1278">
        <v>243.471</v>
      </c>
      <c r="D1278">
        <f t="shared" si="5"/>
        <v>101.872</v>
      </c>
      <c r="E1278">
        <v>194.583</v>
      </c>
      <c r="F1278">
        <v>164.24600000000001</v>
      </c>
      <c r="G1278">
        <v>237.11199999999999</v>
      </c>
      <c r="H1278">
        <v>201.94200000000001</v>
      </c>
      <c r="I1278">
        <v>231.613</v>
      </c>
      <c r="L1278">
        <v>101.872</v>
      </c>
    </row>
    <row r="1279" spans="1:12" x14ac:dyDescent="0.25">
      <c r="A1279" s="12">
        <v>43445</v>
      </c>
      <c r="B1279">
        <v>261.45299999999997</v>
      </c>
      <c r="C1279">
        <v>243.50800000000001</v>
      </c>
      <c r="D1279">
        <f t="shared" si="5"/>
        <v>101.096</v>
      </c>
      <c r="E1279">
        <v>194.87100000000001</v>
      </c>
      <c r="F1279">
        <v>164.345</v>
      </c>
      <c r="G1279">
        <v>237.08699999999999</v>
      </c>
      <c r="H1279">
        <v>202.01300000000001</v>
      </c>
      <c r="I1279">
        <v>229.846</v>
      </c>
      <c r="L1279">
        <v>101.096</v>
      </c>
    </row>
    <row r="1280" spans="1:12" x14ac:dyDescent="0.25">
      <c r="A1280" s="12">
        <v>43446</v>
      </c>
      <c r="B1280">
        <v>260.96300000000002</v>
      </c>
      <c r="C1280">
        <v>243.54</v>
      </c>
      <c r="D1280">
        <f t="shared" si="5"/>
        <v>101.199</v>
      </c>
      <c r="E1280">
        <v>193.64400000000001</v>
      </c>
      <c r="F1280">
        <v>164.25399999999999</v>
      </c>
      <c r="G1280">
        <v>235.37200000000001</v>
      </c>
      <c r="H1280">
        <v>201.833</v>
      </c>
      <c r="I1280">
        <v>231.25</v>
      </c>
      <c r="L1280">
        <v>101.199</v>
      </c>
    </row>
    <row r="1281" spans="1:12" x14ac:dyDescent="0.25">
      <c r="A1281" s="12">
        <v>43447</v>
      </c>
      <c r="B1281">
        <v>261.21100000000001</v>
      </c>
      <c r="C1281">
        <v>243.48500000000001</v>
      </c>
      <c r="D1281">
        <f t="shared" si="5"/>
        <v>101.468</v>
      </c>
      <c r="E1281">
        <v>194.83500000000001</v>
      </c>
      <c r="F1281">
        <v>164.422</v>
      </c>
      <c r="G1281">
        <v>236.328</v>
      </c>
      <c r="H1281">
        <v>201.87200000000001</v>
      </c>
      <c r="I1281">
        <v>232.511</v>
      </c>
      <c r="L1281">
        <v>101.468</v>
      </c>
    </row>
    <row r="1282" spans="1:12" x14ac:dyDescent="0.25">
      <c r="A1282" s="12">
        <v>43448</v>
      </c>
      <c r="B1282">
        <v>261.86599999999999</v>
      </c>
      <c r="C1282">
        <v>243.58699999999999</v>
      </c>
      <c r="D1282">
        <f t="shared" si="5"/>
        <v>101.69</v>
      </c>
      <c r="E1282">
        <v>195.749</v>
      </c>
      <c r="F1282">
        <v>164.55799999999999</v>
      </c>
      <c r="G1282">
        <v>237.45400000000001</v>
      </c>
      <c r="H1282">
        <v>201.988</v>
      </c>
      <c r="I1282">
        <v>232.54499999999999</v>
      </c>
      <c r="L1282">
        <v>101.69</v>
      </c>
    </row>
    <row r="1283" spans="1:12" x14ac:dyDescent="0.25">
      <c r="A1283" s="12">
        <v>43451</v>
      </c>
      <c r="B1283">
        <v>261.988</v>
      </c>
      <c r="C1283">
        <v>243.864</v>
      </c>
      <c r="D1283">
        <f t="shared" si="5"/>
        <v>101.71899999999999</v>
      </c>
      <c r="E1283">
        <v>195.56700000000001</v>
      </c>
      <c r="F1283">
        <v>164.6</v>
      </c>
      <c r="G1283">
        <v>237.738</v>
      </c>
      <c r="H1283">
        <v>202.06299999999999</v>
      </c>
      <c r="I1283">
        <v>232.125</v>
      </c>
      <c r="L1283">
        <v>101.71899999999999</v>
      </c>
    </row>
    <row r="1284" spans="1:12" x14ac:dyDescent="0.25">
      <c r="A1284" s="12">
        <v>43452</v>
      </c>
      <c r="B1284">
        <v>260.916</v>
      </c>
      <c r="C1284">
        <v>243.90700000000001</v>
      </c>
      <c r="D1284">
        <f t="shared" si="5"/>
        <v>101.093</v>
      </c>
      <c r="E1284">
        <v>195.21199999999999</v>
      </c>
      <c r="F1284">
        <v>164.779</v>
      </c>
      <c r="G1284">
        <v>237.209</v>
      </c>
      <c r="H1284">
        <v>202.047</v>
      </c>
      <c r="I1284">
        <v>231.02</v>
      </c>
      <c r="L1284">
        <v>101.093</v>
      </c>
    </row>
    <row r="1285" spans="1:12" x14ac:dyDescent="0.25">
      <c r="A1285" s="12">
        <v>43453</v>
      </c>
      <c r="B1285">
        <v>259.85700000000003</v>
      </c>
      <c r="C1285">
        <v>243.959</v>
      </c>
      <c r="D1285">
        <f t="shared" si="5"/>
        <v>100.43899999999999</v>
      </c>
      <c r="E1285">
        <v>194.34899999999999</v>
      </c>
      <c r="F1285">
        <v>164.66200000000001</v>
      </c>
      <c r="G1285">
        <v>235.97900000000001</v>
      </c>
      <c r="H1285">
        <v>202.00299999999999</v>
      </c>
      <c r="I1285">
        <v>230.29499999999999</v>
      </c>
      <c r="L1285">
        <v>100.43899999999999</v>
      </c>
    </row>
    <row r="1286" spans="1:12" x14ac:dyDescent="0.25">
      <c r="A1286" s="12">
        <v>43454</v>
      </c>
      <c r="B1286">
        <v>259.78399999999999</v>
      </c>
      <c r="C1286">
        <v>244.06299999999999</v>
      </c>
      <c r="D1286">
        <f t="shared" si="5"/>
        <v>100.133</v>
      </c>
      <c r="E1286">
        <v>193.875</v>
      </c>
      <c r="F1286">
        <v>164.679</v>
      </c>
      <c r="G1286">
        <v>235.292</v>
      </c>
      <c r="H1286">
        <v>202.04400000000001</v>
      </c>
      <c r="I1286">
        <v>230.43</v>
      </c>
      <c r="L1286">
        <v>100.133</v>
      </c>
    </row>
    <row r="1287" spans="1:12" x14ac:dyDescent="0.25">
      <c r="A1287" s="12">
        <v>43455</v>
      </c>
      <c r="B1287">
        <v>259.14400000000001</v>
      </c>
      <c r="C1287">
        <v>244.255</v>
      </c>
      <c r="D1287">
        <f t="shared" si="5"/>
        <v>99.478999999999999</v>
      </c>
      <c r="E1287">
        <v>193.83199999999999</v>
      </c>
      <c r="F1287">
        <v>164.70400000000001</v>
      </c>
      <c r="G1287">
        <v>235.18</v>
      </c>
      <c r="H1287">
        <v>202.06100000000001</v>
      </c>
      <c r="I1287">
        <v>228.91399999999999</v>
      </c>
      <c r="L1287">
        <v>0.99478999999999995</v>
      </c>
    </row>
    <row r="1288" spans="1:12" x14ac:dyDescent="0.25">
      <c r="A1288" s="12">
        <v>43461</v>
      </c>
      <c r="B1288">
        <v>257.98</v>
      </c>
      <c r="C1288">
        <v>244.155</v>
      </c>
      <c r="D1288">
        <f t="shared" si="5"/>
        <v>99.009999999999991</v>
      </c>
      <c r="E1288">
        <v>192.54300000000001</v>
      </c>
      <c r="F1288">
        <v>164.59800000000001</v>
      </c>
      <c r="G1288">
        <v>233.87100000000001</v>
      </c>
      <c r="H1288">
        <v>201.976</v>
      </c>
      <c r="I1288">
        <v>228.53200000000001</v>
      </c>
      <c r="L1288">
        <v>0.99009999999999998</v>
      </c>
    </row>
    <row r="1289" spans="1:12" x14ac:dyDescent="0.25">
      <c r="A1289" s="12">
        <v>43462</v>
      </c>
      <c r="B1289">
        <v>256.93299999999999</v>
      </c>
      <c r="C1289">
        <v>244.119</v>
      </c>
      <c r="D1289">
        <f t="shared" si="5"/>
        <v>98.272999999999996</v>
      </c>
      <c r="E1289">
        <v>191.63900000000001</v>
      </c>
      <c r="F1289">
        <v>164.36600000000001</v>
      </c>
      <c r="G1289">
        <v>233.14599999999999</v>
      </c>
      <c r="H1289">
        <v>201.791</v>
      </c>
      <c r="I1289">
        <v>227.28</v>
      </c>
      <c r="L1289">
        <v>0.98272999999999999</v>
      </c>
    </row>
    <row r="1290" spans="1:12" x14ac:dyDescent="0.25">
      <c r="A1290" s="12">
        <v>43465</v>
      </c>
      <c r="B1290">
        <v>258.31299999999999</v>
      </c>
      <c r="C1290">
        <v>244.05600000000001</v>
      </c>
      <c r="D1290">
        <f t="shared" si="5"/>
        <v>99.114000000000004</v>
      </c>
      <c r="E1290">
        <v>192.69900000000001</v>
      </c>
      <c r="F1290">
        <v>164.53200000000001</v>
      </c>
      <c r="G1290">
        <v>232.04499999999999</v>
      </c>
      <c r="H1290">
        <v>201.78200000000001</v>
      </c>
      <c r="I1290">
        <v>228.99</v>
      </c>
      <c r="L1290">
        <v>0.99114000000000002</v>
      </c>
    </row>
    <row r="1291" spans="1:12" x14ac:dyDescent="0.25">
      <c r="A1291" s="12">
        <v>43467</v>
      </c>
      <c r="B1291">
        <v>257.44600000000003</v>
      </c>
      <c r="C1291">
        <v>243.90199999999999</v>
      </c>
      <c r="D1291">
        <f t="shared" si="5"/>
        <v>98.994</v>
      </c>
      <c r="E1291">
        <v>191.607</v>
      </c>
      <c r="F1291">
        <v>164.51400000000001</v>
      </c>
      <c r="G1291">
        <v>232.047</v>
      </c>
      <c r="H1291">
        <v>201.78</v>
      </c>
      <c r="I1291">
        <v>228.596</v>
      </c>
      <c r="L1291">
        <v>0.98994000000000004</v>
      </c>
    </row>
    <row r="1292" spans="1:12" x14ac:dyDescent="0.25">
      <c r="A1292" s="12">
        <v>43468</v>
      </c>
      <c r="B1292">
        <v>258.447</v>
      </c>
      <c r="C1292">
        <v>244.334</v>
      </c>
      <c r="D1292">
        <f t="shared" si="5"/>
        <v>99.233999999999995</v>
      </c>
      <c r="E1292">
        <v>192.696</v>
      </c>
      <c r="F1292">
        <v>164.53200000000001</v>
      </c>
      <c r="G1292">
        <v>233.68299999999999</v>
      </c>
      <c r="H1292">
        <v>201.99799999999999</v>
      </c>
      <c r="I1292">
        <v>229.143</v>
      </c>
      <c r="L1292">
        <v>0.99234</v>
      </c>
    </row>
    <row r="1293" spans="1:12" x14ac:dyDescent="0.25">
      <c r="A1293" s="12">
        <v>43469</v>
      </c>
      <c r="B1293">
        <v>258.91000000000003</v>
      </c>
      <c r="C1293">
        <v>244.512</v>
      </c>
      <c r="D1293">
        <f t="shared" si="5"/>
        <v>99.632000000000005</v>
      </c>
      <c r="E1293">
        <v>192.94399999999999</v>
      </c>
      <c r="F1293">
        <v>164.77099999999999</v>
      </c>
      <c r="G1293">
        <v>234.179</v>
      </c>
      <c r="H1293">
        <v>202.30799999999999</v>
      </c>
      <c r="I1293">
        <v>228.15899999999999</v>
      </c>
      <c r="L1293">
        <v>0.99631999999999998</v>
      </c>
    </row>
    <row r="1294" spans="1:12" x14ac:dyDescent="0.25">
      <c r="A1294" s="12">
        <v>43472</v>
      </c>
      <c r="B1294">
        <v>258.14100000000002</v>
      </c>
      <c r="C1294">
        <v>244.68</v>
      </c>
      <c r="D1294">
        <f t="shared" si="5"/>
        <v>99.164000000000001</v>
      </c>
      <c r="E1294">
        <v>192.28</v>
      </c>
      <c r="F1294">
        <v>164.745</v>
      </c>
      <c r="G1294">
        <v>233.65199999999999</v>
      </c>
      <c r="H1294">
        <v>202.422</v>
      </c>
      <c r="I1294">
        <v>230.19399999999999</v>
      </c>
      <c r="L1294">
        <v>0.99163999999999997</v>
      </c>
    </row>
    <row r="1295" spans="1:12" x14ac:dyDescent="0.25">
      <c r="A1295" s="12">
        <v>43473</v>
      </c>
      <c r="B1295">
        <v>260.10000000000002</v>
      </c>
      <c r="C1295">
        <v>244.67599999999999</v>
      </c>
      <c r="D1295">
        <f t="shared" si="5"/>
        <v>99.906999999999996</v>
      </c>
      <c r="E1295">
        <v>193.489</v>
      </c>
      <c r="F1295">
        <v>164.85300000000001</v>
      </c>
      <c r="G1295">
        <v>235.09700000000001</v>
      </c>
      <c r="H1295">
        <v>202.61600000000001</v>
      </c>
      <c r="I1295">
        <v>230.19900000000001</v>
      </c>
      <c r="L1295">
        <v>0.99907000000000001</v>
      </c>
    </row>
    <row r="1296" spans="1:12" x14ac:dyDescent="0.25">
      <c r="A1296" s="12">
        <v>43474</v>
      </c>
      <c r="B1296">
        <v>260.86700000000002</v>
      </c>
      <c r="C1296">
        <v>244.77600000000001</v>
      </c>
      <c r="D1296">
        <f t="shared" si="5"/>
        <v>100.11499999999999</v>
      </c>
      <c r="E1296">
        <v>194.01</v>
      </c>
      <c r="F1296">
        <v>164.935</v>
      </c>
      <c r="G1296">
        <v>236.065</v>
      </c>
      <c r="H1296">
        <v>202.79300000000001</v>
      </c>
      <c r="I1296">
        <v>230.77099999999999</v>
      </c>
      <c r="L1296">
        <v>100.11499999999999</v>
      </c>
    </row>
    <row r="1297" spans="1:12" x14ac:dyDescent="0.25">
      <c r="A1297" s="12">
        <v>43475</v>
      </c>
      <c r="B1297">
        <v>261.60599999999999</v>
      </c>
      <c r="C1297">
        <v>244.65299999999999</v>
      </c>
      <c r="D1297">
        <f t="shared" si="5"/>
        <v>100.40600000000001</v>
      </c>
      <c r="E1297">
        <v>194.31</v>
      </c>
      <c r="F1297">
        <v>164.90299999999999</v>
      </c>
      <c r="G1297">
        <v>236.63300000000001</v>
      </c>
      <c r="H1297">
        <v>202.755</v>
      </c>
      <c r="I1297">
        <v>231.48400000000001</v>
      </c>
      <c r="L1297">
        <v>100.40600000000001</v>
      </c>
    </row>
    <row r="1298" spans="1:12" x14ac:dyDescent="0.25">
      <c r="A1298" s="12">
        <v>43476</v>
      </c>
      <c r="B1298">
        <v>262.13900000000001</v>
      </c>
      <c r="C1298">
        <v>244.845</v>
      </c>
      <c r="D1298">
        <f t="shared" si="5"/>
        <v>100.45099999999999</v>
      </c>
      <c r="E1298">
        <v>195.00299999999999</v>
      </c>
      <c r="F1298">
        <v>164.99600000000001</v>
      </c>
      <c r="G1298">
        <v>237.38800000000001</v>
      </c>
      <c r="H1298">
        <v>202.88300000000001</v>
      </c>
      <c r="I1298">
        <v>231.73400000000001</v>
      </c>
      <c r="L1298">
        <v>100.45099999999999</v>
      </c>
    </row>
    <row r="1299" spans="1:12" x14ac:dyDescent="0.25">
      <c r="A1299" s="12">
        <v>43479</v>
      </c>
      <c r="B1299">
        <v>262.11700000000002</v>
      </c>
      <c r="C1299">
        <v>244.922</v>
      </c>
      <c r="D1299">
        <f t="shared" ref="D1299:D1362" si="6">IF(L1299&gt;1,L1299,L1299*100)</f>
        <v>100.675</v>
      </c>
      <c r="E1299">
        <v>195.25800000000001</v>
      </c>
      <c r="F1299">
        <v>165.05500000000001</v>
      </c>
      <c r="G1299">
        <v>237.60400000000001</v>
      </c>
      <c r="H1299">
        <v>203.006</v>
      </c>
      <c r="I1299">
        <v>232.01900000000001</v>
      </c>
      <c r="L1299">
        <v>100.675</v>
      </c>
    </row>
    <row r="1300" spans="1:12" x14ac:dyDescent="0.25">
      <c r="A1300" s="12">
        <v>43480</v>
      </c>
      <c r="B1300">
        <v>262.55399999999997</v>
      </c>
      <c r="C1300">
        <v>245.16399999999999</v>
      </c>
      <c r="D1300">
        <f t="shared" si="6"/>
        <v>100.878</v>
      </c>
      <c r="E1300">
        <v>195.42400000000001</v>
      </c>
      <c r="F1300">
        <v>165.101</v>
      </c>
      <c r="G1300">
        <v>237.92699999999999</v>
      </c>
      <c r="H1300">
        <v>203.13399999999999</v>
      </c>
      <c r="I1300">
        <v>231.77099999999999</v>
      </c>
      <c r="L1300">
        <v>100.878</v>
      </c>
    </row>
    <row r="1301" spans="1:12" x14ac:dyDescent="0.25">
      <c r="A1301" s="12">
        <v>43481</v>
      </c>
      <c r="B1301">
        <v>262.27300000000002</v>
      </c>
      <c r="C1301">
        <v>245.29499999999999</v>
      </c>
      <c r="D1301">
        <f t="shared" si="6"/>
        <v>100.917</v>
      </c>
      <c r="E1301">
        <v>195.21199999999999</v>
      </c>
      <c r="F1301">
        <v>165.13499999999999</v>
      </c>
      <c r="G1301">
        <v>237.6</v>
      </c>
      <c r="H1301">
        <v>203.15299999999999</v>
      </c>
      <c r="I1301">
        <v>232.46</v>
      </c>
      <c r="L1301">
        <v>100.917</v>
      </c>
    </row>
    <row r="1302" spans="1:12" x14ac:dyDescent="0.25">
      <c r="A1302" s="12">
        <v>43482</v>
      </c>
      <c r="B1302">
        <v>263</v>
      </c>
      <c r="C1302">
        <v>245.41</v>
      </c>
      <c r="D1302">
        <f t="shared" si="6"/>
        <v>101.47</v>
      </c>
      <c r="E1302">
        <v>195.97900000000001</v>
      </c>
      <c r="F1302">
        <v>165.381</v>
      </c>
      <c r="G1302">
        <v>238.197</v>
      </c>
      <c r="H1302">
        <v>203.30199999999999</v>
      </c>
      <c r="I1302">
        <v>233.142</v>
      </c>
      <c r="L1302">
        <v>101.47</v>
      </c>
    </row>
    <row r="1303" spans="1:12" x14ac:dyDescent="0.25">
      <c r="A1303" s="12">
        <v>43483</v>
      </c>
      <c r="B1303">
        <v>263.553</v>
      </c>
      <c r="C1303">
        <v>245.6</v>
      </c>
      <c r="D1303">
        <f t="shared" si="6"/>
        <v>101.645</v>
      </c>
      <c r="E1303">
        <v>196.61799999999999</v>
      </c>
      <c r="F1303">
        <v>165.53700000000001</v>
      </c>
      <c r="G1303">
        <v>239.05099999999999</v>
      </c>
      <c r="H1303">
        <v>203.483</v>
      </c>
      <c r="I1303">
        <v>233.08099999999999</v>
      </c>
      <c r="L1303">
        <v>101.645</v>
      </c>
    </row>
    <row r="1304" spans="1:12" x14ac:dyDescent="0.25">
      <c r="A1304" s="12">
        <v>43486</v>
      </c>
      <c r="B1304">
        <v>264.166</v>
      </c>
      <c r="C1304">
        <v>245.642</v>
      </c>
      <c r="D1304">
        <f t="shared" si="6"/>
        <v>102.006</v>
      </c>
      <c r="E1304">
        <v>196.553</v>
      </c>
      <c r="F1304">
        <v>165.38800000000001</v>
      </c>
      <c r="G1304">
        <v>239.2</v>
      </c>
      <c r="H1304">
        <v>203.43</v>
      </c>
      <c r="I1304">
        <v>234.583</v>
      </c>
      <c r="L1304">
        <v>102.006</v>
      </c>
    </row>
    <row r="1305" spans="1:12" x14ac:dyDescent="0.25">
      <c r="A1305" s="12">
        <v>43487</v>
      </c>
      <c r="B1305">
        <v>265.53899999999999</v>
      </c>
      <c r="C1305">
        <v>245.94399999999999</v>
      </c>
      <c r="D1305">
        <f t="shared" si="6"/>
        <v>102.515</v>
      </c>
      <c r="E1305">
        <v>197.73599999999999</v>
      </c>
      <c r="F1305">
        <v>165.571</v>
      </c>
      <c r="G1305">
        <v>240.80500000000001</v>
      </c>
      <c r="H1305">
        <v>203.553</v>
      </c>
      <c r="I1305">
        <v>234.39099999999999</v>
      </c>
      <c r="L1305">
        <v>102.515</v>
      </c>
    </row>
    <row r="1306" spans="1:12" x14ac:dyDescent="0.25">
      <c r="A1306" s="12">
        <v>43488</v>
      </c>
      <c r="B1306">
        <v>265.66800000000001</v>
      </c>
      <c r="C1306">
        <v>246.095</v>
      </c>
      <c r="D1306">
        <f t="shared" si="6"/>
        <v>102.526</v>
      </c>
      <c r="E1306">
        <v>197.78700000000001</v>
      </c>
      <c r="F1306">
        <v>165.64699999999999</v>
      </c>
      <c r="G1306">
        <v>240.94</v>
      </c>
      <c r="H1306">
        <v>203.59200000000001</v>
      </c>
      <c r="I1306">
        <v>234.04900000000001</v>
      </c>
      <c r="L1306">
        <v>102.526</v>
      </c>
    </row>
    <row r="1307" spans="1:12" x14ac:dyDescent="0.25">
      <c r="A1307" s="12">
        <v>43489</v>
      </c>
      <c r="B1307">
        <v>265.041</v>
      </c>
      <c r="C1307">
        <v>246.14099999999999</v>
      </c>
      <c r="D1307">
        <f t="shared" si="6"/>
        <v>102.193</v>
      </c>
      <c r="E1307">
        <v>197.35400000000001</v>
      </c>
      <c r="F1307">
        <v>165.619</v>
      </c>
      <c r="G1307">
        <v>240.50899999999999</v>
      </c>
      <c r="H1307">
        <v>203.55600000000001</v>
      </c>
      <c r="I1307">
        <v>233.81100000000001</v>
      </c>
      <c r="L1307">
        <v>102.193</v>
      </c>
    </row>
    <row r="1308" spans="1:12" x14ac:dyDescent="0.25">
      <c r="A1308" s="12">
        <v>43490</v>
      </c>
      <c r="B1308">
        <v>265.30200000000002</v>
      </c>
      <c r="C1308">
        <v>246.459</v>
      </c>
      <c r="D1308">
        <f t="shared" si="6"/>
        <v>102.193</v>
      </c>
      <c r="E1308">
        <v>197.18199999999999</v>
      </c>
      <c r="F1308">
        <v>165.66200000000001</v>
      </c>
      <c r="G1308">
        <v>240.3</v>
      </c>
      <c r="H1308">
        <v>203.553</v>
      </c>
      <c r="I1308">
        <v>234.61600000000001</v>
      </c>
      <c r="L1308">
        <v>102.193</v>
      </c>
    </row>
    <row r="1309" spans="1:12" x14ac:dyDescent="0.25">
      <c r="A1309" s="12">
        <v>43493</v>
      </c>
      <c r="B1309">
        <v>265.815</v>
      </c>
      <c r="C1309">
        <v>246.744</v>
      </c>
      <c r="D1309">
        <f t="shared" si="6"/>
        <v>102.509</v>
      </c>
      <c r="E1309">
        <v>197.756</v>
      </c>
      <c r="F1309">
        <v>165.946</v>
      </c>
      <c r="G1309">
        <v>240.84100000000001</v>
      </c>
      <c r="H1309">
        <v>203.83600000000001</v>
      </c>
      <c r="I1309">
        <v>235.23599999999999</v>
      </c>
      <c r="L1309">
        <v>102.509</v>
      </c>
    </row>
    <row r="1310" spans="1:12" x14ac:dyDescent="0.25">
      <c r="A1310" s="12">
        <v>43494</v>
      </c>
      <c r="B1310">
        <v>266.35700000000003</v>
      </c>
      <c r="C1310">
        <v>246.69300000000001</v>
      </c>
      <c r="D1310">
        <f t="shared" si="6"/>
        <v>102.482</v>
      </c>
      <c r="E1310">
        <v>198.27600000000001</v>
      </c>
      <c r="F1310">
        <v>165.90299999999999</v>
      </c>
      <c r="G1310">
        <v>241.50800000000001</v>
      </c>
      <c r="H1310">
        <v>203.911</v>
      </c>
      <c r="I1310">
        <v>234.489</v>
      </c>
      <c r="L1310">
        <v>102.482</v>
      </c>
    </row>
    <row r="1311" spans="1:12" x14ac:dyDescent="0.25">
      <c r="A1311" s="12">
        <v>43495</v>
      </c>
      <c r="B1311">
        <v>265.74200000000002</v>
      </c>
      <c r="C1311">
        <v>246.65</v>
      </c>
      <c r="D1311">
        <f t="shared" si="6"/>
        <v>102.187</v>
      </c>
      <c r="E1311">
        <v>197.53800000000001</v>
      </c>
      <c r="F1311">
        <v>165.708</v>
      </c>
      <c r="G1311">
        <v>240.583</v>
      </c>
      <c r="H1311">
        <v>203.78</v>
      </c>
      <c r="I1311">
        <v>234.851</v>
      </c>
      <c r="L1311">
        <v>102.187</v>
      </c>
    </row>
    <row r="1312" spans="1:12" x14ac:dyDescent="0.25">
      <c r="A1312" s="12">
        <v>43496</v>
      </c>
      <c r="B1312">
        <v>265.858</v>
      </c>
      <c r="C1312">
        <v>246.72300000000001</v>
      </c>
      <c r="D1312">
        <f t="shared" si="6"/>
        <v>102.354</v>
      </c>
      <c r="E1312">
        <v>197.85900000000001</v>
      </c>
      <c r="F1312">
        <v>165.89099999999999</v>
      </c>
      <c r="G1312">
        <v>241.02099999999999</v>
      </c>
      <c r="H1312">
        <v>203.94399999999999</v>
      </c>
      <c r="I1312">
        <v>235.249</v>
      </c>
      <c r="L1312">
        <v>102.354</v>
      </c>
    </row>
    <row r="1313" spans="1:12" x14ac:dyDescent="0.25">
      <c r="A1313" s="12">
        <v>43497</v>
      </c>
      <c r="B1313">
        <v>266.459</v>
      </c>
      <c r="C1313">
        <v>246.93600000000001</v>
      </c>
      <c r="D1313">
        <f t="shared" si="6"/>
        <v>102.8</v>
      </c>
      <c r="E1313">
        <v>198.321</v>
      </c>
      <c r="F1313">
        <v>165.97200000000001</v>
      </c>
      <c r="G1313">
        <v>241.37799999999999</v>
      </c>
      <c r="H1313">
        <v>204.08099999999999</v>
      </c>
      <c r="I1313">
        <v>235.87700000000001</v>
      </c>
      <c r="L1313">
        <v>102.8</v>
      </c>
    </row>
    <row r="1314" spans="1:12" x14ac:dyDescent="0.25">
      <c r="A1314" s="12">
        <v>43500</v>
      </c>
      <c r="B1314">
        <v>267.28399999999999</v>
      </c>
      <c r="C1314">
        <v>247.48099999999999</v>
      </c>
      <c r="D1314">
        <f t="shared" si="6"/>
        <v>103.116</v>
      </c>
      <c r="E1314">
        <v>199.137</v>
      </c>
      <c r="F1314">
        <v>166.387</v>
      </c>
      <c r="G1314">
        <v>242.309</v>
      </c>
      <c r="H1314">
        <v>204.60599999999999</v>
      </c>
      <c r="I1314">
        <v>236.04300000000001</v>
      </c>
      <c r="L1314">
        <v>103.116</v>
      </c>
    </row>
    <row r="1315" spans="1:12" x14ac:dyDescent="0.25">
      <c r="A1315" s="12">
        <v>43501</v>
      </c>
      <c r="B1315">
        <v>267.68</v>
      </c>
      <c r="C1315">
        <v>247.84</v>
      </c>
      <c r="D1315">
        <f t="shared" si="6"/>
        <v>103.17400000000001</v>
      </c>
      <c r="E1315">
        <v>199.185</v>
      </c>
      <c r="F1315">
        <v>166.33199999999999</v>
      </c>
      <c r="G1315">
        <v>242.55500000000001</v>
      </c>
      <c r="H1315">
        <v>204.66</v>
      </c>
      <c r="I1315">
        <v>236.279</v>
      </c>
      <c r="L1315">
        <v>103.17400000000001</v>
      </c>
    </row>
    <row r="1316" spans="1:12" x14ac:dyDescent="0.25">
      <c r="A1316" s="12">
        <v>43502</v>
      </c>
      <c r="B1316">
        <v>268.18200000000002</v>
      </c>
      <c r="C1316">
        <v>247.82499999999999</v>
      </c>
      <c r="D1316">
        <f t="shared" si="6"/>
        <v>103.569</v>
      </c>
      <c r="E1316">
        <v>199.40899999999999</v>
      </c>
      <c r="F1316">
        <v>166.32900000000001</v>
      </c>
      <c r="G1316">
        <v>242.81800000000001</v>
      </c>
      <c r="H1316">
        <v>204.67500000000001</v>
      </c>
      <c r="I1316">
        <v>237.33</v>
      </c>
      <c r="L1316">
        <v>103.569</v>
      </c>
    </row>
    <row r="1317" spans="1:12" x14ac:dyDescent="0.25">
      <c r="A1317" s="12">
        <v>43503</v>
      </c>
      <c r="B1317">
        <v>269.23099999999999</v>
      </c>
      <c r="C1317">
        <v>248.23099999999999</v>
      </c>
      <c r="D1317">
        <f t="shared" si="6"/>
        <v>103.959</v>
      </c>
      <c r="E1317">
        <v>200.31100000000001</v>
      </c>
      <c r="F1317">
        <v>166.643</v>
      </c>
      <c r="G1317">
        <v>244.11799999999999</v>
      </c>
      <c r="H1317">
        <v>204.846</v>
      </c>
      <c r="I1317">
        <v>237.37299999999999</v>
      </c>
      <c r="L1317">
        <v>103.959</v>
      </c>
    </row>
    <row r="1318" spans="1:12" x14ac:dyDescent="0.25">
      <c r="A1318" s="12">
        <v>43504</v>
      </c>
      <c r="B1318">
        <v>269.24099999999999</v>
      </c>
      <c r="C1318">
        <v>248.50399999999999</v>
      </c>
      <c r="D1318">
        <f t="shared" si="6"/>
        <v>103.962</v>
      </c>
      <c r="E1318">
        <v>200.24100000000001</v>
      </c>
      <c r="F1318">
        <v>166.619</v>
      </c>
      <c r="G1318">
        <v>244.47</v>
      </c>
      <c r="H1318">
        <v>204.971</v>
      </c>
      <c r="I1318">
        <v>236.19399999999999</v>
      </c>
      <c r="L1318">
        <v>103.962</v>
      </c>
    </row>
    <row r="1319" spans="1:12" x14ac:dyDescent="0.25">
      <c r="A1319" s="12">
        <v>43507</v>
      </c>
      <c r="B1319">
        <v>268.48399999999998</v>
      </c>
      <c r="C1319">
        <v>248.50200000000001</v>
      </c>
      <c r="D1319">
        <f t="shared" si="6"/>
        <v>103.67700000000001</v>
      </c>
      <c r="E1319">
        <v>199.489</v>
      </c>
      <c r="F1319">
        <v>166.56100000000001</v>
      </c>
      <c r="G1319">
        <v>243.36500000000001</v>
      </c>
      <c r="H1319">
        <v>204.952</v>
      </c>
      <c r="I1319">
        <v>235.86600000000001</v>
      </c>
      <c r="L1319">
        <v>103.67700000000001</v>
      </c>
    </row>
    <row r="1320" spans="1:12" x14ac:dyDescent="0.25">
      <c r="A1320" s="12">
        <v>43508</v>
      </c>
      <c r="B1320">
        <v>268.108</v>
      </c>
      <c r="C1320">
        <v>248.52600000000001</v>
      </c>
      <c r="D1320">
        <f t="shared" si="6"/>
        <v>103.85</v>
      </c>
      <c r="E1320">
        <v>199.29400000000001</v>
      </c>
      <c r="F1320">
        <v>166.49299999999999</v>
      </c>
      <c r="G1320">
        <v>242.72</v>
      </c>
      <c r="H1320">
        <v>205.01400000000001</v>
      </c>
      <c r="I1320">
        <v>236.46899999999999</v>
      </c>
      <c r="L1320">
        <v>103.85</v>
      </c>
    </row>
    <row r="1321" spans="1:12" x14ac:dyDescent="0.25">
      <c r="A1321" s="12">
        <v>43509</v>
      </c>
      <c r="B1321">
        <v>268.34199999999998</v>
      </c>
      <c r="C1321">
        <v>248.33600000000001</v>
      </c>
      <c r="D1321">
        <f t="shared" si="6"/>
        <v>104.11</v>
      </c>
      <c r="E1321">
        <v>199.84399999999999</v>
      </c>
      <c r="F1321">
        <v>166.483</v>
      </c>
      <c r="G1321">
        <v>244.01400000000001</v>
      </c>
      <c r="H1321">
        <v>204.88499999999999</v>
      </c>
      <c r="I1321">
        <v>236.87100000000001</v>
      </c>
      <c r="L1321">
        <v>104.11</v>
      </c>
    </row>
    <row r="1322" spans="1:12" x14ac:dyDescent="0.25">
      <c r="A1322" s="12">
        <v>43510</v>
      </c>
      <c r="B1322">
        <v>269.09699999999998</v>
      </c>
      <c r="C1322">
        <v>248.25200000000001</v>
      </c>
      <c r="D1322">
        <f t="shared" si="6"/>
        <v>104.494</v>
      </c>
      <c r="E1322">
        <v>200.405</v>
      </c>
      <c r="F1322">
        <v>166.55500000000001</v>
      </c>
      <c r="G1322">
        <v>244.65899999999999</v>
      </c>
      <c r="H1322">
        <v>204.88900000000001</v>
      </c>
      <c r="I1322">
        <v>237.209</v>
      </c>
      <c r="L1322">
        <v>104.494</v>
      </c>
    </row>
    <row r="1323" spans="1:12" x14ac:dyDescent="0.25">
      <c r="A1323" s="12">
        <v>43511</v>
      </c>
      <c r="B1323">
        <v>269.52800000000002</v>
      </c>
      <c r="C1323">
        <v>248.47300000000001</v>
      </c>
      <c r="D1323">
        <f t="shared" si="6"/>
        <v>104.691</v>
      </c>
      <c r="E1323">
        <v>200.74700000000001</v>
      </c>
      <c r="F1323">
        <v>166.72300000000001</v>
      </c>
      <c r="G1323">
        <v>245.22499999999999</v>
      </c>
      <c r="H1323">
        <v>204.89099999999999</v>
      </c>
      <c r="I1323">
        <v>237.11</v>
      </c>
      <c r="L1323">
        <v>104.691</v>
      </c>
    </row>
    <row r="1324" spans="1:12" x14ac:dyDescent="0.25">
      <c r="A1324" s="12">
        <v>43514</v>
      </c>
      <c r="B1324">
        <v>269.77800000000002</v>
      </c>
      <c r="C1324">
        <v>248.46600000000001</v>
      </c>
      <c r="D1324">
        <f t="shared" si="6"/>
        <v>104.839</v>
      </c>
      <c r="E1324">
        <v>200.58199999999999</v>
      </c>
      <c r="F1324">
        <v>166.672</v>
      </c>
      <c r="G1324">
        <v>244.977</v>
      </c>
      <c r="H1324">
        <v>204.83500000000001</v>
      </c>
      <c r="I1324">
        <v>238.00200000000001</v>
      </c>
      <c r="L1324">
        <v>104.839</v>
      </c>
    </row>
    <row r="1325" spans="1:12" x14ac:dyDescent="0.25">
      <c r="A1325" s="12">
        <v>43515</v>
      </c>
      <c r="B1325">
        <v>270.43200000000002</v>
      </c>
      <c r="C1325">
        <v>248.477</v>
      </c>
      <c r="D1325">
        <f t="shared" si="6"/>
        <v>105.164</v>
      </c>
      <c r="E1325">
        <v>201.06100000000001</v>
      </c>
      <c r="F1325">
        <v>166.75700000000001</v>
      </c>
      <c r="G1325">
        <v>245.96899999999999</v>
      </c>
      <c r="H1325">
        <v>204.92699999999999</v>
      </c>
      <c r="I1325">
        <v>238.05500000000001</v>
      </c>
      <c r="L1325">
        <v>105.164</v>
      </c>
    </row>
    <row r="1326" spans="1:12" x14ac:dyDescent="0.25">
      <c r="A1326" s="12">
        <v>43516</v>
      </c>
      <c r="B1326">
        <v>270.66199999999998</v>
      </c>
      <c r="C1326">
        <v>248.65700000000001</v>
      </c>
      <c r="D1326">
        <f t="shared" si="6"/>
        <v>105.22</v>
      </c>
      <c r="E1326">
        <v>201.21700000000001</v>
      </c>
      <c r="F1326">
        <v>166.73500000000001</v>
      </c>
      <c r="G1326">
        <v>246.215</v>
      </c>
      <c r="H1326">
        <v>204.935</v>
      </c>
      <c r="I1326">
        <v>238.08600000000001</v>
      </c>
      <c r="L1326">
        <v>105.22</v>
      </c>
    </row>
    <row r="1327" spans="1:12" x14ac:dyDescent="0.25">
      <c r="A1327" s="12">
        <v>43517</v>
      </c>
      <c r="B1327">
        <v>270.75700000000001</v>
      </c>
      <c r="C1327">
        <v>248.768</v>
      </c>
      <c r="D1327">
        <f t="shared" si="6"/>
        <v>105.13</v>
      </c>
      <c r="E1327">
        <v>201.25399999999999</v>
      </c>
      <c r="F1327">
        <v>166.81800000000001</v>
      </c>
      <c r="G1327">
        <v>246.239</v>
      </c>
      <c r="H1327">
        <v>205.03</v>
      </c>
      <c r="I1327">
        <v>238.47900000000001</v>
      </c>
      <c r="L1327">
        <v>105.13</v>
      </c>
    </row>
    <row r="1328" spans="1:12" x14ac:dyDescent="0.25">
      <c r="A1328" s="12">
        <v>43518</v>
      </c>
      <c r="B1328">
        <v>271.04500000000002</v>
      </c>
      <c r="C1328">
        <v>248.69399999999999</v>
      </c>
      <c r="D1328">
        <f t="shared" si="6"/>
        <v>105.196</v>
      </c>
      <c r="E1328">
        <v>201.57400000000001</v>
      </c>
      <c r="F1328">
        <v>166.77600000000001</v>
      </c>
      <c r="G1328">
        <v>246.78</v>
      </c>
      <c r="H1328">
        <v>205.13499999999999</v>
      </c>
      <c r="I1328">
        <v>238.26</v>
      </c>
      <c r="L1328">
        <v>105.196</v>
      </c>
    </row>
    <row r="1329" spans="1:12" x14ac:dyDescent="0.25">
      <c r="A1329" s="12">
        <v>43521</v>
      </c>
      <c r="B1329">
        <v>270.91300000000001</v>
      </c>
      <c r="C1329">
        <v>248.679</v>
      </c>
      <c r="D1329">
        <f t="shared" si="6"/>
        <v>105.128</v>
      </c>
      <c r="E1329">
        <v>201.36799999999999</v>
      </c>
      <c r="F1329">
        <v>166.71100000000001</v>
      </c>
      <c r="G1329">
        <v>246.691</v>
      </c>
      <c r="H1329">
        <v>205.01300000000001</v>
      </c>
      <c r="I1329">
        <v>238.755</v>
      </c>
      <c r="L1329">
        <v>105.128</v>
      </c>
    </row>
    <row r="1330" spans="1:12" x14ac:dyDescent="0.25">
      <c r="A1330" s="12">
        <v>43522</v>
      </c>
      <c r="B1330">
        <v>271.339</v>
      </c>
      <c r="C1330">
        <v>248.839</v>
      </c>
      <c r="D1330">
        <f t="shared" si="6"/>
        <v>105.414</v>
      </c>
      <c r="E1330">
        <v>201.93299999999999</v>
      </c>
      <c r="F1330">
        <v>166.886</v>
      </c>
      <c r="G1330">
        <v>247.17599999999999</v>
      </c>
      <c r="H1330">
        <v>205.196</v>
      </c>
      <c r="I1330">
        <v>239.18600000000001</v>
      </c>
      <c r="L1330">
        <v>105.414</v>
      </c>
    </row>
    <row r="1331" spans="1:12" x14ac:dyDescent="0.25">
      <c r="A1331" s="12">
        <v>43523</v>
      </c>
      <c r="B1331">
        <v>271.55799999999999</v>
      </c>
      <c r="C1331">
        <v>248.989</v>
      </c>
      <c r="D1331">
        <f t="shared" si="6"/>
        <v>105.438</v>
      </c>
      <c r="E1331">
        <v>202.44499999999999</v>
      </c>
      <c r="F1331">
        <v>166.983</v>
      </c>
      <c r="G1331">
        <v>247.71700000000001</v>
      </c>
      <c r="H1331">
        <v>205.28399999999999</v>
      </c>
      <c r="I1331">
        <v>239.19200000000001</v>
      </c>
      <c r="L1331">
        <v>105.438</v>
      </c>
    </row>
    <row r="1332" spans="1:12" x14ac:dyDescent="0.25">
      <c r="A1332" s="12">
        <v>43524</v>
      </c>
      <c r="B1332">
        <v>271.661</v>
      </c>
      <c r="C1332">
        <v>249.11799999999999</v>
      </c>
      <c r="D1332">
        <f t="shared" si="6"/>
        <v>105.32299999999999</v>
      </c>
      <c r="E1332">
        <v>202.37700000000001</v>
      </c>
      <c r="F1332">
        <v>167.06899999999999</v>
      </c>
      <c r="G1332">
        <v>247.69300000000001</v>
      </c>
      <c r="H1332">
        <v>205.30099999999999</v>
      </c>
      <c r="I1332">
        <v>238.952</v>
      </c>
      <c r="L1332">
        <v>105.32299999999999</v>
      </c>
    </row>
    <row r="1333" spans="1:12" x14ac:dyDescent="0.25">
      <c r="A1333" s="12">
        <v>43525</v>
      </c>
      <c r="B1333">
        <v>271.392</v>
      </c>
      <c r="C1333">
        <v>248.98099999999999</v>
      </c>
      <c r="D1333">
        <f t="shared" si="6"/>
        <v>105.143</v>
      </c>
      <c r="E1333">
        <v>202.05799999999999</v>
      </c>
      <c r="F1333">
        <v>167.09700000000001</v>
      </c>
      <c r="G1333">
        <v>247.505</v>
      </c>
      <c r="H1333">
        <v>205.38200000000001</v>
      </c>
      <c r="I1333">
        <v>238.86199999999999</v>
      </c>
      <c r="L1333">
        <v>105.143</v>
      </c>
    </row>
    <row r="1334" spans="1:12" x14ac:dyDescent="0.25">
      <c r="A1334" s="12">
        <v>43528</v>
      </c>
      <c r="B1334">
        <v>271.32799999999997</v>
      </c>
      <c r="C1334">
        <v>248.88300000000001</v>
      </c>
      <c r="D1334">
        <f t="shared" si="6"/>
        <v>104.961</v>
      </c>
      <c r="E1334">
        <v>201.803</v>
      </c>
      <c r="F1334">
        <v>167.05799999999999</v>
      </c>
      <c r="G1334">
        <v>247.26499999999999</v>
      </c>
      <c r="H1334">
        <v>205.24700000000001</v>
      </c>
      <c r="I1334">
        <v>239.1</v>
      </c>
      <c r="L1334">
        <v>104.961</v>
      </c>
    </row>
    <row r="1335" spans="1:12" x14ac:dyDescent="0.25">
      <c r="A1335" s="12">
        <v>43529</v>
      </c>
      <c r="B1335">
        <v>271.88499999999999</v>
      </c>
      <c r="C1335">
        <v>248.874</v>
      </c>
      <c r="D1335">
        <f t="shared" si="6"/>
        <v>105.262</v>
      </c>
      <c r="E1335">
        <v>201.995</v>
      </c>
      <c r="F1335">
        <v>167.012</v>
      </c>
      <c r="G1335">
        <v>247.483</v>
      </c>
      <c r="H1335">
        <v>205.12</v>
      </c>
      <c r="I1335">
        <v>239.42</v>
      </c>
      <c r="L1335">
        <v>105.262</v>
      </c>
    </row>
    <row r="1336" spans="1:12" x14ac:dyDescent="0.25">
      <c r="A1336" s="12">
        <v>43530</v>
      </c>
      <c r="B1336">
        <v>271.94299999999998</v>
      </c>
      <c r="C1336">
        <v>248.96600000000001</v>
      </c>
      <c r="D1336">
        <f t="shared" si="6"/>
        <v>105.408</v>
      </c>
      <c r="E1336">
        <v>202.303</v>
      </c>
      <c r="F1336">
        <v>167.089</v>
      </c>
      <c r="G1336">
        <v>248.02600000000001</v>
      </c>
      <c r="H1336">
        <v>205.25</v>
      </c>
      <c r="I1336">
        <v>239.76900000000001</v>
      </c>
      <c r="L1336">
        <v>105.408</v>
      </c>
    </row>
    <row r="1337" spans="1:12" x14ac:dyDescent="0.25">
      <c r="A1337" s="12">
        <v>43531</v>
      </c>
      <c r="B1337">
        <v>271.971</v>
      </c>
      <c r="C1337">
        <v>249.06800000000001</v>
      </c>
      <c r="D1337">
        <f t="shared" si="6"/>
        <v>105.45699999999999</v>
      </c>
      <c r="E1337">
        <v>202.50200000000001</v>
      </c>
      <c r="F1337">
        <v>167.065</v>
      </c>
      <c r="G1337">
        <v>248.15600000000001</v>
      </c>
      <c r="H1337">
        <v>205.31800000000001</v>
      </c>
      <c r="I1337">
        <v>239.64400000000001</v>
      </c>
      <c r="L1337">
        <v>105.45699999999999</v>
      </c>
    </row>
    <row r="1338" spans="1:12" x14ac:dyDescent="0.25">
      <c r="A1338" s="12">
        <v>43532</v>
      </c>
      <c r="B1338">
        <v>271.97300000000001</v>
      </c>
      <c r="C1338">
        <v>249.27699999999999</v>
      </c>
      <c r="D1338">
        <f t="shared" si="6"/>
        <v>105.41800000000001</v>
      </c>
      <c r="E1338">
        <v>202.47800000000001</v>
      </c>
      <c r="F1338">
        <v>167.19200000000001</v>
      </c>
      <c r="G1338">
        <v>248.02</v>
      </c>
      <c r="H1338">
        <v>205.30600000000001</v>
      </c>
      <c r="I1338">
        <v>239.39599999999999</v>
      </c>
      <c r="L1338">
        <v>105.41800000000001</v>
      </c>
    </row>
    <row r="1339" spans="1:12" x14ac:dyDescent="0.25">
      <c r="A1339" s="12">
        <v>43535</v>
      </c>
      <c r="B1339">
        <v>271.37400000000002</v>
      </c>
      <c r="C1339">
        <v>249.46600000000001</v>
      </c>
      <c r="D1339">
        <f t="shared" si="6"/>
        <v>105.491</v>
      </c>
      <c r="E1339">
        <v>202.262</v>
      </c>
      <c r="F1339">
        <v>167.34700000000001</v>
      </c>
      <c r="G1339">
        <v>247.602</v>
      </c>
      <c r="H1339">
        <v>205.36600000000001</v>
      </c>
      <c r="I1339">
        <v>238.583</v>
      </c>
      <c r="L1339">
        <v>105.491</v>
      </c>
    </row>
    <row r="1340" spans="1:12" x14ac:dyDescent="0.25">
      <c r="A1340" s="12">
        <v>43536</v>
      </c>
      <c r="B1340">
        <v>270.76499999999999</v>
      </c>
      <c r="C1340">
        <v>249.33600000000001</v>
      </c>
      <c r="D1340">
        <f t="shared" si="6"/>
        <v>105.40600000000001</v>
      </c>
      <c r="E1340">
        <v>201.43299999999999</v>
      </c>
      <c r="F1340">
        <v>167.14599999999999</v>
      </c>
      <c r="G1340">
        <v>246.61799999999999</v>
      </c>
      <c r="H1340">
        <v>205.26599999999999</v>
      </c>
      <c r="I1340">
        <v>239.369</v>
      </c>
      <c r="L1340">
        <v>105.40600000000001</v>
      </c>
    </row>
    <row r="1341" spans="1:12" x14ac:dyDescent="0.25">
      <c r="A1341" s="12">
        <v>43537</v>
      </c>
      <c r="B1341">
        <v>271.57299999999998</v>
      </c>
      <c r="C1341">
        <v>249.41399999999999</v>
      </c>
      <c r="D1341">
        <f t="shared" si="6"/>
        <v>105.863</v>
      </c>
      <c r="E1341">
        <v>202.506</v>
      </c>
      <c r="F1341">
        <v>167.41200000000001</v>
      </c>
      <c r="G1341">
        <v>247.42400000000001</v>
      </c>
      <c r="H1341">
        <v>205.38499999999999</v>
      </c>
      <c r="I1341">
        <v>239.46199999999999</v>
      </c>
      <c r="L1341">
        <v>105.863</v>
      </c>
    </row>
    <row r="1342" spans="1:12" x14ac:dyDescent="0.25">
      <c r="A1342" s="12">
        <v>43538</v>
      </c>
      <c r="B1342">
        <v>271.91899999999998</v>
      </c>
      <c r="C1342">
        <v>249.66</v>
      </c>
      <c r="D1342">
        <f t="shared" si="6"/>
        <v>105.884</v>
      </c>
      <c r="E1342">
        <v>202.69399999999999</v>
      </c>
      <c r="F1342">
        <v>167.46299999999999</v>
      </c>
      <c r="G1342">
        <v>247.73</v>
      </c>
      <c r="H1342">
        <v>205.50800000000001</v>
      </c>
      <c r="I1342">
        <v>239.721</v>
      </c>
      <c r="L1342">
        <v>105.884</v>
      </c>
    </row>
    <row r="1343" spans="1:12" x14ac:dyDescent="0.25">
      <c r="A1343" s="12">
        <v>43539</v>
      </c>
      <c r="B1343">
        <v>272.33100000000002</v>
      </c>
      <c r="C1343">
        <v>249.798</v>
      </c>
      <c r="D1343">
        <f t="shared" si="6"/>
        <v>106.014</v>
      </c>
      <c r="E1343">
        <v>202.89099999999999</v>
      </c>
      <c r="F1343">
        <v>167.464</v>
      </c>
      <c r="G1343">
        <v>248.14400000000001</v>
      </c>
      <c r="H1343">
        <v>205.512</v>
      </c>
      <c r="I1343">
        <v>239.898</v>
      </c>
      <c r="L1343">
        <v>106.014</v>
      </c>
    </row>
    <row r="1344" spans="1:12" x14ac:dyDescent="0.25">
      <c r="A1344" s="12">
        <v>43542</v>
      </c>
      <c r="B1344">
        <v>272.57</v>
      </c>
      <c r="C1344">
        <v>249.78399999999999</v>
      </c>
      <c r="D1344">
        <f t="shared" si="6"/>
        <v>106.059</v>
      </c>
      <c r="E1344">
        <v>202.846</v>
      </c>
      <c r="F1344">
        <v>167.40600000000001</v>
      </c>
      <c r="G1344">
        <v>248.50200000000001</v>
      </c>
      <c r="H1344">
        <v>205.495</v>
      </c>
      <c r="I1344">
        <v>240.45500000000001</v>
      </c>
      <c r="L1344">
        <v>106.059</v>
      </c>
    </row>
    <row r="1345" spans="1:12" x14ac:dyDescent="0.25">
      <c r="A1345" s="12">
        <v>43543</v>
      </c>
      <c r="B1345">
        <v>272.88200000000001</v>
      </c>
      <c r="C1345">
        <v>250.01499999999999</v>
      </c>
      <c r="D1345">
        <f t="shared" si="6"/>
        <v>106.265</v>
      </c>
      <c r="E1345">
        <v>203.40899999999999</v>
      </c>
      <c r="F1345">
        <v>167.52799999999999</v>
      </c>
      <c r="G1345">
        <v>249.196</v>
      </c>
      <c r="H1345">
        <v>205.63800000000001</v>
      </c>
      <c r="I1345">
        <v>240.67699999999999</v>
      </c>
      <c r="L1345">
        <v>106.265</v>
      </c>
    </row>
    <row r="1346" spans="1:12" x14ac:dyDescent="0.25">
      <c r="A1346" s="12">
        <v>43544</v>
      </c>
      <c r="B1346">
        <v>273.34899999999999</v>
      </c>
      <c r="C1346">
        <v>250.11500000000001</v>
      </c>
      <c r="D1346">
        <f t="shared" si="6"/>
        <v>106.479</v>
      </c>
      <c r="E1346">
        <v>203.80199999999999</v>
      </c>
      <c r="F1346">
        <v>167.608</v>
      </c>
      <c r="G1346">
        <v>249.434</v>
      </c>
      <c r="H1346">
        <v>205.77799999999999</v>
      </c>
      <c r="I1346">
        <v>241.15899999999999</v>
      </c>
      <c r="L1346">
        <v>106.479</v>
      </c>
    </row>
    <row r="1347" spans="1:12" x14ac:dyDescent="0.25">
      <c r="A1347" s="12">
        <v>43545</v>
      </c>
      <c r="B1347">
        <v>273.40300000000002</v>
      </c>
      <c r="C1347">
        <v>250.17</v>
      </c>
      <c r="D1347">
        <f t="shared" si="6"/>
        <v>106.367</v>
      </c>
      <c r="E1347">
        <v>204.101</v>
      </c>
      <c r="F1347">
        <v>167.64599999999999</v>
      </c>
      <c r="G1347">
        <v>250.13200000000001</v>
      </c>
      <c r="H1347">
        <v>205.82499999999999</v>
      </c>
      <c r="I1347">
        <v>240.37299999999999</v>
      </c>
      <c r="L1347">
        <v>106.367</v>
      </c>
    </row>
    <row r="1348" spans="1:12" x14ac:dyDescent="0.25">
      <c r="A1348" s="12">
        <v>43546</v>
      </c>
      <c r="B1348">
        <v>273.12599999999998</v>
      </c>
      <c r="C1348">
        <v>250.47900000000001</v>
      </c>
      <c r="D1348">
        <f t="shared" si="6"/>
        <v>106.32</v>
      </c>
      <c r="E1348">
        <v>203.43799999999999</v>
      </c>
      <c r="F1348">
        <v>167.49700000000001</v>
      </c>
      <c r="G1348">
        <v>249.43600000000001</v>
      </c>
      <c r="H1348">
        <v>205.94399999999999</v>
      </c>
      <c r="I1348">
        <v>240.53100000000001</v>
      </c>
      <c r="L1348">
        <v>106.32</v>
      </c>
    </row>
    <row r="1349" spans="1:12" x14ac:dyDescent="0.25">
      <c r="A1349" s="12">
        <v>43549</v>
      </c>
      <c r="B1349">
        <v>273.62799999999999</v>
      </c>
      <c r="C1349">
        <v>250.90199999999999</v>
      </c>
      <c r="D1349">
        <f t="shared" si="6"/>
        <v>106.798</v>
      </c>
      <c r="E1349">
        <v>204.12299999999999</v>
      </c>
      <c r="F1349">
        <v>167.95</v>
      </c>
      <c r="G1349">
        <v>249.65299999999999</v>
      </c>
      <c r="H1349">
        <v>206.14500000000001</v>
      </c>
      <c r="I1349">
        <v>240.08199999999999</v>
      </c>
      <c r="L1349">
        <v>106.798</v>
      </c>
    </row>
    <row r="1350" spans="1:12" x14ac:dyDescent="0.25">
      <c r="A1350" s="12">
        <v>43550</v>
      </c>
      <c r="B1350">
        <v>272.608</v>
      </c>
      <c r="C1350">
        <v>251.017</v>
      </c>
      <c r="D1350">
        <f t="shared" si="6"/>
        <v>106.492</v>
      </c>
      <c r="E1350">
        <v>203.46600000000001</v>
      </c>
      <c r="F1350">
        <v>167.97499999999999</v>
      </c>
      <c r="G1350">
        <v>248.99</v>
      </c>
      <c r="H1350">
        <v>206.10599999999999</v>
      </c>
      <c r="I1350">
        <v>239.792</v>
      </c>
      <c r="L1350">
        <v>106.492</v>
      </c>
    </row>
    <row r="1351" spans="1:12" x14ac:dyDescent="0.25">
      <c r="A1351" s="12">
        <v>43551</v>
      </c>
      <c r="B1351">
        <v>272.49599999999998</v>
      </c>
      <c r="C1351">
        <v>251.227</v>
      </c>
      <c r="D1351">
        <f t="shared" si="6"/>
        <v>106.36</v>
      </c>
      <c r="E1351">
        <v>202.911</v>
      </c>
      <c r="F1351">
        <v>167.917</v>
      </c>
      <c r="G1351">
        <v>248.33799999999999</v>
      </c>
      <c r="H1351">
        <v>206.173</v>
      </c>
      <c r="I1351">
        <v>240.08699999999999</v>
      </c>
      <c r="L1351">
        <v>106.36</v>
      </c>
    </row>
    <row r="1352" spans="1:12" x14ac:dyDescent="0.25">
      <c r="A1352" s="12">
        <v>43552</v>
      </c>
      <c r="B1352">
        <v>273.36200000000002</v>
      </c>
      <c r="C1352">
        <v>251.489</v>
      </c>
      <c r="D1352">
        <f t="shared" si="6"/>
        <v>106.82899999999999</v>
      </c>
      <c r="E1352">
        <v>203.672</v>
      </c>
      <c r="F1352">
        <v>168.261</v>
      </c>
      <c r="G1352">
        <v>249.09700000000001</v>
      </c>
      <c r="H1352">
        <v>206.22200000000001</v>
      </c>
      <c r="I1352">
        <v>240.17099999999999</v>
      </c>
      <c r="L1352">
        <v>106.82899999999999</v>
      </c>
    </row>
    <row r="1353" spans="1:12" x14ac:dyDescent="0.25">
      <c r="A1353" s="12">
        <v>43553</v>
      </c>
      <c r="B1353">
        <v>273.37599999999998</v>
      </c>
      <c r="C1353">
        <v>251.583</v>
      </c>
      <c r="D1353">
        <f t="shared" si="6"/>
        <v>107.005</v>
      </c>
      <c r="E1353">
        <v>203.643</v>
      </c>
      <c r="F1353">
        <v>168.351</v>
      </c>
      <c r="G1353">
        <v>249.173</v>
      </c>
      <c r="H1353">
        <v>206.267</v>
      </c>
      <c r="I1353">
        <v>240.21299999999999</v>
      </c>
      <c r="L1353">
        <v>107.005</v>
      </c>
    </row>
    <row r="1354" spans="1:12" x14ac:dyDescent="0.25">
      <c r="A1354" s="12">
        <v>43556</v>
      </c>
      <c r="B1354">
        <v>273.59500000000003</v>
      </c>
      <c r="C1354">
        <v>251.535</v>
      </c>
      <c r="D1354">
        <f t="shared" si="6"/>
        <v>107.057</v>
      </c>
      <c r="E1354">
        <v>203.86099999999999</v>
      </c>
      <c r="F1354">
        <v>168.374</v>
      </c>
      <c r="G1354">
        <v>249.17599999999999</v>
      </c>
      <c r="H1354">
        <v>206.16900000000001</v>
      </c>
      <c r="I1354">
        <v>240.75399999999999</v>
      </c>
      <c r="L1354">
        <v>107.057</v>
      </c>
    </row>
    <row r="1355" spans="1:12" x14ac:dyDescent="0.25">
      <c r="A1355" s="12">
        <v>43557</v>
      </c>
      <c r="B1355">
        <v>274.16199999999998</v>
      </c>
      <c r="C1355">
        <v>251.614</v>
      </c>
      <c r="D1355">
        <f t="shared" si="6"/>
        <v>107.44799999999999</v>
      </c>
      <c r="E1355">
        <v>204.71299999999999</v>
      </c>
      <c r="F1355">
        <v>168.601</v>
      </c>
      <c r="G1355">
        <v>249.90899999999999</v>
      </c>
      <c r="H1355">
        <v>206.34700000000001</v>
      </c>
      <c r="I1355">
        <v>241.649</v>
      </c>
      <c r="L1355">
        <v>107.44799999999999</v>
      </c>
    </row>
    <row r="1356" spans="1:12" x14ac:dyDescent="0.25">
      <c r="A1356" s="12">
        <v>43558</v>
      </c>
      <c r="B1356">
        <v>275.25299999999999</v>
      </c>
      <c r="C1356">
        <v>251.768</v>
      </c>
      <c r="D1356">
        <f t="shared" si="6"/>
        <v>107.917</v>
      </c>
      <c r="E1356">
        <v>205.62200000000001</v>
      </c>
      <c r="F1356">
        <v>168.7</v>
      </c>
      <c r="G1356">
        <v>250.989</v>
      </c>
      <c r="H1356">
        <v>206.47900000000001</v>
      </c>
      <c r="I1356">
        <v>241.97200000000001</v>
      </c>
      <c r="L1356">
        <v>107.917</v>
      </c>
    </row>
    <row r="1357" spans="1:12" x14ac:dyDescent="0.25">
      <c r="A1357" s="12">
        <v>43559</v>
      </c>
      <c r="B1357">
        <v>275.52800000000002</v>
      </c>
      <c r="C1357">
        <v>251.57300000000001</v>
      </c>
      <c r="D1357">
        <f t="shared" si="6"/>
        <v>108.036</v>
      </c>
      <c r="E1357">
        <v>205.952</v>
      </c>
      <c r="F1357">
        <v>168.791</v>
      </c>
      <c r="G1357">
        <v>251.524</v>
      </c>
      <c r="H1357">
        <v>206.566</v>
      </c>
      <c r="I1357">
        <v>242.583</v>
      </c>
      <c r="L1357">
        <v>108.036</v>
      </c>
    </row>
    <row r="1358" spans="1:12" x14ac:dyDescent="0.25">
      <c r="A1358" s="12">
        <v>43560</v>
      </c>
      <c r="B1358">
        <v>276.04199999999997</v>
      </c>
      <c r="C1358">
        <v>251.696</v>
      </c>
      <c r="D1358">
        <f t="shared" si="6"/>
        <v>108.092</v>
      </c>
      <c r="E1358">
        <v>206.25800000000001</v>
      </c>
      <c r="F1358">
        <v>168.69300000000001</v>
      </c>
      <c r="G1358">
        <v>252.04900000000001</v>
      </c>
      <c r="H1358">
        <v>206.523</v>
      </c>
      <c r="I1358">
        <v>242.61500000000001</v>
      </c>
      <c r="L1358">
        <v>108.092</v>
      </c>
    </row>
    <row r="1359" spans="1:12" x14ac:dyDescent="0.25">
      <c r="A1359" s="12">
        <v>43563</v>
      </c>
      <c r="B1359">
        <v>276.322</v>
      </c>
      <c r="C1359">
        <v>251.708</v>
      </c>
      <c r="D1359">
        <f t="shared" si="6"/>
        <v>108.16500000000001</v>
      </c>
      <c r="E1359">
        <v>206.303</v>
      </c>
      <c r="F1359">
        <v>168.749</v>
      </c>
      <c r="G1359">
        <v>252.13200000000001</v>
      </c>
      <c r="H1359">
        <v>206.56700000000001</v>
      </c>
      <c r="I1359">
        <v>242.92599999999999</v>
      </c>
      <c r="L1359">
        <v>108.16500000000001</v>
      </c>
    </row>
    <row r="1360" spans="1:12" x14ac:dyDescent="0.25">
      <c r="A1360" s="12">
        <v>43564</v>
      </c>
      <c r="B1360">
        <v>276.60300000000001</v>
      </c>
      <c r="C1360">
        <v>251.751</v>
      </c>
      <c r="D1360">
        <f t="shared" si="6"/>
        <v>108.202</v>
      </c>
      <c r="E1360">
        <v>206.59399999999999</v>
      </c>
      <c r="F1360">
        <v>168.80600000000001</v>
      </c>
      <c r="G1360">
        <v>252.334</v>
      </c>
      <c r="H1360">
        <v>206.678</v>
      </c>
      <c r="I1360">
        <v>242.68899999999999</v>
      </c>
      <c r="L1360">
        <v>108.202</v>
      </c>
    </row>
    <row r="1361" spans="1:12" x14ac:dyDescent="0.25">
      <c r="A1361" s="12">
        <v>43565</v>
      </c>
      <c r="B1361">
        <v>276.34100000000001</v>
      </c>
      <c r="C1361">
        <v>251.73</v>
      </c>
      <c r="D1361">
        <f t="shared" si="6"/>
        <v>108.084</v>
      </c>
      <c r="E1361">
        <v>206.423</v>
      </c>
      <c r="F1361">
        <v>168.715</v>
      </c>
      <c r="G1361">
        <v>252.03800000000001</v>
      </c>
      <c r="H1361">
        <v>206.601</v>
      </c>
      <c r="I1361">
        <v>242.351</v>
      </c>
      <c r="L1361">
        <v>108.084</v>
      </c>
    </row>
    <row r="1362" spans="1:12" x14ac:dyDescent="0.25">
      <c r="A1362" s="12">
        <v>43566</v>
      </c>
      <c r="B1362">
        <v>276.19400000000002</v>
      </c>
      <c r="C1362">
        <v>251.929</v>
      </c>
      <c r="D1362">
        <f t="shared" si="6"/>
        <v>108</v>
      </c>
      <c r="E1362">
        <v>206.286</v>
      </c>
      <c r="F1362">
        <v>168.74799999999999</v>
      </c>
      <c r="G1362">
        <v>251.78200000000001</v>
      </c>
      <c r="H1362">
        <v>206.666</v>
      </c>
      <c r="I1362">
        <v>242.679</v>
      </c>
      <c r="L1362">
        <v>108</v>
      </c>
    </row>
    <row r="1363" spans="1:12" x14ac:dyDescent="0.25">
      <c r="A1363" s="12">
        <v>43567</v>
      </c>
      <c r="B1363">
        <v>276.58499999999998</v>
      </c>
      <c r="C1363">
        <v>252.125</v>
      </c>
      <c r="D1363">
        <f t="shared" ref="D1363:D1426" si="7">IF(L1363&gt;1,L1363,L1363*100)</f>
        <v>108.221</v>
      </c>
      <c r="E1363">
        <v>206.61600000000001</v>
      </c>
      <c r="F1363">
        <v>168.803</v>
      </c>
      <c r="G1363">
        <v>251.99</v>
      </c>
      <c r="H1363">
        <v>206.852</v>
      </c>
      <c r="I1363">
        <v>242.81100000000001</v>
      </c>
      <c r="L1363">
        <v>108.221</v>
      </c>
    </row>
    <row r="1364" spans="1:12" x14ac:dyDescent="0.25">
      <c r="A1364" s="12">
        <v>43570</v>
      </c>
      <c r="B1364">
        <v>276.26900000000001</v>
      </c>
      <c r="C1364">
        <v>251.76</v>
      </c>
      <c r="D1364">
        <f t="shared" si="7"/>
        <v>108.01900000000001</v>
      </c>
      <c r="E1364">
        <v>206.34700000000001</v>
      </c>
      <c r="F1364">
        <v>168.68199999999999</v>
      </c>
      <c r="G1364">
        <v>251.916</v>
      </c>
      <c r="H1364">
        <v>206.78800000000001</v>
      </c>
      <c r="I1364">
        <v>242.965</v>
      </c>
      <c r="L1364">
        <v>108.01900000000001</v>
      </c>
    </row>
    <row r="1365" spans="1:12" x14ac:dyDescent="0.25">
      <c r="A1365" s="12">
        <v>43571</v>
      </c>
      <c r="B1365">
        <v>276.57299999999998</v>
      </c>
      <c r="C1365">
        <v>251.70099999999999</v>
      </c>
      <c r="D1365">
        <f t="shared" si="7"/>
        <v>107.96</v>
      </c>
      <c r="E1365">
        <v>206.26900000000001</v>
      </c>
      <c r="F1365">
        <v>168.518</v>
      </c>
      <c r="G1365">
        <v>251.827</v>
      </c>
      <c r="H1365">
        <v>206.608</v>
      </c>
      <c r="I1365">
        <v>242.96</v>
      </c>
      <c r="L1365">
        <v>107.96</v>
      </c>
    </row>
    <row r="1366" spans="1:12" x14ac:dyDescent="0.25">
      <c r="A1366" s="12">
        <v>43572</v>
      </c>
      <c r="B1366">
        <v>276.72699999999998</v>
      </c>
      <c r="C1366">
        <v>251.73599999999999</v>
      </c>
      <c r="D1366">
        <f t="shared" si="7"/>
        <v>108.07</v>
      </c>
      <c r="E1366">
        <v>206.25899999999999</v>
      </c>
      <c r="F1366">
        <v>168.52</v>
      </c>
      <c r="G1366">
        <v>251.96799999999999</v>
      </c>
      <c r="H1366">
        <v>206.55099999999999</v>
      </c>
      <c r="I1366">
        <v>243.55</v>
      </c>
      <c r="L1366">
        <v>108.07</v>
      </c>
    </row>
    <row r="1367" spans="1:12" x14ac:dyDescent="0.25">
      <c r="A1367" s="12">
        <v>43573</v>
      </c>
      <c r="B1367">
        <v>276.87</v>
      </c>
      <c r="C1367">
        <v>251.70599999999999</v>
      </c>
      <c r="D1367">
        <f t="shared" si="7"/>
        <v>108.081</v>
      </c>
      <c r="E1367">
        <v>206.58500000000001</v>
      </c>
      <c r="F1367">
        <v>168.59399999999999</v>
      </c>
      <c r="G1367">
        <v>252.28299999999999</v>
      </c>
      <c r="H1367">
        <v>206.529</v>
      </c>
      <c r="I1367">
        <v>243.65899999999999</v>
      </c>
      <c r="L1367">
        <v>108.081</v>
      </c>
    </row>
    <row r="1368" spans="1:12" x14ac:dyDescent="0.25">
      <c r="A1368" s="12">
        <v>43578</v>
      </c>
      <c r="B1368">
        <v>277.07499999999999</v>
      </c>
      <c r="C1368">
        <v>251.922</v>
      </c>
      <c r="D1368">
        <f t="shared" si="7"/>
        <v>108.133</v>
      </c>
      <c r="E1368">
        <v>206.53800000000001</v>
      </c>
      <c r="F1368">
        <v>168.62899999999999</v>
      </c>
      <c r="G1368">
        <v>252.38200000000001</v>
      </c>
      <c r="H1368">
        <v>206.626</v>
      </c>
      <c r="I1368">
        <v>244.02</v>
      </c>
      <c r="L1368">
        <v>108.133</v>
      </c>
    </row>
    <row r="1369" spans="1:12" x14ac:dyDescent="0.25">
      <c r="A1369" s="12">
        <v>43579</v>
      </c>
      <c r="B1369">
        <v>277.387</v>
      </c>
      <c r="C1369">
        <v>252.02</v>
      </c>
      <c r="D1369">
        <f t="shared" si="7"/>
        <v>108.539</v>
      </c>
      <c r="E1369">
        <v>206.98400000000001</v>
      </c>
      <c r="F1369">
        <v>168.82400000000001</v>
      </c>
      <c r="G1369">
        <v>252.72300000000001</v>
      </c>
      <c r="H1369">
        <v>206.78200000000001</v>
      </c>
      <c r="I1369">
        <v>244.21700000000001</v>
      </c>
      <c r="L1369">
        <v>108.539</v>
      </c>
    </row>
    <row r="1370" spans="1:12" x14ac:dyDescent="0.25">
      <c r="A1370" s="12">
        <v>43580</v>
      </c>
      <c r="B1370">
        <v>278.23899999999998</v>
      </c>
      <c r="C1370">
        <v>252.297</v>
      </c>
      <c r="D1370">
        <f t="shared" si="7"/>
        <v>108.99</v>
      </c>
      <c r="E1370">
        <v>207.35499999999999</v>
      </c>
      <c r="F1370">
        <v>168.91</v>
      </c>
      <c r="G1370">
        <v>253.167</v>
      </c>
      <c r="H1370">
        <v>206.774</v>
      </c>
      <c r="I1370">
        <v>244.09399999999999</v>
      </c>
      <c r="L1370">
        <v>108.99</v>
      </c>
    </row>
    <row r="1371" spans="1:12" x14ac:dyDescent="0.25">
      <c r="A1371" s="12">
        <v>43581</v>
      </c>
      <c r="B1371">
        <v>278.56</v>
      </c>
      <c r="C1371">
        <v>252.58600000000001</v>
      </c>
      <c r="D1371">
        <f t="shared" si="7"/>
        <v>109.11499999999999</v>
      </c>
      <c r="E1371">
        <v>207.47</v>
      </c>
      <c r="F1371">
        <v>169.03700000000001</v>
      </c>
      <c r="G1371">
        <v>253.36099999999999</v>
      </c>
      <c r="H1371">
        <v>206.80799999999999</v>
      </c>
      <c r="I1371">
        <v>243.886</v>
      </c>
      <c r="L1371">
        <v>109.11499999999999</v>
      </c>
    </row>
    <row r="1372" spans="1:12" x14ac:dyDescent="0.25">
      <c r="A1372" s="12">
        <v>43584</v>
      </c>
      <c r="B1372">
        <v>278.55200000000002</v>
      </c>
      <c r="C1372">
        <v>252.45500000000001</v>
      </c>
      <c r="D1372">
        <f t="shared" si="7"/>
        <v>109.227</v>
      </c>
      <c r="E1372">
        <v>207.38900000000001</v>
      </c>
      <c r="F1372">
        <v>169.04900000000001</v>
      </c>
      <c r="G1372">
        <v>253.23599999999999</v>
      </c>
      <c r="H1372">
        <v>206.65700000000001</v>
      </c>
      <c r="I1372">
        <v>244.101</v>
      </c>
      <c r="L1372">
        <v>109.227</v>
      </c>
    </row>
    <row r="1373" spans="1:12" x14ac:dyDescent="0.25">
      <c r="A1373" s="12">
        <v>43585</v>
      </c>
      <c r="B1373">
        <v>278.84899999999999</v>
      </c>
      <c r="C1373">
        <v>252.643</v>
      </c>
      <c r="D1373">
        <f t="shared" si="7"/>
        <v>109.408</v>
      </c>
      <c r="E1373">
        <v>207.62899999999999</v>
      </c>
      <c r="F1373">
        <v>169.191</v>
      </c>
      <c r="G1373">
        <v>253.45</v>
      </c>
      <c r="H1373">
        <v>206.791</v>
      </c>
      <c r="I1373">
        <v>244.26599999999999</v>
      </c>
      <c r="L1373">
        <v>109.408</v>
      </c>
    </row>
    <row r="1374" spans="1:12" x14ac:dyDescent="0.25">
      <c r="A1374" s="12">
        <v>43587</v>
      </c>
      <c r="B1374">
        <v>278.72800000000001</v>
      </c>
      <c r="C1374">
        <v>252.398</v>
      </c>
      <c r="D1374">
        <f t="shared" si="7"/>
        <v>109.256</v>
      </c>
      <c r="E1374">
        <v>207.79400000000001</v>
      </c>
      <c r="F1374">
        <v>169.16399999999999</v>
      </c>
      <c r="G1374">
        <v>253.642</v>
      </c>
      <c r="H1374">
        <v>206.80099999999999</v>
      </c>
      <c r="I1374">
        <v>244.05500000000001</v>
      </c>
      <c r="L1374">
        <v>109.256</v>
      </c>
    </row>
    <row r="1375" spans="1:12" x14ac:dyDescent="0.25">
      <c r="A1375" s="12">
        <v>43588</v>
      </c>
      <c r="B1375">
        <v>278.83999999999997</v>
      </c>
      <c r="C1375">
        <v>252.72399999999999</v>
      </c>
      <c r="D1375">
        <f t="shared" si="7"/>
        <v>108.95699999999999</v>
      </c>
      <c r="E1375">
        <v>207.45099999999999</v>
      </c>
      <c r="F1375">
        <v>169.15899999999999</v>
      </c>
      <c r="G1375">
        <v>253.20500000000001</v>
      </c>
      <c r="H1375">
        <v>206.73</v>
      </c>
      <c r="I1375">
        <v>243.80699999999999</v>
      </c>
      <c r="L1375">
        <v>108.95699999999999</v>
      </c>
    </row>
    <row r="1376" spans="1:12" x14ac:dyDescent="0.25">
      <c r="A1376" s="12">
        <v>43592</v>
      </c>
      <c r="B1376">
        <v>278.529</v>
      </c>
      <c r="C1376">
        <v>252.63300000000001</v>
      </c>
      <c r="D1376">
        <f t="shared" si="7"/>
        <v>109.087</v>
      </c>
      <c r="E1376">
        <v>207.27</v>
      </c>
      <c r="F1376">
        <v>169.07499999999999</v>
      </c>
      <c r="G1376">
        <v>252.64500000000001</v>
      </c>
      <c r="H1376">
        <v>206.57</v>
      </c>
      <c r="I1376">
        <v>244.30199999999999</v>
      </c>
      <c r="L1376">
        <v>109.087</v>
      </c>
    </row>
    <row r="1377" spans="1:12" x14ac:dyDescent="0.25">
      <c r="A1377" s="12">
        <v>43593</v>
      </c>
      <c r="B1377">
        <v>278.43599999999998</v>
      </c>
      <c r="C1377">
        <v>252.85300000000001</v>
      </c>
      <c r="D1377">
        <f t="shared" si="7"/>
        <v>109.19199999999999</v>
      </c>
      <c r="E1377">
        <v>206.999</v>
      </c>
      <c r="F1377">
        <v>169.18799999999999</v>
      </c>
      <c r="G1377">
        <v>252.26599999999999</v>
      </c>
      <c r="H1377">
        <v>206.74100000000001</v>
      </c>
      <c r="I1377">
        <v>242.71799999999999</v>
      </c>
      <c r="L1377">
        <v>109.19199999999999</v>
      </c>
    </row>
    <row r="1378" spans="1:12" x14ac:dyDescent="0.25">
      <c r="A1378" s="12">
        <v>43594</v>
      </c>
      <c r="B1378">
        <v>277.49400000000003</v>
      </c>
      <c r="C1378">
        <v>252.82</v>
      </c>
      <c r="D1378">
        <f t="shared" si="7"/>
        <v>108.477</v>
      </c>
      <c r="E1378">
        <v>206.142</v>
      </c>
      <c r="F1378">
        <v>169.14699999999999</v>
      </c>
      <c r="G1378">
        <v>251.53100000000001</v>
      </c>
      <c r="H1378">
        <v>206.61500000000001</v>
      </c>
      <c r="I1378">
        <v>242.51</v>
      </c>
      <c r="L1378">
        <v>108.477</v>
      </c>
    </row>
    <row r="1379" spans="1:12" x14ac:dyDescent="0.25">
      <c r="A1379" s="12">
        <v>43595</v>
      </c>
      <c r="B1379">
        <v>276.98700000000002</v>
      </c>
      <c r="C1379">
        <v>252.673</v>
      </c>
      <c r="D1379">
        <f t="shared" si="7"/>
        <v>108.26600000000001</v>
      </c>
      <c r="E1379">
        <v>205.779</v>
      </c>
      <c r="F1379">
        <v>168.91300000000001</v>
      </c>
      <c r="G1379">
        <v>251.01499999999999</v>
      </c>
      <c r="H1379">
        <v>206.59399999999999</v>
      </c>
      <c r="I1379">
        <v>241.28899999999999</v>
      </c>
      <c r="L1379">
        <v>108.26600000000001</v>
      </c>
    </row>
    <row r="1380" spans="1:12" x14ac:dyDescent="0.25">
      <c r="A1380" s="12">
        <v>43598</v>
      </c>
      <c r="B1380">
        <v>276.68900000000002</v>
      </c>
      <c r="C1380">
        <v>252.511</v>
      </c>
      <c r="D1380">
        <f t="shared" si="7"/>
        <v>107.747</v>
      </c>
      <c r="E1380">
        <v>204.58799999999999</v>
      </c>
      <c r="F1380">
        <v>168.62700000000001</v>
      </c>
      <c r="G1380">
        <v>249.75899999999999</v>
      </c>
      <c r="H1380">
        <v>206.38</v>
      </c>
      <c r="I1380">
        <v>241.238</v>
      </c>
      <c r="L1380">
        <v>107.747</v>
      </c>
    </row>
    <row r="1381" spans="1:12" x14ac:dyDescent="0.25">
      <c r="A1381" s="12">
        <v>43599</v>
      </c>
      <c r="B1381">
        <v>276.34899999999999</v>
      </c>
      <c r="C1381">
        <v>252.47200000000001</v>
      </c>
      <c r="D1381">
        <f t="shared" si="7"/>
        <v>107.68300000000001</v>
      </c>
      <c r="E1381">
        <v>204.46799999999999</v>
      </c>
      <c r="F1381">
        <v>168.63900000000001</v>
      </c>
      <c r="G1381">
        <v>249.77799999999999</v>
      </c>
      <c r="H1381">
        <v>206.46799999999999</v>
      </c>
      <c r="I1381">
        <v>240.52699999999999</v>
      </c>
      <c r="L1381">
        <v>107.68300000000001</v>
      </c>
    </row>
    <row r="1382" spans="1:12" x14ac:dyDescent="0.25">
      <c r="A1382" s="12">
        <v>43600</v>
      </c>
      <c r="B1382">
        <v>274.85899999999998</v>
      </c>
      <c r="C1382">
        <v>252.505</v>
      </c>
      <c r="D1382">
        <f t="shared" si="7"/>
        <v>107.176</v>
      </c>
      <c r="E1382">
        <v>203.316</v>
      </c>
      <c r="F1382">
        <v>168.49100000000001</v>
      </c>
      <c r="G1382">
        <v>248.726</v>
      </c>
      <c r="H1382">
        <v>206.33500000000001</v>
      </c>
      <c r="I1382">
        <v>241.167</v>
      </c>
      <c r="L1382">
        <v>107.176</v>
      </c>
    </row>
    <row r="1383" spans="1:12" x14ac:dyDescent="0.25">
      <c r="A1383" s="12">
        <v>43601</v>
      </c>
      <c r="B1383">
        <v>275.85399999999998</v>
      </c>
      <c r="C1383">
        <v>252.678</v>
      </c>
      <c r="D1383">
        <f t="shared" si="7"/>
        <v>107.593</v>
      </c>
      <c r="E1383">
        <v>203.875</v>
      </c>
      <c r="F1383">
        <v>168.62700000000001</v>
      </c>
      <c r="G1383">
        <v>249.35599999999999</v>
      </c>
      <c r="H1383">
        <v>206.46299999999999</v>
      </c>
      <c r="I1383">
        <v>241.464</v>
      </c>
      <c r="L1383">
        <v>107.593</v>
      </c>
    </row>
    <row r="1384" spans="1:12" x14ac:dyDescent="0.25">
      <c r="A1384" s="12">
        <v>43602</v>
      </c>
      <c r="B1384">
        <v>276.41800000000001</v>
      </c>
      <c r="C1384">
        <v>252.703</v>
      </c>
      <c r="D1384">
        <f t="shared" si="7"/>
        <v>108.05200000000001</v>
      </c>
      <c r="E1384">
        <v>204.27799999999999</v>
      </c>
      <c r="F1384">
        <v>168.77199999999999</v>
      </c>
      <c r="G1384">
        <v>250.114</v>
      </c>
      <c r="H1384">
        <v>206.59100000000001</v>
      </c>
      <c r="I1384">
        <v>242.16200000000001</v>
      </c>
      <c r="L1384">
        <v>108.05200000000001</v>
      </c>
    </row>
    <row r="1385" spans="1:12" x14ac:dyDescent="0.25">
      <c r="A1385" s="12">
        <v>43605</v>
      </c>
      <c r="B1385">
        <v>277.40699999999998</v>
      </c>
      <c r="C1385">
        <v>252.82599999999999</v>
      </c>
      <c r="D1385">
        <f t="shared" si="7"/>
        <v>108.414</v>
      </c>
      <c r="E1385">
        <v>205.024</v>
      </c>
      <c r="F1385">
        <v>168.881</v>
      </c>
      <c r="G1385">
        <v>251.315</v>
      </c>
      <c r="H1385">
        <v>206.708</v>
      </c>
      <c r="I1385">
        <v>241.63900000000001</v>
      </c>
      <c r="L1385">
        <v>108.414</v>
      </c>
    </row>
    <row r="1386" spans="1:12" x14ac:dyDescent="0.25">
      <c r="A1386" s="12">
        <v>43606</v>
      </c>
      <c r="B1386">
        <v>276.93599999999998</v>
      </c>
      <c r="C1386">
        <v>252.78399999999999</v>
      </c>
      <c r="D1386">
        <f t="shared" si="7"/>
        <v>108.24299999999999</v>
      </c>
      <c r="E1386">
        <v>204.506</v>
      </c>
      <c r="F1386">
        <v>168.95099999999999</v>
      </c>
      <c r="G1386">
        <v>252.006</v>
      </c>
      <c r="H1386">
        <v>206.61699999999999</v>
      </c>
      <c r="I1386">
        <v>241.249</v>
      </c>
      <c r="L1386">
        <v>108.24299999999999</v>
      </c>
    </row>
    <row r="1387" spans="1:12" x14ac:dyDescent="0.25">
      <c r="A1387" s="12">
        <v>43607</v>
      </c>
      <c r="B1387">
        <v>276.54399999999998</v>
      </c>
      <c r="C1387">
        <v>252.71100000000001</v>
      </c>
      <c r="D1387">
        <f t="shared" si="7"/>
        <v>108.096</v>
      </c>
      <c r="E1387">
        <v>203.80099999999999</v>
      </c>
      <c r="F1387">
        <v>168.864</v>
      </c>
      <c r="G1387">
        <v>251.2</v>
      </c>
      <c r="H1387">
        <v>206.59399999999999</v>
      </c>
      <c r="I1387">
        <v>241.702</v>
      </c>
      <c r="L1387">
        <v>108.096</v>
      </c>
    </row>
    <row r="1388" spans="1:12" x14ac:dyDescent="0.25">
      <c r="A1388" s="12">
        <v>43608</v>
      </c>
      <c r="B1388">
        <v>276.88400000000001</v>
      </c>
      <c r="C1388">
        <v>252.68299999999999</v>
      </c>
      <c r="D1388">
        <f t="shared" si="7"/>
        <v>108.166</v>
      </c>
      <c r="E1388">
        <v>204.31800000000001</v>
      </c>
      <c r="F1388">
        <v>169.018</v>
      </c>
      <c r="G1388">
        <v>251.54</v>
      </c>
      <c r="H1388">
        <v>206.63399999999999</v>
      </c>
      <c r="I1388">
        <v>241.68700000000001</v>
      </c>
      <c r="L1388">
        <v>108.166</v>
      </c>
    </row>
    <row r="1389" spans="1:12" x14ac:dyDescent="0.25">
      <c r="A1389" s="12">
        <v>43609</v>
      </c>
      <c r="B1389">
        <v>276.96199999999999</v>
      </c>
      <c r="C1389">
        <v>252.92099999999999</v>
      </c>
      <c r="D1389">
        <f t="shared" si="7"/>
        <v>108.068</v>
      </c>
      <c r="E1389">
        <v>204.40100000000001</v>
      </c>
      <c r="F1389">
        <v>169.07400000000001</v>
      </c>
      <c r="G1389">
        <v>251.727</v>
      </c>
      <c r="H1389">
        <v>206.822</v>
      </c>
      <c r="I1389">
        <v>240.95400000000001</v>
      </c>
      <c r="L1389">
        <v>108.068</v>
      </c>
    </row>
    <row r="1390" spans="1:12" x14ac:dyDescent="0.25">
      <c r="A1390" s="12">
        <v>43612</v>
      </c>
      <c r="B1390">
        <v>276.101</v>
      </c>
      <c r="C1390">
        <v>253.01</v>
      </c>
      <c r="D1390">
        <f t="shared" si="7"/>
        <v>107.672</v>
      </c>
      <c r="E1390">
        <v>203.39699999999999</v>
      </c>
      <c r="F1390">
        <v>168.91499999999999</v>
      </c>
      <c r="G1390">
        <v>250.71100000000001</v>
      </c>
      <c r="H1390">
        <v>206.72800000000001</v>
      </c>
      <c r="I1390">
        <v>241.001</v>
      </c>
      <c r="L1390">
        <v>107.672</v>
      </c>
    </row>
    <row r="1391" spans="1:12" x14ac:dyDescent="0.25">
      <c r="A1391" s="12">
        <v>43613</v>
      </c>
      <c r="B1391">
        <v>276.31299999999999</v>
      </c>
      <c r="C1391">
        <v>253.006</v>
      </c>
      <c r="D1391">
        <f t="shared" si="7"/>
        <v>107.67700000000001</v>
      </c>
      <c r="E1391">
        <v>203.41399999999999</v>
      </c>
      <c r="F1391">
        <v>168.88900000000001</v>
      </c>
      <c r="G1391">
        <v>250.749</v>
      </c>
      <c r="H1391">
        <v>206.773</v>
      </c>
      <c r="I1391">
        <v>241.084</v>
      </c>
      <c r="L1391">
        <v>107.67700000000001</v>
      </c>
    </row>
    <row r="1392" spans="1:12" x14ac:dyDescent="0.25">
      <c r="A1392" s="12">
        <v>43614</v>
      </c>
      <c r="B1392">
        <v>276.44600000000003</v>
      </c>
      <c r="C1392">
        <v>253.08600000000001</v>
      </c>
      <c r="D1392">
        <f t="shared" si="7"/>
        <v>107.708</v>
      </c>
      <c r="E1392">
        <v>203.559</v>
      </c>
      <c r="F1392">
        <v>168.92500000000001</v>
      </c>
      <c r="G1392">
        <v>250.83199999999999</v>
      </c>
      <c r="H1392">
        <v>206.75</v>
      </c>
      <c r="I1392">
        <v>241.179</v>
      </c>
      <c r="L1392">
        <v>107.708</v>
      </c>
    </row>
    <row r="1393" spans="1:12" x14ac:dyDescent="0.25">
      <c r="A1393" s="12">
        <v>43615</v>
      </c>
      <c r="B1393">
        <v>276.26600000000002</v>
      </c>
      <c r="C1393">
        <v>253.346</v>
      </c>
      <c r="D1393">
        <f t="shared" si="7"/>
        <v>107.59399999999999</v>
      </c>
      <c r="E1393">
        <v>203.67</v>
      </c>
      <c r="F1393">
        <v>169.024</v>
      </c>
      <c r="G1393">
        <v>250.97900000000001</v>
      </c>
      <c r="H1393">
        <v>206.82900000000001</v>
      </c>
      <c r="I1393">
        <v>240.922</v>
      </c>
      <c r="L1393">
        <v>107.59399999999999</v>
      </c>
    </row>
    <row r="1394" spans="1:12" x14ac:dyDescent="0.25">
      <c r="A1394" s="12">
        <v>43616</v>
      </c>
      <c r="B1394">
        <v>275.61200000000002</v>
      </c>
      <c r="C1394">
        <v>253.52600000000001</v>
      </c>
      <c r="D1394">
        <f t="shared" si="7"/>
        <v>107.38</v>
      </c>
      <c r="E1394">
        <v>203.23500000000001</v>
      </c>
      <c r="F1394">
        <v>169.078</v>
      </c>
      <c r="G1394">
        <v>250.131</v>
      </c>
      <c r="H1394">
        <v>206.88300000000001</v>
      </c>
      <c r="I1394">
        <v>241.19800000000001</v>
      </c>
      <c r="L1394">
        <v>107.38</v>
      </c>
    </row>
    <row r="1395" spans="1:12" x14ac:dyDescent="0.25">
      <c r="A1395" s="12">
        <v>43619</v>
      </c>
      <c r="B1395">
        <v>275.64</v>
      </c>
      <c r="C1395">
        <v>253.65</v>
      </c>
      <c r="D1395">
        <f t="shared" si="7"/>
        <v>107.337</v>
      </c>
      <c r="E1395">
        <v>203.59200000000001</v>
      </c>
      <c r="F1395">
        <v>169.30699999999999</v>
      </c>
      <c r="G1395">
        <v>250.505</v>
      </c>
      <c r="H1395">
        <v>207.023</v>
      </c>
      <c r="I1395">
        <v>240.90600000000001</v>
      </c>
      <c r="L1395">
        <v>107.337</v>
      </c>
    </row>
    <row r="1396" spans="1:12" x14ac:dyDescent="0.25">
      <c r="A1396" s="12">
        <v>43620</v>
      </c>
      <c r="B1396">
        <v>275.23399999999998</v>
      </c>
      <c r="C1396">
        <v>253.84100000000001</v>
      </c>
      <c r="D1396">
        <f t="shared" si="7"/>
        <v>106.947</v>
      </c>
      <c r="E1396">
        <v>203.20099999999999</v>
      </c>
      <c r="F1396">
        <v>169.239</v>
      </c>
      <c r="G1396">
        <v>249.89400000000001</v>
      </c>
      <c r="H1396">
        <v>207.07900000000001</v>
      </c>
      <c r="I1396">
        <v>240.798</v>
      </c>
      <c r="L1396">
        <v>106.947</v>
      </c>
    </row>
    <row r="1397" spans="1:12" x14ac:dyDescent="0.25">
      <c r="A1397" s="12">
        <v>43621</v>
      </c>
      <c r="B1397">
        <v>275.15100000000001</v>
      </c>
      <c r="C1397">
        <v>253.91900000000001</v>
      </c>
      <c r="D1397">
        <f t="shared" si="7"/>
        <v>106.837</v>
      </c>
      <c r="E1397">
        <v>202.97900000000001</v>
      </c>
      <c r="F1397">
        <v>169.07599999999999</v>
      </c>
      <c r="G1397">
        <v>249.839</v>
      </c>
      <c r="H1397">
        <v>207.12100000000001</v>
      </c>
      <c r="I1397">
        <v>241.047</v>
      </c>
      <c r="L1397">
        <v>106.837</v>
      </c>
    </row>
    <row r="1398" spans="1:12" x14ac:dyDescent="0.25">
      <c r="A1398" s="12">
        <v>43622</v>
      </c>
      <c r="B1398">
        <v>276.41300000000001</v>
      </c>
      <c r="C1398">
        <v>254.17099999999999</v>
      </c>
      <c r="D1398">
        <f t="shared" si="7"/>
        <v>107.44499999999999</v>
      </c>
      <c r="E1398">
        <v>203.554</v>
      </c>
      <c r="F1398">
        <v>169.24</v>
      </c>
      <c r="G1398">
        <v>250.06399999999999</v>
      </c>
      <c r="H1398">
        <v>207.34899999999999</v>
      </c>
      <c r="I1398">
        <v>241.239</v>
      </c>
      <c r="L1398">
        <v>107.44499999999999</v>
      </c>
    </row>
    <row r="1399" spans="1:12" x14ac:dyDescent="0.25">
      <c r="A1399" s="12">
        <v>43623</v>
      </c>
      <c r="B1399">
        <v>277.15199999999999</v>
      </c>
      <c r="C1399">
        <v>254.304</v>
      </c>
      <c r="D1399">
        <f t="shared" si="7"/>
        <v>107.79300000000001</v>
      </c>
      <c r="E1399">
        <v>204.078</v>
      </c>
      <c r="F1399">
        <v>169.57900000000001</v>
      </c>
      <c r="G1399">
        <v>250.875</v>
      </c>
      <c r="H1399">
        <v>207.52699999999999</v>
      </c>
      <c r="I1399">
        <v>241.33600000000001</v>
      </c>
      <c r="L1399">
        <v>107.79300000000001</v>
      </c>
    </row>
    <row r="1400" spans="1:12" x14ac:dyDescent="0.25">
      <c r="A1400" s="12">
        <v>43626</v>
      </c>
      <c r="B1400">
        <v>277.56299999999999</v>
      </c>
      <c r="C1400">
        <v>254.49</v>
      </c>
      <c r="D1400">
        <f t="shared" si="7"/>
        <v>108.07899999999999</v>
      </c>
      <c r="E1400">
        <v>204.16800000000001</v>
      </c>
      <c r="F1400">
        <v>169.60400000000001</v>
      </c>
      <c r="G1400">
        <v>251.215</v>
      </c>
      <c r="H1400">
        <v>207.57</v>
      </c>
      <c r="I1400">
        <v>241.93299999999999</v>
      </c>
      <c r="L1400">
        <v>108.07899999999999</v>
      </c>
    </row>
    <row r="1401" spans="1:12" x14ac:dyDescent="0.25">
      <c r="A1401" s="12">
        <v>43627</v>
      </c>
      <c r="B1401">
        <v>277.94799999999998</v>
      </c>
      <c r="C1401">
        <v>254.64400000000001</v>
      </c>
      <c r="D1401">
        <f t="shared" si="7"/>
        <v>108.432</v>
      </c>
      <c r="E1401">
        <v>204.767</v>
      </c>
      <c r="F1401">
        <v>169.79900000000001</v>
      </c>
      <c r="G1401">
        <v>251.71299999999999</v>
      </c>
      <c r="H1401">
        <v>207.80799999999999</v>
      </c>
      <c r="I1401">
        <v>242.352</v>
      </c>
      <c r="L1401">
        <v>108.432</v>
      </c>
    </row>
    <row r="1402" spans="1:12" x14ac:dyDescent="0.25">
      <c r="A1402" s="12">
        <v>43628</v>
      </c>
      <c r="B1402">
        <v>278.38799999999998</v>
      </c>
      <c r="C1402">
        <v>254.67</v>
      </c>
      <c r="D1402">
        <f t="shared" si="7"/>
        <v>108.66800000000001</v>
      </c>
      <c r="E1402">
        <v>205.172</v>
      </c>
      <c r="F1402">
        <v>169.90199999999999</v>
      </c>
      <c r="G1402">
        <v>252.59399999999999</v>
      </c>
      <c r="H1402">
        <v>208.029</v>
      </c>
      <c r="I1402">
        <v>242.96700000000001</v>
      </c>
      <c r="L1402">
        <v>108.66800000000001</v>
      </c>
    </row>
    <row r="1403" spans="1:12" x14ac:dyDescent="0.25">
      <c r="A1403" s="12">
        <v>43629</v>
      </c>
      <c r="B1403">
        <v>279.10199999999998</v>
      </c>
      <c r="C1403">
        <v>254.76900000000001</v>
      </c>
      <c r="D1403">
        <f t="shared" si="7"/>
        <v>108.682</v>
      </c>
      <c r="E1403">
        <v>205.852</v>
      </c>
      <c r="F1403">
        <v>169.99700000000001</v>
      </c>
      <c r="G1403">
        <v>253.55799999999999</v>
      </c>
      <c r="H1403">
        <v>208.23099999999999</v>
      </c>
      <c r="I1403">
        <v>242.89400000000001</v>
      </c>
      <c r="L1403">
        <v>108.682</v>
      </c>
    </row>
    <row r="1404" spans="1:12" x14ac:dyDescent="0.25">
      <c r="A1404" s="12">
        <v>43630</v>
      </c>
      <c r="B1404">
        <v>279.08199999999999</v>
      </c>
      <c r="C1404">
        <v>254.999</v>
      </c>
      <c r="D1404">
        <f t="shared" si="7"/>
        <v>108.684</v>
      </c>
      <c r="E1404">
        <v>205.40700000000001</v>
      </c>
      <c r="F1404">
        <v>169.798</v>
      </c>
      <c r="G1404">
        <v>253.262</v>
      </c>
      <c r="H1404">
        <v>208.27600000000001</v>
      </c>
      <c r="I1404">
        <v>243.059</v>
      </c>
      <c r="L1404">
        <v>108.684</v>
      </c>
    </row>
    <row r="1405" spans="1:12" x14ac:dyDescent="0.25">
      <c r="A1405" s="12">
        <v>43633</v>
      </c>
      <c r="B1405">
        <v>279.51600000000002</v>
      </c>
      <c r="C1405">
        <v>255.13800000000001</v>
      </c>
      <c r="D1405">
        <f t="shared" si="7"/>
        <v>108.96599999999999</v>
      </c>
      <c r="E1405">
        <v>205.72900000000001</v>
      </c>
      <c r="F1405">
        <v>169.93600000000001</v>
      </c>
      <c r="G1405">
        <v>253.68899999999999</v>
      </c>
      <c r="H1405">
        <v>208.40799999999999</v>
      </c>
      <c r="I1405">
        <v>243.08199999999999</v>
      </c>
      <c r="L1405">
        <v>108.96599999999999</v>
      </c>
    </row>
    <row r="1406" spans="1:12" x14ac:dyDescent="0.25">
      <c r="A1406" s="12">
        <v>43634</v>
      </c>
      <c r="B1406">
        <v>279.34699999999998</v>
      </c>
      <c r="C1406">
        <v>255.297</v>
      </c>
      <c r="D1406">
        <f t="shared" si="7"/>
        <v>109.096</v>
      </c>
      <c r="E1406">
        <v>205.80799999999999</v>
      </c>
      <c r="F1406">
        <v>170.18899999999999</v>
      </c>
      <c r="G1406">
        <v>253.809</v>
      </c>
      <c r="H1406">
        <v>208.49799999999999</v>
      </c>
      <c r="I1406">
        <v>243.02799999999999</v>
      </c>
      <c r="L1406">
        <v>109.096</v>
      </c>
    </row>
    <row r="1407" spans="1:12" x14ac:dyDescent="0.25">
      <c r="A1407" s="12">
        <v>43635</v>
      </c>
      <c r="B1407">
        <v>279.86700000000002</v>
      </c>
      <c r="C1407">
        <v>255.75800000000001</v>
      </c>
      <c r="D1407">
        <f t="shared" si="7"/>
        <v>109.39700000000001</v>
      </c>
      <c r="E1407">
        <v>205.81100000000001</v>
      </c>
      <c r="F1407">
        <v>170.22300000000001</v>
      </c>
      <c r="G1407">
        <v>253.726</v>
      </c>
      <c r="H1407">
        <v>208.44499999999999</v>
      </c>
      <c r="I1407">
        <v>244.51300000000001</v>
      </c>
      <c r="L1407">
        <v>109.39700000000001</v>
      </c>
    </row>
    <row r="1408" spans="1:12" x14ac:dyDescent="0.25">
      <c r="A1408" s="12">
        <v>43636</v>
      </c>
      <c r="B1408">
        <v>280.93799999999999</v>
      </c>
      <c r="C1408">
        <v>256.05500000000001</v>
      </c>
      <c r="D1408">
        <f t="shared" si="7"/>
        <v>110.08</v>
      </c>
      <c r="E1408">
        <v>207.55699999999999</v>
      </c>
      <c r="F1408">
        <v>171.09100000000001</v>
      </c>
      <c r="G1408">
        <v>255.351</v>
      </c>
      <c r="H1408">
        <v>208.99299999999999</v>
      </c>
      <c r="I1408">
        <v>244.61</v>
      </c>
      <c r="L1408">
        <v>110.08</v>
      </c>
    </row>
    <row r="1409" spans="1:12" x14ac:dyDescent="0.25">
      <c r="A1409" s="12">
        <v>43637</v>
      </c>
      <c r="B1409">
        <v>281.67399999999998</v>
      </c>
      <c r="C1409">
        <v>256.42599999999999</v>
      </c>
      <c r="D1409">
        <f t="shared" si="7"/>
        <v>110.169</v>
      </c>
      <c r="E1409">
        <v>207.92400000000001</v>
      </c>
      <c r="F1409">
        <v>171.18100000000001</v>
      </c>
      <c r="G1409">
        <v>255.67699999999999</v>
      </c>
      <c r="H1409">
        <v>209.137</v>
      </c>
      <c r="I1409">
        <v>245.262</v>
      </c>
      <c r="L1409">
        <v>110.169</v>
      </c>
    </row>
    <row r="1410" spans="1:12" x14ac:dyDescent="0.25">
      <c r="A1410" s="12">
        <v>43641</v>
      </c>
      <c r="B1410">
        <v>282.42500000000001</v>
      </c>
      <c r="C1410">
        <v>256.97899999999998</v>
      </c>
      <c r="D1410">
        <f t="shared" si="7"/>
        <v>110.298</v>
      </c>
      <c r="E1410">
        <v>209.06</v>
      </c>
      <c r="F1410">
        <v>171.62100000000001</v>
      </c>
      <c r="G1410">
        <v>256.60300000000001</v>
      </c>
      <c r="H1410">
        <v>209.67099999999999</v>
      </c>
      <c r="I1410">
        <v>245.11799999999999</v>
      </c>
      <c r="L1410">
        <v>110.298</v>
      </c>
    </row>
    <row r="1411" spans="1:12" x14ac:dyDescent="0.25">
      <c r="A1411" s="12">
        <v>43642</v>
      </c>
      <c r="B1411">
        <v>281.93400000000003</v>
      </c>
      <c r="C1411">
        <v>257.05799999999999</v>
      </c>
      <c r="D1411">
        <f t="shared" si="7"/>
        <v>109.726</v>
      </c>
      <c r="E1411">
        <v>208.15899999999999</v>
      </c>
      <c r="F1411">
        <v>171.15799999999999</v>
      </c>
      <c r="G1411">
        <v>255.828</v>
      </c>
      <c r="H1411">
        <v>209.63399999999999</v>
      </c>
      <c r="I1411">
        <v>244.535</v>
      </c>
      <c r="L1411">
        <v>109.726</v>
      </c>
    </row>
    <row r="1412" spans="1:12" x14ac:dyDescent="0.25">
      <c r="A1412" s="12">
        <v>43643</v>
      </c>
      <c r="B1412">
        <v>281.44400000000002</v>
      </c>
      <c r="C1412">
        <v>257.19</v>
      </c>
      <c r="D1412">
        <f t="shared" si="7"/>
        <v>109.54</v>
      </c>
      <c r="E1412">
        <v>207.886</v>
      </c>
      <c r="F1412">
        <v>171.25299999999999</v>
      </c>
      <c r="G1412">
        <v>255.703</v>
      </c>
      <c r="H1412">
        <v>209.72</v>
      </c>
      <c r="I1412">
        <v>244.471</v>
      </c>
      <c r="L1412">
        <v>109.54</v>
      </c>
    </row>
    <row r="1413" spans="1:12" x14ac:dyDescent="0.25">
      <c r="A1413" s="12">
        <v>43644</v>
      </c>
      <c r="B1413">
        <v>281.166</v>
      </c>
      <c r="C1413">
        <v>256.93</v>
      </c>
      <c r="D1413">
        <f t="shared" si="7"/>
        <v>109.39700000000001</v>
      </c>
      <c r="E1413">
        <v>207.76</v>
      </c>
      <c r="F1413">
        <v>171.16</v>
      </c>
      <c r="G1413">
        <v>255.333</v>
      </c>
      <c r="H1413">
        <v>209.63800000000001</v>
      </c>
      <c r="I1413">
        <v>244.46600000000001</v>
      </c>
      <c r="L1413">
        <v>109.39700000000001</v>
      </c>
    </row>
    <row r="1414" spans="1:12" x14ac:dyDescent="0.25">
      <c r="A1414" s="12">
        <v>43647</v>
      </c>
      <c r="B1414">
        <v>281.63</v>
      </c>
      <c r="C1414">
        <v>257.089</v>
      </c>
      <c r="D1414">
        <f t="shared" si="7"/>
        <v>109.619</v>
      </c>
      <c r="E1414">
        <v>208.149</v>
      </c>
      <c r="F1414">
        <v>171.28100000000001</v>
      </c>
      <c r="G1414">
        <v>255.453</v>
      </c>
      <c r="H1414">
        <v>209.73</v>
      </c>
      <c r="I1414">
        <v>244.88200000000001</v>
      </c>
      <c r="L1414">
        <v>109.619</v>
      </c>
    </row>
    <row r="1415" spans="1:12" x14ac:dyDescent="0.25">
      <c r="A1415" s="12">
        <v>43648</v>
      </c>
      <c r="B1415">
        <v>282.40600000000001</v>
      </c>
      <c r="C1415">
        <v>257.404</v>
      </c>
      <c r="D1415">
        <f t="shared" si="7"/>
        <v>110.07899999999999</v>
      </c>
      <c r="E1415">
        <v>208.44900000000001</v>
      </c>
      <c r="F1415">
        <v>171.453</v>
      </c>
      <c r="G1415">
        <v>256.08699999999999</v>
      </c>
      <c r="H1415">
        <v>209.89599999999999</v>
      </c>
      <c r="I1415">
        <v>245.84399999999999</v>
      </c>
      <c r="L1415">
        <v>110.07899999999999</v>
      </c>
    </row>
    <row r="1416" spans="1:12" x14ac:dyDescent="0.25">
      <c r="A1416" s="12">
        <v>43649</v>
      </c>
      <c r="B1416">
        <v>283.69799999999998</v>
      </c>
      <c r="C1416">
        <v>257.77</v>
      </c>
      <c r="D1416">
        <f t="shared" si="7"/>
        <v>110.574</v>
      </c>
      <c r="E1416">
        <v>209.85300000000001</v>
      </c>
      <c r="F1416">
        <v>172.02099999999999</v>
      </c>
      <c r="G1416">
        <v>257.56400000000002</v>
      </c>
      <c r="H1416">
        <v>210.22499999999999</v>
      </c>
      <c r="I1416">
        <v>246.06899999999999</v>
      </c>
      <c r="L1416">
        <v>110.574</v>
      </c>
    </row>
    <row r="1417" spans="1:12" x14ac:dyDescent="0.25">
      <c r="A1417" s="12">
        <v>43650</v>
      </c>
      <c r="B1417">
        <v>284.221</v>
      </c>
      <c r="C1417">
        <v>258.05500000000001</v>
      </c>
      <c r="D1417">
        <f t="shared" si="7"/>
        <v>111.18</v>
      </c>
      <c r="E1417">
        <v>210.21700000000001</v>
      </c>
      <c r="F1417">
        <v>172.21600000000001</v>
      </c>
      <c r="G1417">
        <v>257.87400000000002</v>
      </c>
      <c r="H1417">
        <v>210.315</v>
      </c>
      <c r="I1417">
        <v>246.87100000000001</v>
      </c>
      <c r="L1417">
        <v>111.18</v>
      </c>
    </row>
    <row r="1418" spans="1:12" x14ac:dyDescent="0.25">
      <c r="A1418" s="12">
        <v>43651</v>
      </c>
      <c r="B1418">
        <v>285.2</v>
      </c>
      <c r="C1418">
        <v>258.43200000000002</v>
      </c>
      <c r="D1418">
        <f t="shared" si="7"/>
        <v>111.6</v>
      </c>
      <c r="E1418">
        <v>210.95500000000001</v>
      </c>
      <c r="F1418">
        <v>172.58199999999999</v>
      </c>
      <c r="G1418">
        <v>258.89</v>
      </c>
      <c r="H1418">
        <v>210.55799999999999</v>
      </c>
      <c r="I1418">
        <v>247.15799999999999</v>
      </c>
      <c r="L1418">
        <v>111.6</v>
      </c>
    </row>
    <row r="1419" spans="1:12" x14ac:dyDescent="0.25">
      <c r="A1419" s="12">
        <v>43654</v>
      </c>
      <c r="B1419">
        <v>285.226</v>
      </c>
      <c r="C1419">
        <v>258.59500000000003</v>
      </c>
      <c r="D1419">
        <f t="shared" si="7"/>
        <v>111.639</v>
      </c>
      <c r="E1419">
        <v>211.262</v>
      </c>
      <c r="F1419">
        <v>172.726</v>
      </c>
      <c r="G1419">
        <v>259.19299999999998</v>
      </c>
      <c r="H1419">
        <v>210.63499999999999</v>
      </c>
      <c r="I1419">
        <v>246.88200000000001</v>
      </c>
      <c r="L1419">
        <v>111.639</v>
      </c>
    </row>
    <row r="1420" spans="1:12" x14ac:dyDescent="0.25">
      <c r="A1420" s="12">
        <v>43655</v>
      </c>
      <c r="B1420">
        <v>284.88299999999998</v>
      </c>
      <c r="C1420">
        <v>258.35300000000001</v>
      </c>
      <c r="D1420">
        <f t="shared" si="7"/>
        <v>111.56399999999999</v>
      </c>
      <c r="E1420">
        <v>211.012</v>
      </c>
      <c r="F1420">
        <v>172.678</v>
      </c>
      <c r="G1420">
        <v>258.86700000000002</v>
      </c>
      <c r="H1420">
        <v>210.631</v>
      </c>
      <c r="I1420">
        <v>246.744</v>
      </c>
      <c r="L1420">
        <v>111.56399999999999</v>
      </c>
    </row>
    <row r="1421" spans="1:12" x14ac:dyDescent="0.25">
      <c r="A1421" s="12">
        <v>43656</v>
      </c>
      <c r="B1421">
        <v>284.26499999999999</v>
      </c>
      <c r="C1421">
        <v>258.209</v>
      </c>
      <c r="D1421">
        <f t="shared" si="7"/>
        <v>111.402</v>
      </c>
      <c r="E1421">
        <v>210.58600000000001</v>
      </c>
      <c r="F1421">
        <v>172.62200000000001</v>
      </c>
      <c r="G1421">
        <v>258.733</v>
      </c>
      <c r="H1421">
        <v>210.61099999999999</v>
      </c>
      <c r="I1421">
        <v>246.33500000000001</v>
      </c>
      <c r="L1421">
        <v>111.402</v>
      </c>
    </row>
    <row r="1422" spans="1:12" x14ac:dyDescent="0.25">
      <c r="A1422" s="12">
        <v>43657</v>
      </c>
      <c r="B1422">
        <v>283.86799999999999</v>
      </c>
      <c r="C1422">
        <v>257.82499999999999</v>
      </c>
      <c r="D1422">
        <f t="shared" si="7"/>
        <v>111.348</v>
      </c>
      <c r="E1422">
        <v>210.00800000000001</v>
      </c>
      <c r="F1422">
        <v>172.447</v>
      </c>
      <c r="G1422">
        <v>258.22699999999998</v>
      </c>
      <c r="H1422">
        <v>210.459</v>
      </c>
      <c r="I1422">
        <v>246.39699999999999</v>
      </c>
      <c r="L1422">
        <v>111.348</v>
      </c>
    </row>
    <row r="1423" spans="1:12" x14ac:dyDescent="0.25">
      <c r="A1423" s="12">
        <v>43658</v>
      </c>
      <c r="B1423">
        <v>283.71800000000002</v>
      </c>
      <c r="C1423">
        <v>257.58</v>
      </c>
      <c r="D1423">
        <f t="shared" si="7"/>
        <v>111.21</v>
      </c>
      <c r="E1423">
        <v>210.08099999999999</v>
      </c>
      <c r="F1423">
        <v>172.31100000000001</v>
      </c>
      <c r="G1423">
        <v>258.21600000000001</v>
      </c>
      <c r="H1423">
        <v>210.36799999999999</v>
      </c>
      <c r="I1423">
        <v>246.43700000000001</v>
      </c>
      <c r="L1423">
        <v>111.21</v>
      </c>
    </row>
    <row r="1424" spans="1:12" x14ac:dyDescent="0.25">
      <c r="A1424" s="12">
        <v>43661</v>
      </c>
      <c r="B1424">
        <v>283.601</v>
      </c>
      <c r="C1424">
        <v>257.44299999999998</v>
      </c>
      <c r="D1424">
        <f t="shared" si="7"/>
        <v>111.19199999999999</v>
      </c>
      <c r="E1424">
        <v>209.964</v>
      </c>
      <c r="F1424">
        <v>172.07300000000001</v>
      </c>
      <c r="G1424">
        <v>258.31799999999998</v>
      </c>
      <c r="H1424">
        <v>210.36199999999999</v>
      </c>
      <c r="I1424">
        <v>246.56</v>
      </c>
      <c r="L1424">
        <v>111.19199999999999</v>
      </c>
    </row>
    <row r="1425" spans="1:12" x14ac:dyDescent="0.25">
      <c r="A1425" s="12">
        <v>43662</v>
      </c>
      <c r="B1425">
        <v>283.80500000000001</v>
      </c>
      <c r="C1425">
        <v>257.45400000000001</v>
      </c>
      <c r="D1425">
        <f t="shared" si="7"/>
        <v>111.31699999999999</v>
      </c>
      <c r="E1425">
        <v>209.934</v>
      </c>
      <c r="F1425">
        <v>171.98500000000001</v>
      </c>
      <c r="G1425">
        <v>258.39600000000002</v>
      </c>
      <c r="H1425">
        <v>210.32300000000001</v>
      </c>
      <c r="I1425">
        <v>246.833</v>
      </c>
      <c r="L1425">
        <v>111.31699999999999</v>
      </c>
    </row>
    <row r="1426" spans="1:12" x14ac:dyDescent="0.25">
      <c r="A1426" s="12">
        <v>43663</v>
      </c>
      <c r="B1426">
        <v>284.142</v>
      </c>
      <c r="C1426">
        <v>257.75700000000001</v>
      </c>
      <c r="D1426">
        <f t="shared" si="7"/>
        <v>111.52800000000001</v>
      </c>
      <c r="E1426">
        <v>210.31399999999999</v>
      </c>
      <c r="F1426">
        <v>172.208</v>
      </c>
      <c r="G1426">
        <v>258.85399999999998</v>
      </c>
      <c r="H1426">
        <v>210.553</v>
      </c>
      <c r="I1426">
        <v>247.18199999999999</v>
      </c>
      <c r="L1426">
        <v>111.52800000000001</v>
      </c>
    </row>
    <row r="1427" spans="1:12" x14ac:dyDescent="0.25">
      <c r="A1427" s="12">
        <v>43664</v>
      </c>
      <c r="B1427">
        <v>284.21300000000002</v>
      </c>
      <c r="C1427">
        <v>257.86</v>
      </c>
      <c r="D1427">
        <f t="shared" ref="D1427:D1490" si="8">IF(L1427&gt;1,L1427,L1427*100)</f>
        <v>111.556</v>
      </c>
      <c r="E1427">
        <v>210.70599999999999</v>
      </c>
      <c r="F1427">
        <v>172.41800000000001</v>
      </c>
      <c r="G1427">
        <v>259.15199999999999</v>
      </c>
      <c r="H1427">
        <v>210.54300000000001</v>
      </c>
      <c r="I1427">
        <v>246.81800000000001</v>
      </c>
      <c r="L1427">
        <v>111.556</v>
      </c>
    </row>
    <row r="1428" spans="1:12" x14ac:dyDescent="0.25">
      <c r="A1428" s="12">
        <v>43665</v>
      </c>
      <c r="B1428">
        <v>283.74099999999999</v>
      </c>
      <c r="C1428">
        <v>257.99900000000002</v>
      </c>
      <c r="D1428">
        <f t="shared" si="8"/>
        <v>111.395</v>
      </c>
      <c r="E1428">
        <v>210.46600000000001</v>
      </c>
      <c r="F1428">
        <v>172.48</v>
      </c>
      <c r="G1428">
        <v>258.94299999999998</v>
      </c>
      <c r="H1428">
        <v>210.66800000000001</v>
      </c>
      <c r="I1428">
        <v>246.506</v>
      </c>
      <c r="L1428">
        <v>111.395</v>
      </c>
    </row>
    <row r="1429" spans="1:12" x14ac:dyDescent="0.25">
      <c r="A1429" s="12">
        <v>43668</v>
      </c>
      <c r="B1429">
        <v>283.67899999999997</v>
      </c>
      <c r="C1429">
        <v>258.08499999999998</v>
      </c>
      <c r="D1429">
        <f t="shared" si="8"/>
        <v>111.542</v>
      </c>
      <c r="E1429">
        <v>210.17099999999999</v>
      </c>
      <c r="F1429">
        <v>172.386</v>
      </c>
      <c r="G1429">
        <v>258.57299999999998</v>
      </c>
      <c r="H1429">
        <v>210.76</v>
      </c>
      <c r="I1429">
        <v>246.78299999999999</v>
      </c>
      <c r="L1429">
        <v>111.542</v>
      </c>
    </row>
    <row r="1430" spans="1:12" x14ac:dyDescent="0.25">
      <c r="A1430" s="12">
        <v>43669</v>
      </c>
      <c r="B1430">
        <v>283.63799999999998</v>
      </c>
      <c r="C1430">
        <v>258.32799999999997</v>
      </c>
      <c r="D1430">
        <f t="shared" si="8"/>
        <v>111.449</v>
      </c>
      <c r="E1430">
        <v>210.536</v>
      </c>
      <c r="F1430">
        <v>172.54900000000001</v>
      </c>
      <c r="G1430">
        <v>259.214</v>
      </c>
      <c r="H1430">
        <v>210.90100000000001</v>
      </c>
      <c r="I1430">
        <v>246.72900000000001</v>
      </c>
      <c r="L1430">
        <v>111.449</v>
      </c>
    </row>
    <row r="1431" spans="1:12" x14ac:dyDescent="0.25">
      <c r="A1431" s="12">
        <v>43670</v>
      </c>
      <c r="B1431">
        <v>284.02699999999999</v>
      </c>
      <c r="C1431">
        <v>258.57900000000001</v>
      </c>
      <c r="D1431">
        <f t="shared" si="8"/>
        <v>111.721</v>
      </c>
      <c r="E1431">
        <v>210.52600000000001</v>
      </c>
      <c r="F1431">
        <v>172.7</v>
      </c>
      <c r="G1431">
        <v>259.178</v>
      </c>
      <c r="H1431">
        <v>210.977</v>
      </c>
      <c r="I1431">
        <v>247.47300000000001</v>
      </c>
      <c r="L1431">
        <v>111.721</v>
      </c>
    </row>
    <row r="1432" spans="1:12" x14ac:dyDescent="0.25">
      <c r="A1432" s="12">
        <v>43671</v>
      </c>
      <c r="B1432">
        <v>284.81200000000001</v>
      </c>
      <c r="C1432">
        <v>258.70400000000001</v>
      </c>
      <c r="D1432">
        <f t="shared" si="8"/>
        <v>112.339</v>
      </c>
      <c r="E1432">
        <v>211.49700000000001</v>
      </c>
      <c r="F1432">
        <v>173.22</v>
      </c>
      <c r="G1432">
        <v>260.05</v>
      </c>
      <c r="H1432">
        <v>211.08699999999999</v>
      </c>
      <c r="I1432">
        <v>247.88</v>
      </c>
      <c r="L1432">
        <v>112.339</v>
      </c>
    </row>
    <row r="1433" spans="1:12" x14ac:dyDescent="0.25">
      <c r="A1433" s="12">
        <v>43672</v>
      </c>
      <c r="B1433">
        <v>285.65899999999999</v>
      </c>
      <c r="C1433">
        <v>259.18900000000002</v>
      </c>
      <c r="D1433">
        <f t="shared" si="8"/>
        <v>112.48399999999999</v>
      </c>
      <c r="E1433">
        <v>212.011</v>
      </c>
      <c r="F1433">
        <v>173.49100000000001</v>
      </c>
      <c r="G1433">
        <v>260.38799999999998</v>
      </c>
      <c r="H1433">
        <v>211.285</v>
      </c>
      <c r="I1433">
        <v>247.67</v>
      </c>
      <c r="L1433">
        <v>112.48399999999999</v>
      </c>
    </row>
    <row r="1434" spans="1:12" x14ac:dyDescent="0.25">
      <c r="A1434" s="12">
        <v>43675</v>
      </c>
      <c r="B1434">
        <v>284.84199999999998</v>
      </c>
      <c r="C1434">
        <v>258.995</v>
      </c>
      <c r="D1434">
        <f t="shared" si="8"/>
        <v>112.376</v>
      </c>
      <c r="E1434">
        <v>211.887</v>
      </c>
      <c r="F1434">
        <v>173.572</v>
      </c>
      <c r="G1434">
        <v>260.11500000000001</v>
      </c>
      <c r="H1434">
        <v>211.23</v>
      </c>
      <c r="I1434">
        <v>247.87200000000001</v>
      </c>
      <c r="L1434">
        <v>112.376</v>
      </c>
    </row>
    <row r="1435" spans="1:12" x14ac:dyDescent="0.25">
      <c r="A1435" s="12">
        <v>43676</v>
      </c>
      <c r="B1435">
        <v>285.666</v>
      </c>
      <c r="C1435">
        <v>259.23200000000003</v>
      </c>
      <c r="D1435">
        <f t="shared" si="8"/>
        <v>112.64</v>
      </c>
      <c r="E1435">
        <v>212.11099999999999</v>
      </c>
      <c r="F1435">
        <v>173.589</v>
      </c>
      <c r="G1435">
        <v>260.24</v>
      </c>
      <c r="H1435">
        <v>211.232</v>
      </c>
      <c r="I1435">
        <v>247.708</v>
      </c>
      <c r="L1435">
        <v>112.64</v>
      </c>
    </row>
    <row r="1436" spans="1:12" x14ac:dyDescent="0.25">
      <c r="A1436" s="12">
        <v>43677</v>
      </c>
      <c r="B1436">
        <v>285.226</v>
      </c>
      <c r="C1436">
        <v>259.27499999999998</v>
      </c>
      <c r="D1436">
        <f t="shared" si="8"/>
        <v>112.524</v>
      </c>
      <c r="E1436">
        <v>211.94800000000001</v>
      </c>
      <c r="F1436">
        <v>173.565</v>
      </c>
      <c r="G1436">
        <v>260.39</v>
      </c>
      <c r="H1436">
        <v>211.33799999999999</v>
      </c>
      <c r="I1436">
        <v>246.76499999999999</v>
      </c>
      <c r="L1436">
        <v>112.524</v>
      </c>
    </row>
    <row r="1437" spans="1:12" x14ac:dyDescent="0.25">
      <c r="A1437" s="12">
        <v>43678</v>
      </c>
      <c r="B1437">
        <v>284.625</v>
      </c>
      <c r="C1437">
        <v>259.25200000000001</v>
      </c>
      <c r="D1437">
        <f t="shared" si="8"/>
        <v>112.373</v>
      </c>
      <c r="E1437">
        <v>211.29499999999999</v>
      </c>
      <c r="F1437">
        <v>173.36799999999999</v>
      </c>
      <c r="G1437">
        <v>259.40600000000001</v>
      </c>
      <c r="H1437">
        <v>211.26599999999999</v>
      </c>
      <c r="I1437">
        <v>246.95099999999999</v>
      </c>
      <c r="L1437">
        <v>112.373</v>
      </c>
    </row>
    <row r="1438" spans="1:12" x14ac:dyDescent="0.25">
      <c r="A1438" s="12">
        <v>43679</v>
      </c>
      <c r="B1438">
        <v>284.37799999999999</v>
      </c>
      <c r="C1438">
        <v>259.52199999999999</v>
      </c>
      <c r="D1438">
        <f t="shared" si="8"/>
        <v>112.404</v>
      </c>
      <c r="E1438">
        <v>211.226</v>
      </c>
      <c r="F1438">
        <v>173.46199999999999</v>
      </c>
      <c r="G1438">
        <v>259.77300000000002</v>
      </c>
      <c r="H1438">
        <v>211.38800000000001</v>
      </c>
      <c r="I1438">
        <v>247.29</v>
      </c>
      <c r="L1438">
        <v>112.404</v>
      </c>
    </row>
    <row r="1439" spans="1:12" x14ac:dyDescent="0.25">
      <c r="A1439" s="12">
        <v>43682</v>
      </c>
      <c r="B1439">
        <v>284.08999999999997</v>
      </c>
      <c r="C1439">
        <v>259.76900000000001</v>
      </c>
      <c r="D1439">
        <f t="shared" si="8"/>
        <v>112.10599999999999</v>
      </c>
      <c r="E1439">
        <v>211.49600000000001</v>
      </c>
      <c r="F1439">
        <v>173.80699999999999</v>
      </c>
      <c r="G1439">
        <v>260.06099999999998</v>
      </c>
      <c r="H1439">
        <v>211.39599999999999</v>
      </c>
      <c r="I1439">
        <v>244.77799999999999</v>
      </c>
      <c r="L1439">
        <v>112.10599999999999</v>
      </c>
    </row>
    <row r="1440" spans="1:12" x14ac:dyDescent="0.25">
      <c r="A1440" s="12">
        <v>43683</v>
      </c>
      <c r="B1440">
        <v>282.79700000000003</v>
      </c>
      <c r="C1440">
        <v>259.904</v>
      </c>
      <c r="D1440">
        <f t="shared" si="8"/>
        <v>111.226</v>
      </c>
      <c r="E1440">
        <v>209.54400000000001</v>
      </c>
      <c r="F1440">
        <v>173.518</v>
      </c>
      <c r="G1440">
        <v>257.57499999999999</v>
      </c>
      <c r="H1440">
        <v>211.21100000000001</v>
      </c>
      <c r="I1440">
        <v>242.50800000000001</v>
      </c>
      <c r="L1440">
        <v>111.226</v>
      </c>
    </row>
    <row r="1441" spans="1:12" x14ac:dyDescent="0.25">
      <c r="A1441" s="12">
        <v>43684</v>
      </c>
      <c r="B1441">
        <v>280.32600000000002</v>
      </c>
      <c r="C1441">
        <v>260.02999999999997</v>
      </c>
      <c r="D1441">
        <f t="shared" si="8"/>
        <v>110.316</v>
      </c>
      <c r="E1441">
        <v>207.126</v>
      </c>
      <c r="F1441">
        <v>172.90100000000001</v>
      </c>
      <c r="G1441">
        <v>255.18899999999999</v>
      </c>
      <c r="H1441">
        <v>210.821</v>
      </c>
      <c r="I1441">
        <v>241.91499999999999</v>
      </c>
      <c r="L1441">
        <v>110.316</v>
      </c>
    </row>
    <row r="1442" spans="1:12" x14ac:dyDescent="0.25">
      <c r="A1442" s="12">
        <v>43685</v>
      </c>
      <c r="B1442">
        <v>281.30399999999997</v>
      </c>
      <c r="C1442">
        <v>260.42599999999999</v>
      </c>
      <c r="D1442">
        <f t="shared" si="8"/>
        <v>110.196</v>
      </c>
      <c r="E1442">
        <v>206.97499999999999</v>
      </c>
      <c r="F1442">
        <v>173.011</v>
      </c>
      <c r="G1442">
        <v>254.286</v>
      </c>
      <c r="H1442">
        <v>210.92599999999999</v>
      </c>
      <c r="I1442">
        <v>242.17</v>
      </c>
      <c r="L1442">
        <v>110.196</v>
      </c>
    </row>
    <row r="1443" spans="1:12" x14ac:dyDescent="0.25">
      <c r="A1443" s="12">
        <v>43686</v>
      </c>
      <c r="B1443">
        <v>281.34100000000001</v>
      </c>
      <c r="C1443">
        <v>260.63200000000001</v>
      </c>
      <c r="D1443">
        <f t="shared" si="8"/>
        <v>110.601</v>
      </c>
      <c r="E1443">
        <v>207.44399999999999</v>
      </c>
      <c r="F1443">
        <v>173.291</v>
      </c>
      <c r="G1443">
        <v>254.56</v>
      </c>
      <c r="H1443">
        <v>211.166</v>
      </c>
      <c r="I1443">
        <v>243.74100000000001</v>
      </c>
      <c r="L1443">
        <v>110.601</v>
      </c>
    </row>
    <row r="1444" spans="1:12" x14ac:dyDescent="0.25">
      <c r="A1444" s="12">
        <v>43689</v>
      </c>
      <c r="B1444">
        <v>282.74700000000001</v>
      </c>
      <c r="C1444">
        <v>260.62099999999998</v>
      </c>
      <c r="D1444">
        <f t="shared" si="8"/>
        <v>111.127</v>
      </c>
      <c r="E1444">
        <v>208.79499999999999</v>
      </c>
      <c r="F1444">
        <v>173.47</v>
      </c>
      <c r="G1444">
        <v>256.14600000000002</v>
      </c>
      <c r="H1444">
        <v>211.30500000000001</v>
      </c>
      <c r="I1444">
        <v>242.96100000000001</v>
      </c>
      <c r="L1444">
        <v>111.127</v>
      </c>
    </row>
    <row r="1445" spans="1:12" x14ac:dyDescent="0.25">
      <c r="A1445" s="12">
        <v>43690</v>
      </c>
      <c r="B1445">
        <v>282.346</v>
      </c>
      <c r="C1445">
        <v>260.67500000000001</v>
      </c>
      <c r="D1445">
        <f t="shared" si="8"/>
        <v>110.80800000000001</v>
      </c>
      <c r="E1445">
        <v>208.49799999999999</v>
      </c>
      <c r="F1445">
        <v>173.578</v>
      </c>
      <c r="G1445">
        <v>256.017</v>
      </c>
      <c r="H1445">
        <v>211.37899999999999</v>
      </c>
      <c r="I1445">
        <v>242.09399999999999</v>
      </c>
      <c r="L1445">
        <v>110.80800000000001</v>
      </c>
    </row>
    <row r="1446" spans="1:12" x14ac:dyDescent="0.25">
      <c r="A1446" s="12">
        <v>43691</v>
      </c>
      <c r="B1446">
        <v>281.78800000000001</v>
      </c>
      <c r="C1446">
        <v>260.89600000000002</v>
      </c>
      <c r="D1446">
        <f t="shared" si="8"/>
        <v>110.71</v>
      </c>
      <c r="E1446">
        <v>207.71600000000001</v>
      </c>
      <c r="F1446">
        <v>172.98500000000001</v>
      </c>
      <c r="G1446">
        <v>254.88</v>
      </c>
      <c r="H1446">
        <v>210.97200000000001</v>
      </c>
      <c r="I1446">
        <v>242.84299999999999</v>
      </c>
      <c r="L1446">
        <v>110.71</v>
      </c>
    </row>
    <row r="1447" spans="1:12" x14ac:dyDescent="0.25">
      <c r="A1447" s="12">
        <v>43692</v>
      </c>
      <c r="B1447">
        <v>282.339</v>
      </c>
      <c r="C1447">
        <v>261.02699999999999</v>
      </c>
      <c r="D1447">
        <f t="shared" si="8"/>
        <v>111.04300000000001</v>
      </c>
      <c r="E1447">
        <v>208.1</v>
      </c>
      <c r="F1447">
        <v>172.887</v>
      </c>
      <c r="G1447">
        <v>255.03</v>
      </c>
      <c r="H1447">
        <v>210.94300000000001</v>
      </c>
      <c r="I1447">
        <v>241.28200000000001</v>
      </c>
      <c r="L1447">
        <v>111.04300000000001</v>
      </c>
    </row>
    <row r="1448" spans="1:12" x14ac:dyDescent="0.25">
      <c r="A1448" s="12">
        <v>43693</v>
      </c>
      <c r="B1448">
        <v>281.34699999999998</v>
      </c>
      <c r="C1448">
        <v>261.33</v>
      </c>
      <c r="D1448">
        <f t="shared" si="8"/>
        <v>110.523</v>
      </c>
      <c r="E1448">
        <v>207.40700000000001</v>
      </c>
      <c r="F1448">
        <v>173.02099999999999</v>
      </c>
      <c r="G1448">
        <v>254.25899999999999</v>
      </c>
      <c r="H1448">
        <v>210.85900000000001</v>
      </c>
      <c r="I1448">
        <v>241.28800000000001</v>
      </c>
      <c r="L1448">
        <v>110.523</v>
      </c>
    </row>
    <row r="1449" spans="1:12" x14ac:dyDescent="0.25">
      <c r="A1449" s="12">
        <v>43696</v>
      </c>
      <c r="B1449">
        <v>281.27600000000001</v>
      </c>
      <c r="C1449">
        <v>261.68400000000003</v>
      </c>
      <c r="D1449">
        <f t="shared" si="8"/>
        <v>111.026</v>
      </c>
      <c r="E1449">
        <v>207.50899999999999</v>
      </c>
      <c r="F1449">
        <v>173.29400000000001</v>
      </c>
      <c r="G1449">
        <v>254.04599999999999</v>
      </c>
      <c r="H1449">
        <v>211.126</v>
      </c>
      <c r="I1449">
        <v>242.50299999999999</v>
      </c>
      <c r="L1449">
        <v>111.026</v>
      </c>
    </row>
    <row r="1450" spans="1:12" x14ac:dyDescent="0.25">
      <c r="A1450" s="12">
        <v>43697</v>
      </c>
      <c r="B1450">
        <v>282.16399999999999</v>
      </c>
      <c r="C1450">
        <v>261.60599999999999</v>
      </c>
      <c r="D1450">
        <f t="shared" si="8"/>
        <v>111.486</v>
      </c>
      <c r="E1450">
        <v>208.529</v>
      </c>
      <c r="F1450">
        <v>173.58099999999999</v>
      </c>
      <c r="G1450">
        <v>255.25700000000001</v>
      </c>
      <c r="H1450">
        <v>211.32</v>
      </c>
      <c r="I1450">
        <v>243.27699999999999</v>
      </c>
      <c r="L1450">
        <v>111.486</v>
      </c>
    </row>
    <row r="1451" spans="1:12" x14ac:dyDescent="0.25">
      <c r="A1451" s="12">
        <v>43698</v>
      </c>
      <c r="B1451">
        <v>283.274</v>
      </c>
      <c r="C1451">
        <v>261.62799999999999</v>
      </c>
      <c r="D1451">
        <f t="shared" si="8"/>
        <v>111.854</v>
      </c>
      <c r="E1451">
        <v>209.20099999999999</v>
      </c>
      <c r="F1451">
        <v>173.471</v>
      </c>
      <c r="G1451">
        <v>256.07400000000001</v>
      </c>
      <c r="H1451">
        <v>211.11</v>
      </c>
      <c r="I1451">
        <v>243.059</v>
      </c>
      <c r="L1451">
        <v>111.854</v>
      </c>
    </row>
    <row r="1452" spans="1:12" x14ac:dyDescent="0.25">
      <c r="A1452" s="12">
        <v>43699</v>
      </c>
      <c r="B1452">
        <v>283.09899999999999</v>
      </c>
      <c r="C1452">
        <v>261.661</v>
      </c>
      <c r="D1452">
        <f t="shared" si="8"/>
        <v>111.798</v>
      </c>
      <c r="E1452">
        <v>209.161</v>
      </c>
      <c r="F1452">
        <v>173.596</v>
      </c>
      <c r="G1452">
        <v>256.15899999999999</v>
      </c>
      <c r="H1452">
        <v>211.23699999999999</v>
      </c>
      <c r="I1452">
        <v>243.90899999999999</v>
      </c>
      <c r="L1452">
        <v>111.798</v>
      </c>
    </row>
    <row r="1453" spans="1:12" x14ac:dyDescent="0.25">
      <c r="A1453" s="12">
        <v>43700</v>
      </c>
      <c r="B1453">
        <v>283.67500000000001</v>
      </c>
      <c r="C1453">
        <v>261.62900000000002</v>
      </c>
      <c r="D1453">
        <f t="shared" si="8"/>
        <v>112.03400000000001</v>
      </c>
      <c r="E1453">
        <v>209.672</v>
      </c>
      <c r="F1453">
        <v>173.708</v>
      </c>
      <c r="G1453">
        <v>256.60700000000003</v>
      </c>
      <c r="H1453">
        <v>211.31399999999999</v>
      </c>
      <c r="I1453">
        <v>243.44300000000001</v>
      </c>
      <c r="L1453">
        <v>112.03400000000001</v>
      </c>
    </row>
    <row r="1454" spans="1:12" x14ac:dyDescent="0.25">
      <c r="A1454" s="12">
        <v>43703</v>
      </c>
      <c r="B1454">
        <v>283.42599999999999</v>
      </c>
      <c r="C1454">
        <v>261.67599999999999</v>
      </c>
      <c r="D1454">
        <f t="shared" si="8"/>
        <v>111.779</v>
      </c>
      <c r="E1454">
        <v>209.435</v>
      </c>
      <c r="F1454">
        <v>173.83</v>
      </c>
      <c r="G1454">
        <v>256.50200000000001</v>
      </c>
      <c r="H1454">
        <v>211.31100000000001</v>
      </c>
      <c r="I1454">
        <v>242.45699999999999</v>
      </c>
      <c r="L1454">
        <v>111.779</v>
      </c>
    </row>
    <row r="1455" spans="1:12" x14ac:dyDescent="0.25">
      <c r="A1455" s="12">
        <v>43704</v>
      </c>
      <c r="B1455">
        <v>282.65199999999999</v>
      </c>
      <c r="C1455">
        <v>261.916</v>
      </c>
      <c r="D1455">
        <f t="shared" si="8"/>
        <v>111.61799999999999</v>
      </c>
      <c r="E1455">
        <v>208.43899999999999</v>
      </c>
      <c r="F1455">
        <v>173.774</v>
      </c>
      <c r="G1455">
        <v>255.62100000000001</v>
      </c>
      <c r="H1455">
        <v>211.34899999999999</v>
      </c>
      <c r="I1455">
        <v>242.6</v>
      </c>
      <c r="L1455">
        <v>111.61799999999999</v>
      </c>
    </row>
    <row r="1456" spans="1:12" x14ac:dyDescent="0.25">
      <c r="A1456" s="12">
        <v>43705</v>
      </c>
      <c r="B1456">
        <v>283.15600000000001</v>
      </c>
      <c r="C1456">
        <v>262.16000000000003</v>
      </c>
      <c r="D1456">
        <f t="shared" si="8"/>
        <v>111.20399999999999</v>
      </c>
      <c r="E1456">
        <v>208.494</v>
      </c>
      <c r="F1456">
        <v>173.797</v>
      </c>
      <c r="G1456">
        <v>255.58500000000001</v>
      </c>
      <c r="H1456">
        <v>211.35599999999999</v>
      </c>
      <c r="I1456">
        <v>243.11600000000001</v>
      </c>
      <c r="L1456">
        <v>111.20399999999999</v>
      </c>
    </row>
    <row r="1457" spans="1:12" x14ac:dyDescent="0.25">
      <c r="A1457" s="12">
        <v>43706</v>
      </c>
      <c r="B1457">
        <v>283.41399999999999</v>
      </c>
      <c r="C1457">
        <v>262.52800000000002</v>
      </c>
      <c r="D1457">
        <f t="shared" si="8"/>
        <v>111.53100000000001</v>
      </c>
      <c r="E1457">
        <v>208.858</v>
      </c>
      <c r="F1457">
        <v>173.988</v>
      </c>
      <c r="G1457">
        <v>255.709</v>
      </c>
      <c r="H1457">
        <v>211.37899999999999</v>
      </c>
      <c r="I1457">
        <v>242.83199999999999</v>
      </c>
      <c r="L1457">
        <v>111.53100000000001</v>
      </c>
    </row>
    <row r="1458" spans="1:12" x14ac:dyDescent="0.25">
      <c r="A1458" s="12">
        <v>43707</v>
      </c>
      <c r="B1458">
        <v>283.71499999999997</v>
      </c>
      <c r="C1458">
        <v>262.697</v>
      </c>
      <c r="D1458">
        <f t="shared" si="8"/>
        <v>112.06100000000001</v>
      </c>
      <c r="E1458">
        <v>209.08600000000001</v>
      </c>
      <c r="F1458">
        <v>174.12700000000001</v>
      </c>
      <c r="G1458">
        <v>255.57499999999999</v>
      </c>
      <c r="H1458">
        <v>211.458</v>
      </c>
      <c r="I1458">
        <v>243.721</v>
      </c>
      <c r="L1458">
        <v>112.06100000000001</v>
      </c>
    </row>
    <row r="1459" spans="1:12" x14ac:dyDescent="0.25">
      <c r="A1459" s="12">
        <v>43710</v>
      </c>
      <c r="B1459">
        <v>284.79199999999997</v>
      </c>
      <c r="C1459">
        <v>262.61399999999998</v>
      </c>
      <c r="D1459">
        <f t="shared" si="8"/>
        <v>112.51900000000001</v>
      </c>
      <c r="E1459">
        <v>210.00399999999999</v>
      </c>
      <c r="F1459">
        <v>174.37100000000001</v>
      </c>
      <c r="G1459">
        <v>256.62599999999998</v>
      </c>
      <c r="H1459">
        <v>211.494</v>
      </c>
      <c r="I1459">
        <v>244.28200000000001</v>
      </c>
      <c r="L1459">
        <v>112.51900000000001</v>
      </c>
    </row>
    <row r="1460" spans="1:12" x14ac:dyDescent="0.25">
      <c r="A1460" s="12">
        <v>43711</v>
      </c>
      <c r="B1460">
        <v>285.529</v>
      </c>
      <c r="C1460">
        <v>262.60599999999999</v>
      </c>
      <c r="D1460">
        <f t="shared" si="8"/>
        <v>112.803</v>
      </c>
      <c r="E1460">
        <v>210.845</v>
      </c>
      <c r="F1460">
        <v>174.714</v>
      </c>
      <c r="G1460">
        <v>257.70400000000001</v>
      </c>
      <c r="H1460">
        <v>211.685</v>
      </c>
      <c r="I1460">
        <v>244.54400000000001</v>
      </c>
      <c r="L1460">
        <v>112.803</v>
      </c>
    </row>
    <row r="1461" spans="1:12" x14ac:dyDescent="0.25">
      <c r="A1461" s="12">
        <v>43712</v>
      </c>
      <c r="B1461">
        <v>285.62700000000001</v>
      </c>
      <c r="C1461">
        <v>262.71499999999997</v>
      </c>
      <c r="D1461">
        <f t="shared" si="8"/>
        <v>112.867</v>
      </c>
      <c r="E1461">
        <v>211.03</v>
      </c>
      <c r="F1461">
        <v>174.84100000000001</v>
      </c>
      <c r="G1461">
        <v>257.92399999999998</v>
      </c>
      <c r="H1461">
        <v>211.68899999999999</v>
      </c>
      <c r="I1461">
        <v>244.45400000000001</v>
      </c>
      <c r="L1461">
        <v>112.867</v>
      </c>
    </row>
    <row r="1462" spans="1:12" x14ac:dyDescent="0.25">
      <c r="A1462" s="12">
        <v>43713</v>
      </c>
      <c r="B1462">
        <v>285.245</v>
      </c>
      <c r="C1462">
        <v>262.59399999999999</v>
      </c>
      <c r="D1462">
        <f t="shared" si="8"/>
        <v>112.851</v>
      </c>
      <c r="E1462">
        <v>210.99199999999999</v>
      </c>
      <c r="F1462">
        <v>175.00299999999999</v>
      </c>
      <c r="G1462">
        <v>257.89800000000002</v>
      </c>
      <c r="H1462">
        <v>211.83799999999999</v>
      </c>
      <c r="I1462">
        <v>245.02799999999999</v>
      </c>
      <c r="L1462">
        <v>112.851</v>
      </c>
    </row>
    <row r="1463" spans="1:12" x14ac:dyDescent="0.25">
      <c r="A1463" s="12">
        <v>43714</v>
      </c>
      <c r="B1463">
        <v>285.77199999999999</v>
      </c>
      <c r="C1463">
        <v>262.52</v>
      </c>
      <c r="D1463">
        <f t="shared" si="8"/>
        <v>112.95399999999999</v>
      </c>
      <c r="E1463">
        <v>211.54900000000001</v>
      </c>
      <c r="F1463">
        <v>175.084</v>
      </c>
      <c r="G1463">
        <v>258.46100000000001</v>
      </c>
      <c r="H1463">
        <v>211.99</v>
      </c>
      <c r="I1463">
        <v>245.733</v>
      </c>
      <c r="L1463">
        <v>112.95399999999999</v>
      </c>
    </row>
    <row r="1464" spans="1:12" x14ac:dyDescent="0.25">
      <c r="A1464" s="12">
        <v>43717</v>
      </c>
      <c r="B1464">
        <v>286.29199999999997</v>
      </c>
      <c r="C1464">
        <v>262.262</v>
      </c>
      <c r="D1464">
        <f t="shared" si="8"/>
        <v>113.221</v>
      </c>
      <c r="E1464">
        <v>212.11099999999999</v>
      </c>
      <c r="F1464">
        <v>174.89</v>
      </c>
      <c r="G1464">
        <v>259.19</v>
      </c>
      <c r="H1464">
        <v>211.839</v>
      </c>
      <c r="I1464">
        <v>246.03399999999999</v>
      </c>
      <c r="L1464">
        <v>113.221</v>
      </c>
    </row>
    <row r="1465" spans="1:12" x14ac:dyDescent="0.25">
      <c r="A1465" s="12">
        <v>43718</v>
      </c>
      <c r="B1465">
        <v>286.68099999999998</v>
      </c>
      <c r="C1465">
        <v>262.25099999999998</v>
      </c>
      <c r="D1465">
        <f t="shared" si="8"/>
        <v>113.331</v>
      </c>
      <c r="E1465">
        <v>212.51499999999999</v>
      </c>
      <c r="F1465">
        <v>175.00399999999999</v>
      </c>
      <c r="G1465">
        <v>259.74299999999999</v>
      </c>
      <c r="H1465">
        <v>212.02099999999999</v>
      </c>
      <c r="I1465">
        <v>246.03299999999999</v>
      </c>
      <c r="L1465">
        <v>113.331</v>
      </c>
    </row>
    <row r="1466" spans="1:12" x14ac:dyDescent="0.25">
      <c r="A1466" s="12">
        <v>43719</v>
      </c>
      <c r="B1466">
        <v>286.33999999999997</v>
      </c>
      <c r="C1466">
        <v>261.92700000000002</v>
      </c>
      <c r="D1466">
        <f t="shared" si="8"/>
        <v>113.02500000000001</v>
      </c>
      <c r="E1466">
        <v>212.22</v>
      </c>
      <c r="F1466">
        <v>174.75</v>
      </c>
      <c r="G1466">
        <v>259.63799999999998</v>
      </c>
      <c r="H1466">
        <v>211.8</v>
      </c>
      <c r="I1466">
        <v>245.90700000000001</v>
      </c>
      <c r="L1466">
        <v>113.02500000000001</v>
      </c>
    </row>
    <row r="1467" spans="1:12" x14ac:dyDescent="0.25">
      <c r="A1467" s="12">
        <v>43720</v>
      </c>
      <c r="B1467">
        <v>285.99299999999999</v>
      </c>
      <c r="C1467">
        <v>261.48899999999998</v>
      </c>
      <c r="D1467">
        <f t="shared" si="8"/>
        <v>113.22</v>
      </c>
      <c r="E1467">
        <v>211.739</v>
      </c>
      <c r="F1467">
        <v>174.30699999999999</v>
      </c>
      <c r="G1467">
        <v>259.03100000000001</v>
      </c>
      <c r="H1467">
        <v>211.58199999999999</v>
      </c>
      <c r="I1467">
        <v>246.67699999999999</v>
      </c>
      <c r="L1467">
        <v>113.22</v>
      </c>
    </row>
    <row r="1468" spans="1:12" x14ac:dyDescent="0.25">
      <c r="A1468" s="12">
        <v>43721</v>
      </c>
      <c r="B1468">
        <v>286.71800000000002</v>
      </c>
      <c r="C1468">
        <v>261.64600000000002</v>
      </c>
      <c r="D1468">
        <f t="shared" si="8"/>
        <v>113.747</v>
      </c>
      <c r="E1468">
        <v>212.60499999999999</v>
      </c>
      <c r="F1468">
        <v>174.39099999999999</v>
      </c>
      <c r="G1468">
        <v>259.983</v>
      </c>
      <c r="H1468">
        <v>211.61699999999999</v>
      </c>
      <c r="I1468">
        <v>246.96899999999999</v>
      </c>
      <c r="L1468">
        <v>113.747</v>
      </c>
    </row>
    <row r="1469" spans="1:12" x14ac:dyDescent="0.25">
      <c r="A1469" s="12">
        <v>43724</v>
      </c>
      <c r="B1469">
        <v>286.23599999999999</v>
      </c>
      <c r="C1469">
        <v>260.96300000000002</v>
      </c>
      <c r="D1469">
        <f t="shared" si="8"/>
        <v>113.54600000000001</v>
      </c>
      <c r="E1469">
        <v>212.797</v>
      </c>
      <c r="F1469">
        <v>174.398</v>
      </c>
      <c r="G1469">
        <v>260.34699999999998</v>
      </c>
      <c r="H1469">
        <v>211.70400000000001</v>
      </c>
      <c r="I1469">
        <v>247.137</v>
      </c>
      <c r="L1469">
        <v>113.54600000000001</v>
      </c>
    </row>
    <row r="1470" spans="1:12" x14ac:dyDescent="0.25">
      <c r="A1470" s="12">
        <v>43725</v>
      </c>
      <c r="B1470">
        <v>286.11700000000002</v>
      </c>
      <c r="C1470">
        <v>260.79000000000002</v>
      </c>
      <c r="D1470">
        <f t="shared" si="8"/>
        <v>113.313</v>
      </c>
      <c r="E1470">
        <v>212.29400000000001</v>
      </c>
      <c r="F1470">
        <v>173.654</v>
      </c>
      <c r="G1470">
        <v>260.08800000000002</v>
      </c>
      <c r="H1470">
        <v>211.351</v>
      </c>
      <c r="I1470">
        <v>247.00399999999999</v>
      </c>
      <c r="L1470">
        <v>113.313</v>
      </c>
    </row>
    <row r="1471" spans="1:12" x14ac:dyDescent="0.25">
      <c r="A1471" s="12">
        <v>43726</v>
      </c>
      <c r="B1471">
        <v>286.041</v>
      </c>
      <c r="C1471">
        <v>260.91899999999998</v>
      </c>
      <c r="D1471">
        <f t="shared" si="8"/>
        <v>113.452</v>
      </c>
      <c r="E1471">
        <v>212.42</v>
      </c>
      <c r="F1471">
        <v>173.892</v>
      </c>
      <c r="G1471">
        <v>260.161</v>
      </c>
      <c r="H1471">
        <v>211.49199999999999</v>
      </c>
      <c r="I1471">
        <v>246.65199999999999</v>
      </c>
      <c r="L1471">
        <v>113.452</v>
      </c>
    </row>
    <row r="1472" spans="1:12" x14ac:dyDescent="0.25">
      <c r="A1472" s="12">
        <v>43727</v>
      </c>
      <c r="B1472">
        <v>286.19099999999997</v>
      </c>
      <c r="C1472">
        <v>261.09300000000002</v>
      </c>
      <c r="D1472">
        <f t="shared" si="8"/>
        <v>113.357</v>
      </c>
      <c r="E1472">
        <v>212.089</v>
      </c>
      <c r="F1472">
        <v>173.80099999999999</v>
      </c>
      <c r="G1472">
        <v>259.75</v>
      </c>
      <c r="H1472">
        <v>211.35499999999999</v>
      </c>
      <c r="I1472">
        <v>246.643</v>
      </c>
      <c r="L1472">
        <v>113.357</v>
      </c>
    </row>
    <row r="1473" spans="1:12" x14ac:dyDescent="0.25">
      <c r="A1473" s="12">
        <v>43728</v>
      </c>
      <c r="B1473">
        <v>286.38299999999998</v>
      </c>
      <c r="C1473">
        <v>261.14400000000001</v>
      </c>
      <c r="D1473">
        <f t="shared" si="8"/>
        <v>113.48399999999999</v>
      </c>
      <c r="E1473">
        <v>212.17500000000001</v>
      </c>
      <c r="F1473">
        <v>173.941</v>
      </c>
      <c r="G1473">
        <v>259.93900000000002</v>
      </c>
      <c r="H1473">
        <v>211.50399999999999</v>
      </c>
      <c r="I1473">
        <v>247.06800000000001</v>
      </c>
      <c r="L1473">
        <v>113.48399999999999</v>
      </c>
    </row>
    <row r="1474" spans="1:12" x14ac:dyDescent="0.25">
      <c r="A1474" s="12">
        <v>43731</v>
      </c>
      <c r="B1474">
        <v>286.63200000000001</v>
      </c>
      <c r="C1474">
        <v>261.31400000000002</v>
      </c>
      <c r="D1474">
        <f t="shared" si="8"/>
        <v>113.65300000000001</v>
      </c>
      <c r="E1474">
        <v>212.393</v>
      </c>
      <c r="F1474">
        <v>174.01</v>
      </c>
      <c r="G1474">
        <v>260.399</v>
      </c>
      <c r="H1474">
        <v>211.50899999999999</v>
      </c>
      <c r="I1474">
        <v>247.29</v>
      </c>
      <c r="L1474">
        <v>113.65300000000001</v>
      </c>
    </row>
    <row r="1475" spans="1:12" x14ac:dyDescent="0.25">
      <c r="A1475" s="12">
        <v>43732</v>
      </c>
      <c r="B1475">
        <v>286.88</v>
      </c>
      <c r="C1475">
        <v>261.71499999999997</v>
      </c>
      <c r="D1475">
        <f t="shared" si="8"/>
        <v>113.76600000000001</v>
      </c>
      <c r="E1475">
        <v>212.66399999999999</v>
      </c>
      <c r="F1475">
        <v>174.27500000000001</v>
      </c>
      <c r="G1475">
        <v>260.68599999999998</v>
      </c>
      <c r="H1475">
        <v>211.626</v>
      </c>
      <c r="I1475">
        <v>246.911</v>
      </c>
      <c r="L1475">
        <v>113.76600000000001</v>
      </c>
    </row>
    <row r="1476" spans="1:12" x14ac:dyDescent="0.25">
      <c r="A1476" s="12">
        <v>43733</v>
      </c>
      <c r="B1476">
        <v>286.82299999999998</v>
      </c>
      <c r="C1476">
        <v>261.95800000000003</v>
      </c>
      <c r="D1476">
        <f t="shared" si="8"/>
        <v>113.944</v>
      </c>
      <c r="E1476">
        <v>212.69200000000001</v>
      </c>
      <c r="F1476">
        <v>174.47200000000001</v>
      </c>
      <c r="G1476">
        <v>260.34500000000003</v>
      </c>
      <c r="H1476">
        <v>211.863</v>
      </c>
      <c r="I1476">
        <v>246.82400000000001</v>
      </c>
      <c r="L1476">
        <v>113.944</v>
      </c>
    </row>
    <row r="1477" spans="1:12" x14ac:dyDescent="0.25">
      <c r="A1477" s="12">
        <v>43734</v>
      </c>
      <c r="B1477">
        <v>286.66300000000001</v>
      </c>
      <c r="C1477">
        <v>262.12599999999998</v>
      </c>
      <c r="D1477">
        <f t="shared" si="8"/>
        <v>113.754</v>
      </c>
      <c r="E1477">
        <v>212.42</v>
      </c>
      <c r="F1477">
        <v>174.39</v>
      </c>
      <c r="G1477">
        <v>260.32</v>
      </c>
      <c r="H1477">
        <v>211.869</v>
      </c>
      <c r="I1477">
        <v>246.548</v>
      </c>
      <c r="L1477">
        <v>113.754</v>
      </c>
    </row>
    <row r="1478" spans="1:12" x14ac:dyDescent="0.25">
      <c r="A1478" s="12">
        <v>43735</v>
      </c>
      <c r="B1478">
        <v>286.464</v>
      </c>
      <c r="C1478">
        <v>261.93700000000001</v>
      </c>
      <c r="D1478">
        <f t="shared" si="8"/>
        <v>113.895</v>
      </c>
      <c r="E1478">
        <v>212.083</v>
      </c>
      <c r="F1478">
        <v>174.23500000000001</v>
      </c>
      <c r="G1478">
        <v>259.53300000000002</v>
      </c>
      <c r="H1478">
        <v>211.61500000000001</v>
      </c>
      <c r="I1478">
        <v>246.886</v>
      </c>
      <c r="L1478">
        <v>113.895</v>
      </c>
    </row>
    <row r="1479" spans="1:12" x14ac:dyDescent="0.25">
      <c r="A1479" s="12">
        <v>43738</v>
      </c>
      <c r="B1479">
        <v>286.80399999999997</v>
      </c>
      <c r="C1479">
        <v>261.87099999999998</v>
      </c>
      <c r="D1479">
        <f t="shared" si="8"/>
        <v>114.026</v>
      </c>
      <c r="E1479">
        <v>212.51300000000001</v>
      </c>
      <c r="F1479">
        <v>174.43700000000001</v>
      </c>
      <c r="G1479">
        <v>260.16199999999998</v>
      </c>
      <c r="H1479">
        <v>211.69900000000001</v>
      </c>
      <c r="I1479">
        <v>247.19499999999999</v>
      </c>
      <c r="L1479">
        <v>114.026</v>
      </c>
    </row>
    <row r="1480" spans="1:12" x14ac:dyDescent="0.25">
      <c r="A1480" s="12">
        <v>43739</v>
      </c>
      <c r="B1480">
        <v>286.80700000000002</v>
      </c>
      <c r="C1480">
        <v>262.01600000000002</v>
      </c>
      <c r="D1480">
        <f t="shared" si="8"/>
        <v>114.006</v>
      </c>
      <c r="E1480">
        <v>212.36199999999999</v>
      </c>
      <c r="F1480">
        <v>174.47</v>
      </c>
      <c r="G1480">
        <v>260.428</v>
      </c>
      <c r="H1480">
        <v>211.73500000000001</v>
      </c>
      <c r="I1480">
        <v>247.33</v>
      </c>
      <c r="L1480">
        <v>114.006</v>
      </c>
    </row>
    <row r="1481" spans="1:12" x14ac:dyDescent="0.25">
      <c r="A1481" s="12">
        <v>43740</v>
      </c>
      <c r="B1481">
        <v>286.99400000000003</v>
      </c>
      <c r="C1481">
        <v>261.87299999999999</v>
      </c>
      <c r="D1481">
        <f t="shared" si="8"/>
        <v>114.172</v>
      </c>
      <c r="E1481">
        <v>212.626</v>
      </c>
      <c r="F1481">
        <v>174.59</v>
      </c>
      <c r="G1481">
        <v>260.43299999999999</v>
      </c>
      <c r="H1481">
        <v>211.768</v>
      </c>
      <c r="I1481">
        <v>246.47</v>
      </c>
      <c r="L1481">
        <v>114.172</v>
      </c>
    </row>
    <row r="1482" spans="1:12" x14ac:dyDescent="0.25">
      <c r="A1482" s="12">
        <v>43741</v>
      </c>
      <c r="B1482">
        <v>286.47500000000002</v>
      </c>
      <c r="C1482">
        <v>262.06200000000001</v>
      </c>
      <c r="D1482">
        <f t="shared" si="8"/>
        <v>113.28700000000001</v>
      </c>
      <c r="E1482">
        <v>212.018</v>
      </c>
      <c r="F1482">
        <v>174.453</v>
      </c>
      <c r="G1482">
        <v>259.84399999999999</v>
      </c>
      <c r="H1482">
        <v>211.65600000000001</v>
      </c>
      <c r="I1482">
        <v>244.75800000000001</v>
      </c>
      <c r="L1482">
        <v>113.28700000000001</v>
      </c>
    </row>
    <row r="1483" spans="1:12" x14ac:dyDescent="0.25">
      <c r="A1483" s="12">
        <v>43742</v>
      </c>
      <c r="B1483">
        <v>284.80500000000001</v>
      </c>
      <c r="C1483">
        <v>262.24099999999999</v>
      </c>
      <c r="D1483">
        <f t="shared" si="8"/>
        <v>112.41</v>
      </c>
      <c r="E1483">
        <v>210.35599999999999</v>
      </c>
      <c r="F1483">
        <v>174.167</v>
      </c>
      <c r="G1483">
        <v>258.637</v>
      </c>
      <c r="H1483">
        <v>211.535</v>
      </c>
      <c r="I1483">
        <v>244.81</v>
      </c>
      <c r="L1483">
        <v>112.41</v>
      </c>
    </row>
    <row r="1484" spans="1:12" x14ac:dyDescent="0.25">
      <c r="A1484" s="12">
        <v>43745</v>
      </c>
      <c r="B1484">
        <v>285.16199999999998</v>
      </c>
      <c r="C1484">
        <v>262.399</v>
      </c>
      <c r="D1484">
        <f t="shared" si="8"/>
        <v>112.75</v>
      </c>
      <c r="E1484">
        <v>210.30799999999999</v>
      </c>
      <c r="F1484">
        <v>174.19300000000001</v>
      </c>
      <c r="G1484">
        <v>257.24400000000003</v>
      </c>
      <c r="H1484">
        <v>211.791</v>
      </c>
      <c r="I1484">
        <v>245.50299999999999</v>
      </c>
      <c r="L1484">
        <v>112.75</v>
      </c>
    </row>
    <row r="1485" spans="1:12" x14ac:dyDescent="0.25">
      <c r="A1485" s="12">
        <v>43746</v>
      </c>
      <c r="B1485">
        <v>285.839</v>
      </c>
      <c r="C1485">
        <v>262.476</v>
      </c>
      <c r="D1485">
        <f t="shared" si="8"/>
        <v>113.16</v>
      </c>
      <c r="E1485">
        <v>211.31</v>
      </c>
      <c r="F1485">
        <v>174.429</v>
      </c>
      <c r="G1485">
        <v>258.44499999999999</v>
      </c>
      <c r="H1485">
        <v>212.053</v>
      </c>
      <c r="I1485">
        <v>246.001</v>
      </c>
      <c r="L1485">
        <v>113.16</v>
      </c>
    </row>
    <row r="1486" spans="1:12" x14ac:dyDescent="0.25">
      <c r="A1486" s="12">
        <v>43747</v>
      </c>
      <c r="B1486">
        <v>285.68299999999999</v>
      </c>
      <c r="C1486">
        <v>262.43200000000002</v>
      </c>
      <c r="D1486">
        <f t="shared" si="8"/>
        <v>112.905</v>
      </c>
      <c r="E1486">
        <v>211.374</v>
      </c>
      <c r="F1486">
        <v>174.38800000000001</v>
      </c>
      <c r="G1486">
        <v>258.92200000000003</v>
      </c>
      <c r="H1486">
        <v>211.95500000000001</v>
      </c>
      <c r="I1486">
        <v>245.11199999999999</v>
      </c>
      <c r="L1486">
        <v>112.905</v>
      </c>
    </row>
    <row r="1487" spans="1:12" x14ac:dyDescent="0.25">
      <c r="A1487" s="12">
        <v>43748</v>
      </c>
      <c r="B1487">
        <v>285.005</v>
      </c>
      <c r="C1487">
        <v>262.334</v>
      </c>
      <c r="D1487">
        <f t="shared" si="8"/>
        <v>112.58499999999999</v>
      </c>
      <c r="E1487">
        <v>210.70599999999999</v>
      </c>
      <c r="F1487">
        <v>174.36199999999999</v>
      </c>
      <c r="G1487">
        <v>258.06599999999997</v>
      </c>
      <c r="H1487">
        <v>211.96799999999999</v>
      </c>
      <c r="I1487">
        <v>245.458</v>
      </c>
      <c r="L1487">
        <v>112.58499999999999</v>
      </c>
    </row>
    <row r="1488" spans="1:12" x14ac:dyDescent="0.25">
      <c r="A1488" s="12">
        <v>43749</v>
      </c>
      <c r="B1488">
        <v>285.041</v>
      </c>
      <c r="C1488">
        <v>261.86</v>
      </c>
      <c r="D1488">
        <f t="shared" si="8"/>
        <v>112.587</v>
      </c>
      <c r="E1488">
        <v>210.809</v>
      </c>
      <c r="F1488">
        <v>174.18700000000001</v>
      </c>
      <c r="G1488">
        <v>257.97500000000002</v>
      </c>
      <c r="H1488">
        <v>211.78899999999999</v>
      </c>
      <c r="I1488">
        <v>246.01499999999999</v>
      </c>
      <c r="L1488">
        <v>112.587</v>
      </c>
    </row>
    <row r="1489" spans="1:12" x14ac:dyDescent="0.25">
      <c r="A1489" s="12">
        <v>43752</v>
      </c>
      <c r="B1489">
        <v>285.04599999999999</v>
      </c>
      <c r="C1489">
        <v>261.42399999999998</v>
      </c>
      <c r="D1489">
        <f t="shared" si="8"/>
        <v>112.68</v>
      </c>
      <c r="E1489">
        <v>210.89099999999999</v>
      </c>
      <c r="F1489">
        <v>173.89400000000001</v>
      </c>
      <c r="G1489">
        <v>258.23500000000001</v>
      </c>
      <c r="H1489">
        <v>211.55699999999999</v>
      </c>
      <c r="I1489">
        <v>247.57400000000001</v>
      </c>
      <c r="L1489">
        <v>112.68</v>
      </c>
    </row>
    <row r="1490" spans="1:12" x14ac:dyDescent="0.25">
      <c r="A1490" s="12">
        <v>43753</v>
      </c>
      <c r="B1490">
        <v>285.94600000000003</v>
      </c>
      <c r="C1490">
        <v>261.24299999999999</v>
      </c>
      <c r="D1490">
        <f t="shared" si="8"/>
        <v>113.042</v>
      </c>
      <c r="E1490">
        <v>211.84100000000001</v>
      </c>
      <c r="F1490">
        <v>173.82499999999999</v>
      </c>
      <c r="G1490">
        <v>259.72899999999998</v>
      </c>
      <c r="H1490">
        <v>211.536</v>
      </c>
      <c r="I1490">
        <v>247.184</v>
      </c>
      <c r="L1490">
        <v>113.042</v>
      </c>
    </row>
    <row r="1491" spans="1:12" x14ac:dyDescent="0.25">
      <c r="A1491" s="12">
        <v>43754</v>
      </c>
      <c r="B1491">
        <v>286.22199999999998</v>
      </c>
      <c r="C1491">
        <v>261.42899999999997</v>
      </c>
      <c r="D1491">
        <f t="shared" ref="D1491:D1554" si="9">IF(L1491&gt;1,L1491,L1491*100)</f>
        <v>113.18</v>
      </c>
      <c r="E1491">
        <v>211.84399999999999</v>
      </c>
      <c r="F1491">
        <v>173.91300000000001</v>
      </c>
      <c r="G1491">
        <v>259.59199999999998</v>
      </c>
      <c r="H1491">
        <v>211.59299999999999</v>
      </c>
      <c r="I1491">
        <v>247.88399999999999</v>
      </c>
      <c r="L1491">
        <v>113.18</v>
      </c>
    </row>
    <row r="1492" spans="1:12" x14ac:dyDescent="0.25">
      <c r="A1492" s="12">
        <v>43755</v>
      </c>
      <c r="B1492">
        <v>286.77999999999997</v>
      </c>
      <c r="C1492">
        <v>261.21199999999999</v>
      </c>
      <c r="D1492">
        <f t="shared" si="9"/>
        <v>113.352</v>
      </c>
      <c r="E1492">
        <v>212.33600000000001</v>
      </c>
      <c r="F1492">
        <v>173.88499999999999</v>
      </c>
      <c r="G1492">
        <v>260.11700000000002</v>
      </c>
      <c r="H1492">
        <v>211.44399999999999</v>
      </c>
      <c r="I1492">
        <v>247.86699999999999</v>
      </c>
      <c r="L1492">
        <v>113.352</v>
      </c>
    </row>
    <row r="1493" spans="1:12" x14ac:dyDescent="0.25">
      <c r="A1493" s="12">
        <v>43756</v>
      </c>
      <c r="B1493">
        <v>286.61500000000001</v>
      </c>
      <c r="C1493">
        <v>261.04700000000003</v>
      </c>
      <c r="D1493">
        <f t="shared" si="9"/>
        <v>113.16</v>
      </c>
      <c r="E1493">
        <v>212.154</v>
      </c>
      <c r="F1493">
        <v>173.708</v>
      </c>
      <c r="G1493">
        <v>259.99200000000002</v>
      </c>
      <c r="H1493">
        <v>211.34800000000001</v>
      </c>
      <c r="I1493">
        <v>247.72800000000001</v>
      </c>
      <c r="L1493">
        <v>113.16</v>
      </c>
    </row>
    <row r="1494" spans="1:12" x14ac:dyDescent="0.25">
      <c r="A1494" s="12">
        <v>43759</v>
      </c>
      <c r="B1494">
        <v>286.63</v>
      </c>
      <c r="C1494">
        <v>260.995</v>
      </c>
      <c r="D1494">
        <f t="shared" si="9"/>
        <v>112.958</v>
      </c>
      <c r="E1494">
        <v>211.89400000000001</v>
      </c>
      <c r="F1494">
        <v>173.42400000000001</v>
      </c>
      <c r="G1494">
        <v>259.678</v>
      </c>
      <c r="H1494">
        <v>211.346</v>
      </c>
      <c r="I1494">
        <v>247.34200000000001</v>
      </c>
      <c r="L1494">
        <v>112.958</v>
      </c>
    </row>
    <row r="1495" spans="1:12" x14ac:dyDescent="0.25">
      <c r="A1495" s="12">
        <v>43760</v>
      </c>
      <c r="B1495">
        <v>286.22199999999998</v>
      </c>
      <c r="C1495">
        <v>260.88900000000001</v>
      </c>
      <c r="D1495">
        <f t="shared" si="9"/>
        <v>112.718</v>
      </c>
      <c r="E1495">
        <v>211.51599999999999</v>
      </c>
      <c r="F1495">
        <v>173.398</v>
      </c>
      <c r="G1495">
        <v>259.38299999999998</v>
      </c>
      <c r="H1495">
        <v>211.417</v>
      </c>
      <c r="I1495">
        <v>247.61699999999999</v>
      </c>
      <c r="L1495">
        <v>112.718</v>
      </c>
    </row>
    <row r="1496" spans="1:12" x14ac:dyDescent="0.25">
      <c r="A1496" s="12">
        <v>43761</v>
      </c>
      <c r="B1496">
        <v>286.72300000000001</v>
      </c>
      <c r="C1496">
        <v>260.96600000000001</v>
      </c>
      <c r="D1496">
        <f t="shared" si="9"/>
        <v>112.98</v>
      </c>
      <c r="E1496">
        <v>211.643</v>
      </c>
      <c r="F1496">
        <v>173.24100000000001</v>
      </c>
      <c r="G1496">
        <v>259.71199999999999</v>
      </c>
      <c r="H1496">
        <v>211.262</v>
      </c>
      <c r="I1496">
        <v>247.99299999999999</v>
      </c>
      <c r="L1496">
        <v>112.98</v>
      </c>
    </row>
    <row r="1497" spans="1:12" x14ac:dyDescent="0.25">
      <c r="A1497" s="12">
        <v>43762</v>
      </c>
      <c r="B1497">
        <v>286.86200000000002</v>
      </c>
      <c r="C1497">
        <v>261.21899999999999</v>
      </c>
      <c r="D1497">
        <f t="shared" si="9"/>
        <v>113.035</v>
      </c>
      <c r="E1497">
        <v>211.988</v>
      </c>
      <c r="F1497">
        <v>173.42099999999999</v>
      </c>
      <c r="G1497">
        <v>260.11099999999999</v>
      </c>
      <c r="H1497">
        <v>211.523</v>
      </c>
      <c r="I1497">
        <v>248.06299999999999</v>
      </c>
      <c r="L1497">
        <v>113.035</v>
      </c>
    </row>
    <row r="1498" spans="1:12" x14ac:dyDescent="0.25">
      <c r="A1498" s="12">
        <v>43763</v>
      </c>
      <c r="B1498">
        <v>287.07400000000001</v>
      </c>
      <c r="C1498">
        <v>261.303</v>
      </c>
      <c r="D1498">
        <f t="shared" si="9"/>
        <v>113.31</v>
      </c>
      <c r="E1498">
        <v>212.12799999999999</v>
      </c>
      <c r="F1498">
        <v>173.54300000000001</v>
      </c>
      <c r="G1498">
        <v>260.108</v>
      </c>
      <c r="H1498">
        <v>211.631</v>
      </c>
      <c r="I1498">
        <v>248.55699999999999</v>
      </c>
      <c r="L1498">
        <v>113.31</v>
      </c>
    </row>
    <row r="1499" spans="1:12" x14ac:dyDescent="0.25">
      <c r="A1499" s="12">
        <v>43766</v>
      </c>
      <c r="B1499">
        <v>287.52300000000002</v>
      </c>
      <c r="C1499">
        <v>261.34500000000003</v>
      </c>
      <c r="D1499">
        <f t="shared" si="9"/>
        <v>113.538</v>
      </c>
      <c r="E1499">
        <v>212.62299999999999</v>
      </c>
      <c r="F1499">
        <v>173.67400000000001</v>
      </c>
      <c r="G1499">
        <v>260.82900000000001</v>
      </c>
      <c r="H1499">
        <v>211.79300000000001</v>
      </c>
      <c r="I1499">
        <v>248.685</v>
      </c>
      <c r="L1499">
        <v>113.538</v>
      </c>
    </row>
    <row r="1500" spans="1:12" x14ac:dyDescent="0.25">
      <c r="A1500" s="12">
        <v>43767</v>
      </c>
      <c r="B1500">
        <v>287.45</v>
      </c>
      <c r="C1500">
        <v>261.24599999999998</v>
      </c>
      <c r="D1500">
        <f t="shared" si="9"/>
        <v>113.69199999999999</v>
      </c>
      <c r="E1500">
        <v>212.845</v>
      </c>
      <c r="F1500">
        <v>173.72300000000001</v>
      </c>
      <c r="G1500">
        <v>261.18799999999999</v>
      </c>
      <c r="H1500">
        <v>211.80099999999999</v>
      </c>
      <c r="I1500">
        <v>248.88399999999999</v>
      </c>
      <c r="L1500">
        <v>113.69199999999999</v>
      </c>
    </row>
    <row r="1501" spans="1:12" x14ac:dyDescent="0.25">
      <c r="A1501" s="12">
        <v>43768</v>
      </c>
      <c r="B1501">
        <v>287.63499999999999</v>
      </c>
      <c r="C1501">
        <v>261.04300000000001</v>
      </c>
      <c r="D1501">
        <f t="shared" si="9"/>
        <v>113.727</v>
      </c>
      <c r="E1501">
        <v>213.042</v>
      </c>
      <c r="F1501">
        <v>173.51</v>
      </c>
      <c r="G1501">
        <v>261.59100000000001</v>
      </c>
      <c r="H1501">
        <v>211.68100000000001</v>
      </c>
      <c r="I1501">
        <v>248.751</v>
      </c>
      <c r="L1501">
        <v>113.727</v>
      </c>
    </row>
    <row r="1502" spans="1:12" x14ac:dyDescent="0.25">
      <c r="A1502" s="12">
        <v>43769</v>
      </c>
      <c r="B1502">
        <v>287.565</v>
      </c>
      <c r="C1502">
        <v>261.08600000000001</v>
      </c>
      <c r="D1502">
        <f t="shared" si="9"/>
        <v>113.68300000000001</v>
      </c>
      <c r="E1502">
        <v>212.98699999999999</v>
      </c>
      <c r="F1502">
        <v>173.47200000000001</v>
      </c>
      <c r="G1502">
        <v>261.55099999999999</v>
      </c>
      <c r="H1502">
        <v>211.67</v>
      </c>
      <c r="I1502">
        <v>248.67</v>
      </c>
      <c r="L1502">
        <v>113.68300000000001</v>
      </c>
    </row>
    <row r="1503" spans="1:12" x14ac:dyDescent="0.25">
      <c r="A1503" s="12">
        <v>43770</v>
      </c>
      <c r="B1503">
        <v>287.70299999999997</v>
      </c>
      <c r="C1503">
        <v>261.31799999999998</v>
      </c>
      <c r="D1503">
        <f t="shared" si="9"/>
        <v>113.74299999999999</v>
      </c>
      <c r="E1503">
        <v>212.78200000000001</v>
      </c>
      <c r="F1503">
        <v>173.346</v>
      </c>
      <c r="G1503">
        <v>261.21100000000001</v>
      </c>
      <c r="H1503">
        <v>211.49</v>
      </c>
      <c r="I1503">
        <v>248.428</v>
      </c>
      <c r="L1503">
        <v>113.74299999999999</v>
      </c>
    </row>
    <row r="1504" spans="1:12" x14ac:dyDescent="0.25">
      <c r="A1504" s="12">
        <v>43773</v>
      </c>
      <c r="B1504">
        <v>288.08</v>
      </c>
      <c r="C1504">
        <v>261.69200000000001</v>
      </c>
      <c r="D1504">
        <f t="shared" si="9"/>
        <v>113.761</v>
      </c>
      <c r="E1504">
        <v>212.71700000000001</v>
      </c>
      <c r="F1504">
        <v>173.512</v>
      </c>
      <c r="G1504">
        <v>261.04199999999997</v>
      </c>
      <c r="H1504">
        <v>211.666</v>
      </c>
      <c r="I1504">
        <v>249.054</v>
      </c>
      <c r="L1504">
        <v>113.761</v>
      </c>
    </row>
    <row r="1505" spans="1:12" x14ac:dyDescent="0.25">
      <c r="A1505" s="12">
        <v>43774</v>
      </c>
      <c r="B1505">
        <v>288.31099999999998</v>
      </c>
      <c r="C1505">
        <v>261.57499999999999</v>
      </c>
      <c r="D1505">
        <f t="shared" si="9"/>
        <v>114.066</v>
      </c>
      <c r="E1505">
        <v>213.21100000000001</v>
      </c>
      <c r="F1505">
        <v>173.66399999999999</v>
      </c>
      <c r="G1505">
        <v>261.62200000000001</v>
      </c>
      <c r="H1505">
        <v>211.63800000000001</v>
      </c>
      <c r="I1505">
        <v>249.86199999999999</v>
      </c>
      <c r="L1505">
        <v>114.066</v>
      </c>
    </row>
    <row r="1506" spans="1:12" x14ac:dyDescent="0.25">
      <c r="A1506" s="12">
        <v>43775</v>
      </c>
      <c r="B1506">
        <v>288.64699999999999</v>
      </c>
      <c r="C1506">
        <v>261.38</v>
      </c>
      <c r="D1506">
        <f t="shared" si="9"/>
        <v>114.32299999999999</v>
      </c>
      <c r="E1506">
        <v>214.02600000000001</v>
      </c>
      <c r="F1506">
        <v>173.71600000000001</v>
      </c>
      <c r="G1506">
        <v>262.53399999999999</v>
      </c>
      <c r="H1506">
        <v>211.62899999999999</v>
      </c>
      <c r="I1506">
        <v>250.18100000000001</v>
      </c>
      <c r="L1506">
        <v>114.32299999999999</v>
      </c>
    </row>
    <row r="1507" spans="1:12" x14ac:dyDescent="0.25">
      <c r="A1507" s="12">
        <v>43776</v>
      </c>
      <c r="B1507">
        <v>288.80900000000003</v>
      </c>
      <c r="C1507">
        <v>261.25700000000001</v>
      </c>
      <c r="D1507">
        <f t="shared" si="9"/>
        <v>114.511</v>
      </c>
      <c r="E1507">
        <v>214.482</v>
      </c>
      <c r="F1507">
        <v>173.72399999999999</v>
      </c>
      <c r="G1507">
        <v>262.93299999999999</v>
      </c>
      <c r="H1507">
        <v>211.61799999999999</v>
      </c>
      <c r="I1507">
        <v>250.346</v>
      </c>
      <c r="L1507">
        <v>114.511</v>
      </c>
    </row>
    <row r="1508" spans="1:12" x14ac:dyDescent="0.25">
      <c r="A1508" s="12">
        <v>43777</v>
      </c>
      <c r="B1508">
        <v>289.01499999999999</v>
      </c>
      <c r="C1508">
        <v>261.22399999999999</v>
      </c>
      <c r="D1508">
        <f t="shared" si="9"/>
        <v>114.673</v>
      </c>
      <c r="E1508">
        <v>214.523</v>
      </c>
      <c r="F1508">
        <v>173.755</v>
      </c>
      <c r="G1508">
        <v>263.029</v>
      </c>
      <c r="H1508">
        <v>211.655</v>
      </c>
      <c r="I1508">
        <v>250.62899999999999</v>
      </c>
      <c r="L1508">
        <v>114.673</v>
      </c>
    </row>
    <row r="1509" spans="1:12" x14ac:dyDescent="0.25">
      <c r="A1509" s="12">
        <v>43780</v>
      </c>
      <c r="B1509">
        <v>288.93099999999998</v>
      </c>
      <c r="C1509">
        <v>260.916</v>
      </c>
      <c r="D1509">
        <f t="shared" si="9"/>
        <v>114.68</v>
      </c>
      <c r="E1509">
        <v>214.77199999999999</v>
      </c>
      <c r="F1509">
        <v>173.553</v>
      </c>
      <c r="G1509">
        <v>263.447</v>
      </c>
      <c r="H1509">
        <v>211.36799999999999</v>
      </c>
      <c r="I1509">
        <v>250.35499999999999</v>
      </c>
      <c r="L1509">
        <v>114.68</v>
      </c>
    </row>
    <row r="1510" spans="1:12" x14ac:dyDescent="0.25">
      <c r="A1510" s="12">
        <v>43781</v>
      </c>
      <c r="B1510">
        <v>288.79599999999999</v>
      </c>
      <c r="C1510">
        <v>260.77600000000001</v>
      </c>
      <c r="D1510">
        <f t="shared" si="9"/>
        <v>114.755</v>
      </c>
      <c r="E1510">
        <v>214.63300000000001</v>
      </c>
      <c r="F1510">
        <v>173.596</v>
      </c>
      <c r="G1510">
        <v>263.25599999999997</v>
      </c>
      <c r="H1510">
        <v>211.33600000000001</v>
      </c>
      <c r="I1510">
        <v>250.089</v>
      </c>
      <c r="L1510">
        <v>114.755</v>
      </c>
    </row>
    <row r="1511" spans="1:12" x14ac:dyDescent="0.25">
      <c r="A1511" s="12">
        <v>43782</v>
      </c>
      <c r="B1511">
        <v>288.79399999999998</v>
      </c>
      <c r="C1511">
        <v>260.82299999999998</v>
      </c>
      <c r="D1511">
        <f t="shared" si="9"/>
        <v>114.744</v>
      </c>
      <c r="E1511">
        <v>214.209</v>
      </c>
      <c r="F1511">
        <v>173.43199999999999</v>
      </c>
      <c r="G1511">
        <v>262.98</v>
      </c>
      <c r="H1511">
        <v>211.16499999999999</v>
      </c>
      <c r="I1511">
        <v>250.42500000000001</v>
      </c>
      <c r="L1511">
        <v>114.744</v>
      </c>
    </row>
    <row r="1512" spans="1:12" x14ac:dyDescent="0.25">
      <c r="A1512" s="12">
        <v>43783</v>
      </c>
      <c r="B1512">
        <v>289.27699999999999</v>
      </c>
      <c r="C1512">
        <v>261.02600000000001</v>
      </c>
      <c r="D1512">
        <f t="shared" si="9"/>
        <v>114.908</v>
      </c>
      <c r="E1512">
        <v>214.559</v>
      </c>
      <c r="F1512">
        <v>173.47300000000001</v>
      </c>
      <c r="G1512">
        <v>263.32600000000002</v>
      </c>
      <c r="H1512">
        <v>211.07499999999999</v>
      </c>
      <c r="I1512">
        <v>250.083</v>
      </c>
      <c r="L1512">
        <v>114.908</v>
      </c>
    </row>
    <row r="1513" spans="1:12" x14ac:dyDescent="0.25">
      <c r="A1513" s="12">
        <v>43784</v>
      </c>
      <c r="B1513">
        <v>289.10399999999998</v>
      </c>
      <c r="C1513">
        <v>261.25299999999999</v>
      </c>
      <c r="D1513">
        <f t="shared" si="9"/>
        <v>115.04300000000001</v>
      </c>
      <c r="E1513">
        <v>214.203</v>
      </c>
      <c r="F1513">
        <v>173.43700000000001</v>
      </c>
      <c r="G1513">
        <v>263.09500000000003</v>
      </c>
      <c r="H1513">
        <v>211.078</v>
      </c>
      <c r="I1513">
        <v>249.90700000000001</v>
      </c>
      <c r="L1513">
        <v>115.04300000000001</v>
      </c>
    </row>
    <row r="1514" spans="1:12" x14ac:dyDescent="0.25">
      <c r="A1514" s="12">
        <v>43788</v>
      </c>
      <c r="B1514">
        <v>289.5</v>
      </c>
      <c r="C1514">
        <v>261.27800000000002</v>
      </c>
      <c r="D1514">
        <f t="shared" si="9"/>
        <v>115.05500000000001</v>
      </c>
      <c r="E1514">
        <v>214.28299999999999</v>
      </c>
      <c r="F1514">
        <v>173.62299999999999</v>
      </c>
      <c r="G1514">
        <v>263.08800000000002</v>
      </c>
      <c r="H1514">
        <v>211.268</v>
      </c>
      <c r="I1514">
        <v>250.328</v>
      </c>
      <c r="L1514">
        <v>115.05500000000001</v>
      </c>
    </row>
    <row r="1515" spans="1:12" x14ac:dyDescent="0.25">
      <c r="A1515" s="12">
        <v>43789</v>
      </c>
      <c r="B1515">
        <v>289.93700000000001</v>
      </c>
      <c r="C1515">
        <v>261.298</v>
      </c>
      <c r="D1515">
        <f t="shared" si="9"/>
        <v>115.11799999999999</v>
      </c>
      <c r="E1515">
        <v>214.387</v>
      </c>
      <c r="F1515">
        <v>173.26300000000001</v>
      </c>
      <c r="G1515">
        <v>263.40499999999997</v>
      </c>
      <c r="H1515">
        <v>211.255</v>
      </c>
      <c r="I1515">
        <v>250.27</v>
      </c>
      <c r="L1515">
        <v>115.11799999999999</v>
      </c>
    </row>
    <row r="1516" spans="1:12" x14ac:dyDescent="0.25">
      <c r="A1516" s="12">
        <v>43790</v>
      </c>
      <c r="B1516">
        <v>290.08999999999997</v>
      </c>
      <c r="C1516">
        <v>261.50599999999997</v>
      </c>
      <c r="D1516">
        <f t="shared" si="9"/>
        <v>115.113</v>
      </c>
      <c r="E1516">
        <v>214.345</v>
      </c>
      <c r="F1516">
        <v>173.036</v>
      </c>
      <c r="G1516">
        <v>263.411</v>
      </c>
      <c r="H1516">
        <v>211.15299999999999</v>
      </c>
      <c r="I1516">
        <v>250.06</v>
      </c>
      <c r="L1516">
        <v>115.113</v>
      </c>
    </row>
    <row r="1517" spans="1:12" x14ac:dyDescent="0.25">
      <c r="A1517" s="12">
        <v>43791</v>
      </c>
      <c r="B1517">
        <v>289.74</v>
      </c>
      <c r="C1517">
        <v>261.50900000000001</v>
      </c>
      <c r="D1517">
        <f t="shared" si="9"/>
        <v>114.896</v>
      </c>
      <c r="E1517">
        <v>214.16800000000001</v>
      </c>
      <c r="F1517">
        <v>173.124</v>
      </c>
      <c r="G1517">
        <v>263.31099999999998</v>
      </c>
      <c r="H1517">
        <v>211.22900000000001</v>
      </c>
      <c r="I1517">
        <v>249.62700000000001</v>
      </c>
      <c r="L1517">
        <v>114.896</v>
      </c>
    </row>
    <row r="1518" spans="1:12" x14ac:dyDescent="0.25">
      <c r="A1518" s="12">
        <v>43794</v>
      </c>
      <c r="B1518">
        <v>289.649</v>
      </c>
      <c r="C1518">
        <v>261.54500000000002</v>
      </c>
      <c r="D1518">
        <f t="shared" si="9"/>
        <v>114.83499999999999</v>
      </c>
      <c r="E1518">
        <v>213.63800000000001</v>
      </c>
      <c r="F1518">
        <v>172.99100000000001</v>
      </c>
      <c r="G1518">
        <v>262.83699999999999</v>
      </c>
      <c r="H1518">
        <v>211.14599999999999</v>
      </c>
      <c r="I1518">
        <v>250.03</v>
      </c>
      <c r="L1518">
        <v>114.83499999999999</v>
      </c>
    </row>
    <row r="1519" spans="1:12" x14ac:dyDescent="0.25">
      <c r="A1519" s="12">
        <v>43795</v>
      </c>
      <c r="B1519">
        <v>290.077</v>
      </c>
      <c r="C1519">
        <v>261.62599999999998</v>
      </c>
      <c r="D1519">
        <f t="shared" si="9"/>
        <v>115.31</v>
      </c>
      <c r="E1519">
        <v>214.14099999999999</v>
      </c>
      <c r="F1519">
        <v>173.286</v>
      </c>
      <c r="G1519">
        <v>263.404</v>
      </c>
      <c r="H1519">
        <v>211.35499999999999</v>
      </c>
      <c r="I1519">
        <v>250.756</v>
      </c>
      <c r="L1519">
        <v>115.31</v>
      </c>
    </row>
    <row r="1520" spans="1:12" x14ac:dyDescent="0.25">
      <c r="A1520" s="12">
        <v>43796</v>
      </c>
      <c r="B1520">
        <v>290.87200000000001</v>
      </c>
      <c r="C1520">
        <v>261.87299999999999</v>
      </c>
      <c r="D1520">
        <f t="shared" si="9"/>
        <v>115.744</v>
      </c>
      <c r="E1520">
        <v>215.113</v>
      </c>
      <c r="F1520">
        <v>173.52699999999999</v>
      </c>
      <c r="G1520">
        <v>264.32299999999998</v>
      </c>
      <c r="H1520">
        <v>211.36600000000001</v>
      </c>
      <c r="I1520">
        <v>250.89500000000001</v>
      </c>
      <c r="L1520">
        <v>115.744</v>
      </c>
    </row>
    <row r="1521" spans="1:12" x14ac:dyDescent="0.25">
      <c r="A1521" s="12">
        <v>43797</v>
      </c>
      <c r="B1521">
        <v>291.12400000000002</v>
      </c>
      <c r="C1521">
        <v>262.05500000000001</v>
      </c>
      <c r="D1521">
        <f t="shared" si="9"/>
        <v>115.93600000000001</v>
      </c>
      <c r="E1521">
        <v>215.316</v>
      </c>
      <c r="F1521">
        <v>173.75700000000001</v>
      </c>
      <c r="G1521">
        <v>264.52100000000002</v>
      </c>
      <c r="H1521">
        <v>211.38300000000001</v>
      </c>
      <c r="I1521">
        <v>251.191</v>
      </c>
      <c r="L1521">
        <v>115.93600000000001</v>
      </c>
    </row>
    <row r="1522" spans="1:12" x14ac:dyDescent="0.25">
      <c r="A1522" s="12">
        <v>43798</v>
      </c>
      <c r="B1522">
        <v>291.423</v>
      </c>
      <c r="C1522">
        <v>262.029</v>
      </c>
      <c r="D1522">
        <f t="shared" si="9"/>
        <v>116.10299999999999</v>
      </c>
      <c r="E1522">
        <v>215.63399999999999</v>
      </c>
      <c r="F1522">
        <v>173.75299999999999</v>
      </c>
      <c r="G1522">
        <v>264.83600000000001</v>
      </c>
      <c r="H1522">
        <v>211.31299999999999</v>
      </c>
      <c r="I1522">
        <v>251.04599999999999</v>
      </c>
      <c r="L1522">
        <v>116.10299999999999</v>
      </c>
    </row>
    <row r="1523" spans="1:12" x14ac:dyDescent="0.25">
      <c r="A1523" s="12">
        <v>43801</v>
      </c>
      <c r="B1523">
        <v>291.52999999999997</v>
      </c>
      <c r="C1523">
        <v>262.07</v>
      </c>
      <c r="D1523">
        <f t="shared" si="9"/>
        <v>116.035</v>
      </c>
      <c r="E1523">
        <v>215.541</v>
      </c>
      <c r="F1523">
        <v>173.73599999999999</v>
      </c>
      <c r="G1523">
        <v>264.79899999999998</v>
      </c>
      <c r="H1523">
        <v>211.304</v>
      </c>
      <c r="I1523">
        <v>250.68100000000001</v>
      </c>
      <c r="L1523">
        <v>116.035</v>
      </c>
    </row>
    <row r="1524" spans="1:12" x14ac:dyDescent="0.25">
      <c r="A1524" s="12">
        <v>43802</v>
      </c>
      <c r="B1524">
        <v>290.524</v>
      </c>
      <c r="C1524">
        <v>261.73</v>
      </c>
      <c r="D1524">
        <f t="shared" si="9"/>
        <v>115.456</v>
      </c>
      <c r="E1524">
        <v>214.965</v>
      </c>
      <c r="F1524">
        <v>173.61099999999999</v>
      </c>
      <c r="G1524">
        <v>264.51</v>
      </c>
      <c r="H1524">
        <v>211.28200000000001</v>
      </c>
      <c r="I1524">
        <v>249.06100000000001</v>
      </c>
      <c r="L1524">
        <v>115.456</v>
      </c>
    </row>
    <row r="1525" spans="1:12" x14ac:dyDescent="0.25">
      <c r="A1525" s="12">
        <v>43803</v>
      </c>
      <c r="B1525">
        <v>289.91300000000001</v>
      </c>
      <c r="C1525">
        <v>261.733</v>
      </c>
      <c r="D1525">
        <f t="shared" si="9"/>
        <v>114.64</v>
      </c>
      <c r="E1525">
        <v>213.738</v>
      </c>
      <c r="F1525">
        <v>173.08500000000001</v>
      </c>
      <c r="G1525">
        <v>263.048</v>
      </c>
      <c r="H1525">
        <v>210.887</v>
      </c>
      <c r="I1525">
        <v>248.739</v>
      </c>
      <c r="L1525">
        <v>114.64</v>
      </c>
    </row>
    <row r="1526" spans="1:12" x14ac:dyDescent="0.25">
      <c r="A1526" s="12">
        <v>43804</v>
      </c>
      <c r="B1526">
        <v>289.59500000000003</v>
      </c>
      <c r="C1526">
        <v>261.928</v>
      </c>
      <c r="D1526">
        <f t="shared" si="9"/>
        <v>114.7</v>
      </c>
      <c r="E1526">
        <v>213.273</v>
      </c>
      <c r="F1526">
        <v>173.12799999999999</v>
      </c>
      <c r="G1526">
        <v>262.18799999999999</v>
      </c>
      <c r="H1526">
        <v>211.14400000000001</v>
      </c>
      <c r="I1526">
        <v>249.565</v>
      </c>
      <c r="L1526">
        <v>114.7</v>
      </c>
    </row>
    <row r="1527" spans="1:12" x14ac:dyDescent="0.25">
      <c r="A1527" s="12">
        <v>43805</v>
      </c>
      <c r="B1527">
        <v>289.779</v>
      </c>
      <c r="C1527">
        <v>261.786</v>
      </c>
      <c r="D1527">
        <f t="shared" si="9"/>
        <v>114.75700000000001</v>
      </c>
      <c r="E1527">
        <v>213.881</v>
      </c>
      <c r="F1527">
        <v>173.22800000000001</v>
      </c>
      <c r="G1527">
        <v>263.09199999999998</v>
      </c>
      <c r="H1527">
        <v>211.20099999999999</v>
      </c>
      <c r="I1527">
        <v>249.28299999999999</v>
      </c>
      <c r="L1527">
        <v>114.75700000000001</v>
      </c>
    </row>
    <row r="1528" spans="1:12" x14ac:dyDescent="0.25">
      <c r="A1528" s="12">
        <v>43808</v>
      </c>
      <c r="B1528">
        <v>289.95</v>
      </c>
      <c r="C1528">
        <v>261.63900000000001</v>
      </c>
      <c r="D1528">
        <f t="shared" si="9"/>
        <v>114.97199999999999</v>
      </c>
      <c r="E1528">
        <v>213.83099999999999</v>
      </c>
      <c r="F1528">
        <v>173.20699999999999</v>
      </c>
      <c r="G1528">
        <v>263.06</v>
      </c>
      <c r="H1528">
        <v>211.12799999999999</v>
      </c>
      <c r="I1528">
        <v>250.33</v>
      </c>
      <c r="L1528">
        <v>114.97199999999999</v>
      </c>
    </row>
    <row r="1529" spans="1:12" x14ac:dyDescent="0.25">
      <c r="A1529" s="12">
        <v>43809</v>
      </c>
      <c r="B1529">
        <v>290.65100000000001</v>
      </c>
      <c r="C1529">
        <v>261.69900000000001</v>
      </c>
      <c r="D1529">
        <f t="shared" si="9"/>
        <v>115.425</v>
      </c>
      <c r="E1529">
        <v>214.90199999999999</v>
      </c>
      <c r="F1529">
        <v>173.511</v>
      </c>
      <c r="G1529">
        <v>264.35300000000001</v>
      </c>
      <c r="H1529">
        <v>211.351</v>
      </c>
      <c r="I1529">
        <v>250.179</v>
      </c>
      <c r="L1529">
        <v>115.425</v>
      </c>
    </row>
    <row r="1530" spans="1:12" x14ac:dyDescent="0.25">
      <c r="A1530" s="12">
        <v>43810</v>
      </c>
      <c r="B1530">
        <v>290.40600000000001</v>
      </c>
      <c r="C1530">
        <v>261.83499999999998</v>
      </c>
      <c r="D1530">
        <f t="shared" si="9"/>
        <v>115.265</v>
      </c>
      <c r="E1530">
        <v>214.92699999999999</v>
      </c>
      <c r="F1530">
        <v>173.678</v>
      </c>
      <c r="G1530">
        <v>264.32400000000001</v>
      </c>
      <c r="H1530">
        <v>211.54</v>
      </c>
      <c r="I1530">
        <v>250.01</v>
      </c>
      <c r="L1530">
        <v>115.265</v>
      </c>
    </row>
    <row r="1531" spans="1:12" x14ac:dyDescent="0.25">
      <c r="A1531" s="12">
        <v>43811</v>
      </c>
      <c r="B1531">
        <v>290.43700000000001</v>
      </c>
      <c r="C1531">
        <v>261.947</v>
      </c>
      <c r="D1531">
        <f t="shared" si="9"/>
        <v>115.191</v>
      </c>
      <c r="E1531">
        <v>214.70599999999999</v>
      </c>
      <c r="F1531">
        <v>173.67500000000001</v>
      </c>
      <c r="G1531">
        <v>263.92200000000003</v>
      </c>
      <c r="H1531">
        <v>211.523</v>
      </c>
      <c r="I1531">
        <v>250.35599999999999</v>
      </c>
      <c r="L1531">
        <v>115.191</v>
      </c>
    </row>
    <row r="1532" spans="1:12" x14ac:dyDescent="0.25">
      <c r="A1532" s="12">
        <v>43812</v>
      </c>
      <c r="B1532">
        <v>290.39</v>
      </c>
      <c r="C1532">
        <v>261.77499999999998</v>
      </c>
      <c r="D1532">
        <f t="shared" si="9"/>
        <v>115.336</v>
      </c>
      <c r="E1532">
        <v>215.19900000000001</v>
      </c>
      <c r="F1532">
        <v>173.92400000000001</v>
      </c>
      <c r="G1532">
        <v>264.18900000000002</v>
      </c>
      <c r="H1532">
        <v>211.74600000000001</v>
      </c>
      <c r="I1532">
        <v>250.67599999999999</v>
      </c>
      <c r="L1532">
        <v>115.336</v>
      </c>
    </row>
    <row r="1533" spans="1:12" x14ac:dyDescent="0.25">
      <c r="A1533" s="12">
        <v>43815</v>
      </c>
      <c r="B1533">
        <v>290.815</v>
      </c>
      <c r="C1533">
        <v>261.71600000000001</v>
      </c>
      <c r="D1533">
        <f t="shared" si="9"/>
        <v>115.304</v>
      </c>
      <c r="E1533">
        <v>215.54300000000001</v>
      </c>
      <c r="F1533">
        <v>173.755</v>
      </c>
      <c r="G1533">
        <v>264.52199999999999</v>
      </c>
      <c r="H1533">
        <v>211.68799999999999</v>
      </c>
      <c r="I1533">
        <v>251.142</v>
      </c>
      <c r="L1533">
        <v>115.304</v>
      </c>
    </row>
    <row r="1534" spans="1:12" x14ac:dyDescent="0.25">
      <c r="A1534" s="12">
        <v>43816</v>
      </c>
      <c r="B1534">
        <v>291.42399999999998</v>
      </c>
      <c r="C1534">
        <v>261.93900000000002</v>
      </c>
      <c r="D1534">
        <f t="shared" si="9"/>
        <v>115.759</v>
      </c>
      <c r="E1534">
        <v>216.30099999999999</v>
      </c>
      <c r="F1534">
        <v>174.005</v>
      </c>
      <c r="G1534">
        <v>265.392</v>
      </c>
      <c r="H1534">
        <v>211.916</v>
      </c>
      <c r="I1534">
        <v>252.07300000000001</v>
      </c>
      <c r="L1534">
        <v>115.759</v>
      </c>
    </row>
    <row r="1535" spans="1:12" x14ac:dyDescent="0.25">
      <c r="A1535" s="12">
        <v>43817</v>
      </c>
      <c r="B1535">
        <v>291.79899999999998</v>
      </c>
      <c r="C1535">
        <v>262.03199999999998</v>
      </c>
      <c r="D1535">
        <f t="shared" si="9"/>
        <v>116.008</v>
      </c>
      <c r="E1535">
        <v>216.93299999999999</v>
      </c>
      <c r="F1535">
        <v>174.05699999999999</v>
      </c>
      <c r="G1535">
        <v>266.44400000000002</v>
      </c>
      <c r="H1535">
        <v>212.04900000000001</v>
      </c>
      <c r="I1535">
        <v>251.84800000000001</v>
      </c>
      <c r="L1535">
        <v>116.008</v>
      </c>
    </row>
    <row r="1536" spans="1:12" x14ac:dyDescent="0.25">
      <c r="A1536" s="12">
        <v>43818</v>
      </c>
      <c r="B1536">
        <v>291.69099999999997</v>
      </c>
      <c r="C1536">
        <v>262.04300000000001</v>
      </c>
      <c r="D1536">
        <f t="shared" si="9"/>
        <v>116.00700000000001</v>
      </c>
      <c r="E1536">
        <v>217.018</v>
      </c>
      <c r="F1536">
        <v>174.18700000000001</v>
      </c>
      <c r="G1536">
        <v>266.363</v>
      </c>
      <c r="H1536">
        <v>212.17599999999999</v>
      </c>
      <c r="I1536">
        <v>252.05</v>
      </c>
      <c r="L1536">
        <v>116.00700000000001</v>
      </c>
    </row>
    <row r="1537" spans="1:12" x14ac:dyDescent="0.25">
      <c r="A1537" s="12">
        <v>43819</v>
      </c>
      <c r="B1537">
        <v>291.79700000000003</v>
      </c>
      <c r="C1537">
        <v>262.00099999999998</v>
      </c>
      <c r="D1537">
        <f t="shared" si="9"/>
        <v>115.934</v>
      </c>
      <c r="E1537">
        <v>217.36600000000001</v>
      </c>
      <c r="F1537">
        <v>174.423</v>
      </c>
      <c r="G1537">
        <v>266.50799999999998</v>
      </c>
      <c r="H1537">
        <v>212.20500000000001</v>
      </c>
      <c r="I1537">
        <v>252.011</v>
      </c>
      <c r="L1537">
        <v>115.934</v>
      </c>
    </row>
    <row r="1538" spans="1:12" x14ac:dyDescent="0.25">
      <c r="A1538" s="12">
        <v>43822</v>
      </c>
      <c r="B1538">
        <v>292.13499999999999</v>
      </c>
      <c r="C1538">
        <v>261.99299999999999</v>
      </c>
      <c r="D1538">
        <f t="shared" si="9"/>
        <v>116.23099999999999</v>
      </c>
      <c r="E1538">
        <v>217.376</v>
      </c>
      <c r="F1538">
        <v>174.351</v>
      </c>
      <c r="G1538">
        <v>266.548</v>
      </c>
      <c r="H1538">
        <v>212.142</v>
      </c>
      <c r="I1538">
        <v>252.822</v>
      </c>
      <c r="L1538">
        <v>116.23099999999999</v>
      </c>
    </row>
    <row r="1539" spans="1:12" x14ac:dyDescent="0.25">
      <c r="A1539" s="12">
        <v>43826</v>
      </c>
      <c r="B1539">
        <v>292.577</v>
      </c>
      <c r="C1539">
        <v>262.03300000000002</v>
      </c>
      <c r="D1539">
        <f t="shared" si="9"/>
        <v>116.53700000000001</v>
      </c>
      <c r="E1539">
        <v>217.97499999999999</v>
      </c>
      <c r="F1539">
        <v>174.53899999999999</v>
      </c>
      <c r="G1539">
        <v>267.50799999999998</v>
      </c>
      <c r="H1539">
        <v>212.27699999999999</v>
      </c>
      <c r="I1539">
        <v>252.74100000000001</v>
      </c>
      <c r="L1539">
        <v>116.53700000000001</v>
      </c>
    </row>
    <row r="1540" spans="1:12" x14ac:dyDescent="0.25">
      <c r="A1540" s="12">
        <v>43829</v>
      </c>
      <c r="B1540">
        <v>292.74700000000001</v>
      </c>
      <c r="C1540">
        <v>262.13299999999998</v>
      </c>
      <c r="D1540">
        <f t="shared" si="9"/>
        <v>116.43899999999999</v>
      </c>
      <c r="E1540">
        <v>218.227</v>
      </c>
      <c r="F1540">
        <v>174.75200000000001</v>
      </c>
      <c r="G1540">
        <v>267.726</v>
      </c>
      <c r="H1540">
        <v>212.38200000000001</v>
      </c>
      <c r="I1540">
        <v>252.785</v>
      </c>
      <c r="L1540">
        <v>116.43899999999999</v>
      </c>
    </row>
    <row r="1541" spans="1:12" x14ac:dyDescent="0.25">
      <c r="A1541" s="12">
        <v>43830</v>
      </c>
      <c r="B1541">
        <v>291.90199999999999</v>
      </c>
      <c r="C1541">
        <v>261.77499999999998</v>
      </c>
      <c r="D1541">
        <f t="shared" si="9"/>
        <v>115.726</v>
      </c>
      <c r="E1541">
        <v>217.755</v>
      </c>
      <c r="F1541">
        <v>174.43899999999999</v>
      </c>
      <c r="G1541">
        <v>267.88</v>
      </c>
      <c r="H1541">
        <v>212.49799999999999</v>
      </c>
      <c r="I1541">
        <v>252.06200000000001</v>
      </c>
      <c r="L1541">
        <v>115.726</v>
      </c>
    </row>
    <row r="1542" spans="1:12" x14ac:dyDescent="0.25">
      <c r="A1542" s="12">
        <v>43832</v>
      </c>
      <c r="B1542">
        <v>292.45499999999998</v>
      </c>
      <c r="C1542">
        <v>261.98399999999998</v>
      </c>
      <c r="D1542">
        <f t="shared" si="9"/>
        <v>116.244</v>
      </c>
      <c r="E1542">
        <v>218.38200000000001</v>
      </c>
      <c r="F1542">
        <v>174.739</v>
      </c>
      <c r="G1542">
        <v>267.88</v>
      </c>
      <c r="H1542">
        <v>212.49799999999999</v>
      </c>
      <c r="I1542">
        <v>252.13499999999999</v>
      </c>
      <c r="L1542">
        <v>116.244</v>
      </c>
    </row>
    <row r="1543" spans="1:12" x14ac:dyDescent="0.25">
      <c r="A1543" s="12">
        <v>43833</v>
      </c>
      <c r="B1543">
        <v>292.08699999999999</v>
      </c>
      <c r="C1543">
        <v>262.01900000000001</v>
      </c>
      <c r="D1543">
        <f t="shared" si="9"/>
        <v>115.952</v>
      </c>
      <c r="E1543">
        <v>217.73400000000001</v>
      </c>
      <c r="F1543">
        <v>174.45400000000001</v>
      </c>
      <c r="G1543">
        <v>267.02999999999997</v>
      </c>
      <c r="H1543">
        <v>212.32300000000001</v>
      </c>
      <c r="I1543">
        <v>252.71799999999999</v>
      </c>
      <c r="L1543">
        <v>115.952</v>
      </c>
    </row>
    <row r="1544" spans="1:12" x14ac:dyDescent="0.25">
      <c r="A1544" s="12">
        <v>43836</v>
      </c>
      <c r="B1544">
        <v>293.11399999999998</v>
      </c>
      <c r="C1544">
        <v>262.46100000000001</v>
      </c>
      <c r="D1544">
        <f t="shared" si="9"/>
        <v>116.44499999999999</v>
      </c>
      <c r="E1544">
        <v>218.56200000000001</v>
      </c>
      <c r="F1544">
        <v>174.66</v>
      </c>
      <c r="G1544">
        <v>267.62099999999998</v>
      </c>
      <c r="H1544">
        <v>212.512</v>
      </c>
      <c r="I1544">
        <v>252.76499999999999</v>
      </c>
      <c r="L1544">
        <v>116.44499999999999</v>
      </c>
    </row>
    <row r="1545" spans="1:12" x14ac:dyDescent="0.25">
      <c r="A1545" s="12">
        <v>43837</v>
      </c>
      <c r="B1545">
        <v>292.72899999999998</v>
      </c>
      <c r="C1545">
        <v>262.63900000000001</v>
      </c>
      <c r="D1545">
        <f t="shared" si="9"/>
        <v>116.446</v>
      </c>
      <c r="E1545">
        <v>218.565</v>
      </c>
      <c r="F1545">
        <v>174.87200000000001</v>
      </c>
      <c r="G1545">
        <v>267.64600000000002</v>
      </c>
      <c r="H1545">
        <v>212.73699999999999</v>
      </c>
      <c r="I1545">
        <v>252.43</v>
      </c>
      <c r="L1545">
        <v>116.446</v>
      </c>
    </row>
    <row r="1546" spans="1:12" x14ac:dyDescent="0.25">
      <c r="A1546" s="12">
        <v>43838</v>
      </c>
      <c r="B1546">
        <v>292.678</v>
      </c>
      <c r="C1546">
        <v>262.65300000000002</v>
      </c>
      <c r="D1546">
        <f t="shared" si="9"/>
        <v>116.488</v>
      </c>
      <c r="E1546">
        <v>217.964</v>
      </c>
      <c r="F1546">
        <v>174.69399999999999</v>
      </c>
      <c r="G1546">
        <v>267.02999999999997</v>
      </c>
      <c r="H1546">
        <v>212.70699999999999</v>
      </c>
      <c r="I1546">
        <v>252.78899999999999</v>
      </c>
      <c r="L1546">
        <v>116.488</v>
      </c>
    </row>
    <row r="1547" spans="1:12" x14ac:dyDescent="0.25">
      <c r="A1547" s="12">
        <v>43839</v>
      </c>
      <c r="B1547">
        <v>292.97800000000001</v>
      </c>
      <c r="C1547">
        <v>262.61399999999998</v>
      </c>
      <c r="D1547">
        <f t="shared" si="9"/>
        <v>116.681</v>
      </c>
      <c r="E1547">
        <v>218.46799999999999</v>
      </c>
      <c r="F1547">
        <v>174.946</v>
      </c>
      <c r="G1547">
        <v>267.63900000000001</v>
      </c>
      <c r="H1547">
        <v>212.73699999999999</v>
      </c>
      <c r="I1547">
        <v>253.19800000000001</v>
      </c>
      <c r="L1547">
        <v>116.681</v>
      </c>
    </row>
    <row r="1548" spans="1:12" x14ac:dyDescent="0.25">
      <c r="A1548" s="12">
        <v>43840</v>
      </c>
      <c r="B1548">
        <v>293.23</v>
      </c>
      <c r="C1548">
        <v>262.291</v>
      </c>
      <c r="D1548">
        <f t="shared" si="9"/>
        <v>116.852</v>
      </c>
      <c r="E1548">
        <v>218.83099999999999</v>
      </c>
      <c r="F1548">
        <v>175.041</v>
      </c>
      <c r="G1548">
        <v>267.83100000000002</v>
      </c>
      <c r="H1548">
        <v>212.73099999999999</v>
      </c>
      <c r="I1548">
        <v>253.49799999999999</v>
      </c>
      <c r="L1548">
        <v>116.852</v>
      </c>
    </row>
    <row r="1549" spans="1:12" x14ac:dyDescent="0.25">
      <c r="A1549" s="12">
        <v>43843</v>
      </c>
      <c r="B1549">
        <v>294.03300000000002</v>
      </c>
      <c r="C1549">
        <v>262.47399999999999</v>
      </c>
      <c r="D1549">
        <f t="shared" si="9"/>
        <v>117.122</v>
      </c>
      <c r="E1549">
        <v>219.40700000000001</v>
      </c>
      <c r="F1549">
        <v>175.01499999999999</v>
      </c>
      <c r="G1549">
        <v>268.53399999999999</v>
      </c>
      <c r="H1549">
        <v>212.76400000000001</v>
      </c>
      <c r="I1549">
        <v>253.67500000000001</v>
      </c>
      <c r="L1549">
        <v>117.122</v>
      </c>
    </row>
    <row r="1550" spans="1:12" x14ac:dyDescent="0.25">
      <c r="A1550" s="12">
        <v>43844</v>
      </c>
      <c r="B1550">
        <v>293.92899999999997</v>
      </c>
      <c r="C1550">
        <v>262.53100000000001</v>
      </c>
      <c r="D1550">
        <f t="shared" si="9"/>
        <v>116.97499999999999</v>
      </c>
      <c r="E1550">
        <v>219.64400000000001</v>
      </c>
      <c r="F1550">
        <v>175.11199999999999</v>
      </c>
      <c r="G1550">
        <v>268.62700000000001</v>
      </c>
      <c r="H1550">
        <v>212.91800000000001</v>
      </c>
      <c r="I1550">
        <v>253.46799999999999</v>
      </c>
      <c r="L1550">
        <v>116.97499999999999</v>
      </c>
    </row>
    <row r="1551" spans="1:12" x14ac:dyDescent="0.25">
      <c r="A1551" s="12">
        <v>43845</v>
      </c>
      <c r="B1551">
        <v>294.33999999999997</v>
      </c>
      <c r="C1551">
        <v>262.74099999999999</v>
      </c>
      <c r="D1551">
        <f t="shared" si="9"/>
        <v>117.059</v>
      </c>
      <c r="E1551">
        <v>219.642</v>
      </c>
      <c r="F1551">
        <v>174.96199999999999</v>
      </c>
      <c r="G1551">
        <v>268.40800000000002</v>
      </c>
      <c r="H1551">
        <v>212.73599999999999</v>
      </c>
      <c r="I1551">
        <v>253.679</v>
      </c>
      <c r="L1551">
        <v>117.059</v>
      </c>
    </row>
    <row r="1552" spans="1:12" x14ac:dyDescent="0.25">
      <c r="A1552" s="12">
        <v>43846</v>
      </c>
      <c r="B1552">
        <v>294.387</v>
      </c>
      <c r="C1552">
        <v>262.92200000000003</v>
      </c>
      <c r="D1552">
        <f t="shared" si="9"/>
        <v>117.15300000000001</v>
      </c>
      <c r="E1552">
        <v>219.8</v>
      </c>
      <c r="F1552">
        <v>174.999</v>
      </c>
      <c r="G1552">
        <v>268.78100000000001</v>
      </c>
      <c r="H1552">
        <v>212.83099999999999</v>
      </c>
      <c r="I1552">
        <v>253.721</v>
      </c>
      <c r="L1552">
        <v>117.15300000000001</v>
      </c>
    </row>
    <row r="1553" spans="1:12" x14ac:dyDescent="0.25">
      <c r="A1553" s="12">
        <v>43847</v>
      </c>
      <c r="B1553">
        <v>294.39699999999999</v>
      </c>
      <c r="C1553">
        <v>262.98500000000001</v>
      </c>
      <c r="D1553">
        <f t="shared" si="9"/>
        <v>117.21599999999999</v>
      </c>
      <c r="E1553">
        <v>219.815</v>
      </c>
      <c r="F1553">
        <v>175.09899999999999</v>
      </c>
      <c r="G1553">
        <v>268.76299999999998</v>
      </c>
      <c r="H1553">
        <v>212.89500000000001</v>
      </c>
      <c r="I1553">
        <v>253.93799999999999</v>
      </c>
      <c r="L1553">
        <v>117.21599999999999</v>
      </c>
    </row>
    <row r="1554" spans="1:12" x14ac:dyDescent="0.25">
      <c r="A1554" s="12">
        <v>43850</v>
      </c>
      <c r="B1554">
        <v>295</v>
      </c>
      <c r="C1554">
        <v>263.09699999999998</v>
      </c>
      <c r="D1554">
        <f t="shared" si="9"/>
        <v>117.67100000000001</v>
      </c>
      <c r="E1554">
        <v>220.06</v>
      </c>
      <c r="F1554">
        <v>175.11799999999999</v>
      </c>
      <c r="G1554">
        <v>269.2</v>
      </c>
      <c r="H1554">
        <v>212.97900000000001</v>
      </c>
      <c r="I1554">
        <v>254.66200000000001</v>
      </c>
      <c r="L1554">
        <v>117.67100000000001</v>
      </c>
    </row>
    <row r="1555" spans="1:12" x14ac:dyDescent="0.25">
      <c r="A1555" s="12">
        <v>43851</v>
      </c>
      <c r="B1555">
        <v>295.64800000000002</v>
      </c>
      <c r="C1555">
        <v>263.20400000000001</v>
      </c>
      <c r="D1555">
        <f t="shared" ref="D1555:D1618" si="10">IF(L1555&gt;1,L1555,L1555*100)</f>
        <v>118.01</v>
      </c>
      <c r="E1555">
        <v>220.779</v>
      </c>
      <c r="F1555">
        <v>175.30099999999999</v>
      </c>
      <c r="G1555">
        <v>270.238</v>
      </c>
      <c r="H1555">
        <v>213.084</v>
      </c>
      <c r="I1555">
        <v>254.774</v>
      </c>
      <c r="L1555">
        <v>118.01</v>
      </c>
    </row>
    <row r="1556" spans="1:12" x14ac:dyDescent="0.25">
      <c r="A1556" s="12">
        <v>43852</v>
      </c>
      <c r="B1556">
        <v>295.82100000000003</v>
      </c>
      <c r="C1556">
        <v>263.41399999999999</v>
      </c>
      <c r="D1556">
        <f t="shared" si="10"/>
        <v>118.008</v>
      </c>
      <c r="E1556">
        <v>220.85599999999999</v>
      </c>
      <c r="F1556">
        <v>175.369</v>
      </c>
      <c r="G1556">
        <v>270.28800000000001</v>
      </c>
      <c r="H1556">
        <v>213.09</v>
      </c>
      <c r="I1556">
        <v>254.86199999999999</v>
      </c>
      <c r="L1556">
        <v>118.008</v>
      </c>
    </row>
    <row r="1557" spans="1:12" x14ac:dyDescent="0.25">
      <c r="A1557" s="12">
        <v>43853</v>
      </c>
      <c r="B1557">
        <v>295.77800000000002</v>
      </c>
      <c r="C1557">
        <v>263.72500000000002</v>
      </c>
      <c r="D1557">
        <f t="shared" si="10"/>
        <v>118.14</v>
      </c>
      <c r="E1557">
        <v>220.43600000000001</v>
      </c>
      <c r="F1557">
        <v>175.351</v>
      </c>
      <c r="G1557">
        <v>270.03899999999999</v>
      </c>
      <c r="H1557">
        <v>213.15899999999999</v>
      </c>
      <c r="I1557">
        <v>255.06399999999999</v>
      </c>
      <c r="L1557">
        <v>118.14</v>
      </c>
    </row>
    <row r="1558" spans="1:12" x14ac:dyDescent="0.25">
      <c r="A1558" s="12">
        <v>43854</v>
      </c>
      <c r="B1558">
        <v>296.10199999999998</v>
      </c>
      <c r="C1558">
        <v>263.995</v>
      </c>
      <c r="D1558">
        <f t="shared" si="10"/>
        <v>118.23099999999999</v>
      </c>
      <c r="E1558">
        <v>220.74700000000001</v>
      </c>
      <c r="F1558">
        <v>175.476</v>
      </c>
      <c r="G1558">
        <v>270.363</v>
      </c>
      <c r="H1558">
        <v>213.33099999999999</v>
      </c>
      <c r="I1558">
        <v>254.839</v>
      </c>
      <c r="L1558">
        <v>118.23099999999999</v>
      </c>
    </row>
    <row r="1559" spans="1:12" x14ac:dyDescent="0.25">
      <c r="A1559" s="12">
        <v>43857</v>
      </c>
      <c r="B1559">
        <v>296.28199999999998</v>
      </c>
      <c r="C1559">
        <v>264.27300000000002</v>
      </c>
      <c r="D1559">
        <f t="shared" si="10"/>
        <v>118.548</v>
      </c>
      <c r="E1559">
        <v>220.5</v>
      </c>
      <c r="F1559">
        <v>175.57599999999999</v>
      </c>
      <c r="G1559">
        <v>269.87599999999998</v>
      </c>
      <c r="H1559">
        <v>213.43700000000001</v>
      </c>
      <c r="I1559">
        <v>255.48400000000001</v>
      </c>
      <c r="L1559">
        <v>118.548</v>
      </c>
    </row>
    <row r="1560" spans="1:12" x14ac:dyDescent="0.25">
      <c r="A1560" s="12">
        <v>43858</v>
      </c>
      <c r="B1560">
        <v>296.05799999999999</v>
      </c>
      <c r="C1560">
        <v>264.62400000000002</v>
      </c>
      <c r="D1560">
        <f t="shared" si="10"/>
        <v>118.277</v>
      </c>
      <c r="E1560">
        <v>220.749</v>
      </c>
      <c r="F1560">
        <v>175.672</v>
      </c>
      <c r="G1560">
        <v>270.66899999999998</v>
      </c>
      <c r="H1560">
        <v>213.55799999999999</v>
      </c>
      <c r="I1560">
        <v>253.88</v>
      </c>
      <c r="L1560">
        <v>118.277</v>
      </c>
    </row>
    <row r="1561" spans="1:12" x14ac:dyDescent="0.25">
      <c r="A1561" s="12">
        <v>43859</v>
      </c>
      <c r="B1561">
        <v>295.07400000000001</v>
      </c>
      <c r="C1561">
        <v>264.72000000000003</v>
      </c>
      <c r="D1561">
        <f t="shared" si="10"/>
        <v>117.938</v>
      </c>
      <c r="E1561">
        <v>219.10499999999999</v>
      </c>
      <c r="F1561">
        <v>175.55799999999999</v>
      </c>
      <c r="G1561">
        <v>268.435</v>
      </c>
      <c r="H1561">
        <v>213.411</v>
      </c>
      <c r="I1561">
        <v>254.417</v>
      </c>
      <c r="L1561">
        <v>117.938</v>
      </c>
    </row>
    <row r="1562" spans="1:12" x14ac:dyDescent="0.25">
      <c r="A1562" s="12">
        <v>43860</v>
      </c>
      <c r="B1562">
        <v>295.71199999999999</v>
      </c>
      <c r="C1562">
        <v>264.79700000000003</v>
      </c>
      <c r="D1562">
        <f t="shared" si="10"/>
        <v>118.29300000000001</v>
      </c>
      <c r="E1562">
        <v>219.935</v>
      </c>
      <c r="F1562">
        <v>175.96600000000001</v>
      </c>
      <c r="G1562">
        <v>269.07</v>
      </c>
      <c r="H1562">
        <v>213.495</v>
      </c>
      <c r="I1562">
        <v>254.827</v>
      </c>
      <c r="L1562">
        <v>118.29300000000001</v>
      </c>
    </row>
    <row r="1563" spans="1:12" x14ac:dyDescent="0.25">
      <c r="A1563" s="12">
        <v>43861</v>
      </c>
      <c r="B1563">
        <v>295.709</v>
      </c>
      <c r="C1563">
        <v>265.024</v>
      </c>
      <c r="D1563">
        <f t="shared" si="10"/>
        <v>118.202</v>
      </c>
      <c r="E1563">
        <v>220.434</v>
      </c>
      <c r="F1563">
        <v>176.29400000000001</v>
      </c>
      <c r="G1563">
        <v>269.59300000000002</v>
      </c>
      <c r="H1563">
        <v>213.73400000000001</v>
      </c>
      <c r="I1563">
        <v>254.024</v>
      </c>
      <c r="L1563">
        <v>118.202</v>
      </c>
    </row>
    <row r="1564" spans="1:12" x14ac:dyDescent="0.25">
      <c r="A1564" s="12">
        <v>43864</v>
      </c>
      <c r="B1564">
        <v>295.35500000000002</v>
      </c>
      <c r="C1564">
        <v>265.20499999999998</v>
      </c>
      <c r="D1564">
        <f t="shared" si="10"/>
        <v>118.02500000000001</v>
      </c>
      <c r="E1564">
        <v>219.285</v>
      </c>
      <c r="F1564">
        <v>176.14500000000001</v>
      </c>
      <c r="G1564">
        <v>268.37400000000002</v>
      </c>
      <c r="H1564">
        <v>213.58199999999999</v>
      </c>
      <c r="I1564">
        <v>253.239</v>
      </c>
      <c r="L1564">
        <v>118.02500000000001</v>
      </c>
    </row>
    <row r="1565" spans="1:12" x14ac:dyDescent="0.25">
      <c r="A1565" s="12">
        <v>43865</v>
      </c>
      <c r="B1565">
        <v>294.33699999999999</v>
      </c>
      <c r="C1565">
        <v>265.19200000000001</v>
      </c>
      <c r="D1565">
        <f t="shared" si="10"/>
        <v>117.464</v>
      </c>
      <c r="E1565">
        <v>218.27199999999999</v>
      </c>
      <c r="F1565">
        <v>176.16900000000001</v>
      </c>
      <c r="G1565">
        <v>267.44799999999998</v>
      </c>
      <c r="H1565">
        <v>213.595</v>
      </c>
      <c r="I1565">
        <v>253.666</v>
      </c>
      <c r="L1565">
        <v>117.464</v>
      </c>
    </row>
    <row r="1566" spans="1:12" x14ac:dyDescent="0.25">
      <c r="A1566" s="12">
        <v>43866</v>
      </c>
      <c r="B1566">
        <v>295.03300000000002</v>
      </c>
      <c r="C1566">
        <v>265.12599999999998</v>
      </c>
      <c r="D1566">
        <f t="shared" si="10"/>
        <v>117.818</v>
      </c>
      <c r="E1566">
        <v>218.65</v>
      </c>
      <c r="F1566">
        <v>176.25299999999999</v>
      </c>
      <c r="G1566">
        <v>267.56299999999999</v>
      </c>
      <c r="H1566">
        <v>213.72200000000001</v>
      </c>
      <c r="I1566">
        <v>255.137</v>
      </c>
      <c r="L1566">
        <v>117.818</v>
      </c>
    </row>
    <row r="1567" spans="1:12" x14ac:dyDescent="0.25">
      <c r="A1567" s="12">
        <v>43867</v>
      </c>
      <c r="B1567">
        <v>296.21499999999997</v>
      </c>
      <c r="C1567">
        <v>264.90800000000002</v>
      </c>
      <c r="D1567">
        <f t="shared" si="10"/>
        <v>118.506</v>
      </c>
      <c r="E1567">
        <v>220.286</v>
      </c>
      <c r="F1567">
        <v>176.28899999999999</v>
      </c>
      <c r="G1567">
        <v>269.334</v>
      </c>
      <c r="H1567">
        <v>213.804</v>
      </c>
      <c r="I1567">
        <v>255.84399999999999</v>
      </c>
      <c r="L1567">
        <v>118.506</v>
      </c>
    </row>
    <row r="1568" spans="1:12" x14ac:dyDescent="0.25">
      <c r="A1568" s="12">
        <v>43868</v>
      </c>
      <c r="B1568">
        <v>297.14499999999998</v>
      </c>
      <c r="C1568">
        <v>264.88</v>
      </c>
      <c r="D1568">
        <f t="shared" si="10"/>
        <v>119.023</v>
      </c>
      <c r="E1568">
        <v>221.154</v>
      </c>
      <c r="F1568">
        <v>176.465</v>
      </c>
      <c r="G1568">
        <v>270.81099999999998</v>
      </c>
      <c r="H1568">
        <v>213.874</v>
      </c>
      <c r="I1568">
        <v>256.53800000000001</v>
      </c>
      <c r="L1568">
        <v>119.023</v>
      </c>
    </row>
    <row r="1569" spans="1:12" x14ac:dyDescent="0.25">
      <c r="A1569" s="12">
        <v>43871</v>
      </c>
      <c r="B1569">
        <v>297.714</v>
      </c>
      <c r="C1569">
        <v>265.19299999999998</v>
      </c>
      <c r="D1569">
        <f t="shared" si="10"/>
        <v>119.389</v>
      </c>
      <c r="E1569">
        <v>221.93899999999999</v>
      </c>
      <c r="F1569">
        <v>176.67099999999999</v>
      </c>
      <c r="G1569">
        <v>271.38299999999998</v>
      </c>
      <c r="H1569">
        <v>213.864</v>
      </c>
      <c r="I1569">
        <v>256.57900000000001</v>
      </c>
      <c r="L1569">
        <v>119.389</v>
      </c>
    </row>
    <row r="1570" spans="1:12" x14ac:dyDescent="0.25">
      <c r="A1570" s="12">
        <v>43872</v>
      </c>
      <c r="B1570">
        <v>297.62200000000001</v>
      </c>
      <c r="C1570">
        <v>265.56099999999998</v>
      </c>
      <c r="D1570">
        <f t="shared" si="10"/>
        <v>119.417</v>
      </c>
      <c r="E1570">
        <v>221.68700000000001</v>
      </c>
      <c r="F1570">
        <v>176.83799999999999</v>
      </c>
      <c r="G1570">
        <v>271.19400000000002</v>
      </c>
      <c r="H1570">
        <v>213.881</v>
      </c>
      <c r="I1570">
        <v>256.92500000000001</v>
      </c>
      <c r="L1570">
        <v>119.417</v>
      </c>
    </row>
    <row r="1571" spans="1:12" x14ac:dyDescent="0.25">
      <c r="A1571" s="12">
        <v>43873</v>
      </c>
      <c r="B1571">
        <v>298.34800000000001</v>
      </c>
      <c r="C1571">
        <v>265.74700000000001</v>
      </c>
      <c r="D1571">
        <f t="shared" si="10"/>
        <v>119.929</v>
      </c>
      <c r="E1571">
        <v>221.99600000000001</v>
      </c>
      <c r="F1571">
        <v>177.02199999999999</v>
      </c>
      <c r="G1571">
        <v>271.40100000000001</v>
      </c>
      <c r="H1571">
        <v>214.03100000000001</v>
      </c>
      <c r="I1571">
        <v>257.58300000000003</v>
      </c>
      <c r="L1571">
        <v>119.929</v>
      </c>
    </row>
    <row r="1572" spans="1:12" x14ac:dyDescent="0.25">
      <c r="A1572" s="12">
        <v>43874</v>
      </c>
      <c r="B1572">
        <v>298.637</v>
      </c>
      <c r="C1572">
        <v>265.62700000000001</v>
      </c>
      <c r="D1572">
        <f t="shared" si="10"/>
        <v>120.117</v>
      </c>
      <c r="E1572">
        <v>222.84200000000001</v>
      </c>
      <c r="F1572">
        <v>177.15100000000001</v>
      </c>
      <c r="G1572">
        <v>272.56400000000002</v>
      </c>
      <c r="H1572">
        <v>214.17</v>
      </c>
      <c r="I1572">
        <v>258.28199999999998</v>
      </c>
      <c r="L1572">
        <v>120.117</v>
      </c>
    </row>
    <row r="1573" spans="1:12" x14ac:dyDescent="0.25">
      <c r="A1573" s="12">
        <v>43875</v>
      </c>
      <c r="B1573">
        <v>299.37900000000002</v>
      </c>
      <c r="C1573">
        <v>265.745</v>
      </c>
      <c r="D1573">
        <f t="shared" si="10"/>
        <v>120.52800000000001</v>
      </c>
      <c r="E1573">
        <v>223.62</v>
      </c>
      <c r="F1573">
        <v>177.108</v>
      </c>
      <c r="G1573">
        <v>273.34500000000003</v>
      </c>
      <c r="H1573">
        <v>214.274</v>
      </c>
      <c r="I1573">
        <v>258.73599999999999</v>
      </c>
      <c r="L1573">
        <v>120.52800000000001</v>
      </c>
    </row>
    <row r="1574" spans="1:12" x14ac:dyDescent="0.25">
      <c r="A1574" s="12">
        <v>43878</v>
      </c>
      <c r="B1574">
        <v>299.85500000000002</v>
      </c>
      <c r="C1574">
        <v>265.98</v>
      </c>
      <c r="D1574">
        <f t="shared" si="10"/>
        <v>120.732</v>
      </c>
      <c r="E1574">
        <v>223.84100000000001</v>
      </c>
      <c r="F1574">
        <v>177.35400000000001</v>
      </c>
      <c r="G1574">
        <v>273.55500000000001</v>
      </c>
      <c r="H1574">
        <v>214.37299999999999</v>
      </c>
      <c r="I1574">
        <v>258.851</v>
      </c>
      <c r="L1574">
        <v>120.732</v>
      </c>
    </row>
    <row r="1575" spans="1:12" x14ac:dyDescent="0.25">
      <c r="A1575" s="12">
        <v>43879</v>
      </c>
      <c r="B1575">
        <v>300.214</v>
      </c>
      <c r="C1575">
        <v>266.17500000000001</v>
      </c>
      <c r="D1575">
        <f t="shared" si="10"/>
        <v>120.81100000000001</v>
      </c>
      <c r="E1575">
        <v>224.07499999999999</v>
      </c>
      <c r="F1575">
        <v>177.58500000000001</v>
      </c>
      <c r="G1575">
        <v>273.75700000000001</v>
      </c>
      <c r="H1575">
        <v>214.565</v>
      </c>
      <c r="I1575">
        <v>259.21800000000002</v>
      </c>
      <c r="L1575">
        <v>120.81100000000001</v>
      </c>
    </row>
    <row r="1576" spans="1:12" x14ac:dyDescent="0.25">
      <c r="A1576" s="12">
        <v>43880</v>
      </c>
      <c r="B1576">
        <v>300.40699999999998</v>
      </c>
      <c r="C1576">
        <v>266.41199999999998</v>
      </c>
      <c r="D1576">
        <f t="shared" si="10"/>
        <v>120.84099999999999</v>
      </c>
      <c r="E1576">
        <v>224.369</v>
      </c>
      <c r="F1576">
        <v>177.67</v>
      </c>
      <c r="G1576">
        <v>274.06099999999998</v>
      </c>
      <c r="H1576">
        <v>214.57599999999999</v>
      </c>
      <c r="I1576">
        <v>258.85000000000002</v>
      </c>
      <c r="L1576">
        <v>120.84099999999999</v>
      </c>
    </row>
    <row r="1577" spans="1:12" x14ac:dyDescent="0.25">
      <c r="A1577" s="12">
        <v>43881</v>
      </c>
      <c r="B1577">
        <v>300.30900000000003</v>
      </c>
      <c r="C1577">
        <v>266.53699999999998</v>
      </c>
      <c r="D1577">
        <f t="shared" si="10"/>
        <v>120.886</v>
      </c>
      <c r="E1577">
        <v>223.95099999999999</v>
      </c>
      <c r="F1577">
        <v>177.83</v>
      </c>
      <c r="G1577">
        <v>273.584</v>
      </c>
      <c r="H1577">
        <v>214.62200000000001</v>
      </c>
      <c r="I1577">
        <v>259.68099999999998</v>
      </c>
      <c r="L1577">
        <v>120.886</v>
      </c>
    </row>
    <row r="1578" spans="1:12" x14ac:dyDescent="0.25">
      <c r="A1578" s="12">
        <v>43882</v>
      </c>
      <c r="B1578">
        <v>300.97399999999999</v>
      </c>
      <c r="C1578">
        <v>266.66699999999997</v>
      </c>
      <c r="D1578">
        <f t="shared" si="10"/>
        <v>121.09</v>
      </c>
      <c r="E1578">
        <v>224.76599999999999</v>
      </c>
      <c r="F1578">
        <v>177.999</v>
      </c>
      <c r="G1578">
        <v>274.59800000000001</v>
      </c>
      <c r="H1578">
        <v>214.76</v>
      </c>
      <c r="I1578">
        <v>258.68900000000002</v>
      </c>
      <c r="L1578">
        <v>121.09</v>
      </c>
    </row>
    <row r="1579" spans="1:12" x14ac:dyDescent="0.25">
      <c r="A1579" s="12">
        <v>43885</v>
      </c>
      <c r="B1579">
        <v>300.39800000000002</v>
      </c>
      <c r="C1579">
        <v>266.85199999999998</v>
      </c>
      <c r="D1579">
        <f t="shared" si="10"/>
        <v>120.77200000000001</v>
      </c>
      <c r="E1579">
        <v>224.21799999999999</v>
      </c>
      <c r="F1579">
        <v>178.15899999999999</v>
      </c>
      <c r="G1579">
        <v>273.67099999999999</v>
      </c>
      <c r="H1579">
        <v>214.72300000000001</v>
      </c>
      <c r="I1579">
        <v>258.428</v>
      </c>
      <c r="L1579">
        <v>120.77200000000001</v>
      </c>
    </row>
    <row r="1580" spans="1:12" x14ac:dyDescent="0.25">
      <c r="A1580" s="12">
        <v>43886</v>
      </c>
      <c r="B1580">
        <v>299.12700000000001</v>
      </c>
      <c r="C1580">
        <v>267.142</v>
      </c>
      <c r="D1580">
        <f t="shared" si="10"/>
        <v>119.917</v>
      </c>
      <c r="E1580">
        <v>223.43899999999999</v>
      </c>
      <c r="F1580">
        <v>178.148</v>
      </c>
      <c r="G1580">
        <v>273.08600000000001</v>
      </c>
      <c r="H1580">
        <v>214.69200000000001</v>
      </c>
      <c r="I1580">
        <v>255.38900000000001</v>
      </c>
      <c r="L1580">
        <v>119.917</v>
      </c>
    </row>
    <row r="1581" spans="1:12" x14ac:dyDescent="0.25">
      <c r="A1581" s="12">
        <v>43887</v>
      </c>
      <c r="B1581">
        <v>296.62799999999999</v>
      </c>
      <c r="C1581">
        <v>267.25799999999998</v>
      </c>
      <c r="D1581">
        <f t="shared" si="10"/>
        <v>118.578</v>
      </c>
      <c r="E1581">
        <v>220.33699999999999</v>
      </c>
      <c r="F1581">
        <v>177.88</v>
      </c>
      <c r="G1581">
        <v>269.14499999999998</v>
      </c>
      <c r="H1581">
        <v>214.471</v>
      </c>
      <c r="I1581">
        <v>254.04599999999999</v>
      </c>
      <c r="L1581">
        <v>118.578</v>
      </c>
    </row>
    <row r="1582" spans="1:12" x14ac:dyDescent="0.25">
      <c r="A1582" s="12">
        <v>43888</v>
      </c>
      <c r="B1582">
        <v>294.38900000000001</v>
      </c>
      <c r="C1582">
        <v>267.02100000000002</v>
      </c>
      <c r="D1582">
        <f t="shared" si="10"/>
        <v>117.297</v>
      </c>
      <c r="E1582">
        <v>218.98699999999999</v>
      </c>
      <c r="F1582">
        <v>177.65899999999999</v>
      </c>
      <c r="G1582">
        <v>267.404</v>
      </c>
      <c r="H1582">
        <v>214.37899999999999</v>
      </c>
      <c r="I1582">
        <v>253.24</v>
      </c>
      <c r="L1582">
        <v>117.297</v>
      </c>
    </row>
    <row r="1583" spans="1:12" x14ac:dyDescent="0.25">
      <c r="A1583" s="12">
        <v>43889</v>
      </c>
      <c r="B1583">
        <v>293.10300000000001</v>
      </c>
      <c r="C1583">
        <v>266.73899999999998</v>
      </c>
      <c r="D1583">
        <f t="shared" si="10"/>
        <v>116.271</v>
      </c>
      <c r="E1583">
        <v>218.309</v>
      </c>
      <c r="F1583">
        <v>177.30500000000001</v>
      </c>
      <c r="G1583">
        <v>266.29700000000003</v>
      </c>
      <c r="H1583">
        <v>214.19800000000001</v>
      </c>
      <c r="I1583">
        <v>249.471</v>
      </c>
      <c r="L1583">
        <v>116.271</v>
      </c>
    </row>
    <row r="1584" spans="1:12" x14ac:dyDescent="0.25">
      <c r="A1584" s="12">
        <v>43892</v>
      </c>
      <c r="B1584">
        <v>289.16399999999999</v>
      </c>
      <c r="C1584">
        <v>266.43099999999998</v>
      </c>
      <c r="D1584">
        <f t="shared" si="10"/>
        <v>113.892</v>
      </c>
      <c r="E1584">
        <v>214.50399999999999</v>
      </c>
      <c r="F1584">
        <v>176.083</v>
      </c>
      <c r="G1584">
        <v>262.08300000000003</v>
      </c>
      <c r="H1584">
        <v>213.39500000000001</v>
      </c>
      <c r="I1584">
        <v>245.76400000000001</v>
      </c>
      <c r="L1584">
        <v>113.892</v>
      </c>
    </row>
    <row r="1585" spans="1:12" x14ac:dyDescent="0.25">
      <c r="A1585" s="12">
        <v>43893</v>
      </c>
      <c r="B1585">
        <v>288.08800000000002</v>
      </c>
      <c r="C1585">
        <v>266.221</v>
      </c>
      <c r="D1585">
        <f t="shared" si="10"/>
        <v>113.319</v>
      </c>
      <c r="E1585">
        <v>211.49600000000001</v>
      </c>
      <c r="F1585">
        <v>175.44399999999999</v>
      </c>
      <c r="G1585">
        <v>257.76400000000001</v>
      </c>
      <c r="H1585">
        <v>212.74700000000001</v>
      </c>
      <c r="I1585">
        <v>246.58</v>
      </c>
      <c r="L1585">
        <v>113.319</v>
      </c>
    </row>
    <row r="1586" spans="1:12" x14ac:dyDescent="0.25">
      <c r="A1586" s="12">
        <v>43894</v>
      </c>
      <c r="B1586">
        <v>289.87400000000002</v>
      </c>
      <c r="C1586">
        <v>266.41500000000002</v>
      </c>
      <c r="D1586">
        <f t="shared" si="10"/>
        <v>114.22799999999999</v>
      </c>
      <c r="E1586">
        <v>212.626</v>
      </c>
      <c r="F1586">
        <v>175.35</v>
      </c>
      <c r="G1586">
        <v>258.33199999999999</v>
      </c>
      <c r="H1586">
        <v>212.96899999999999</v>
      </c>
      <c r="I1586">
        <v>248.11699999999999</v>
      </c>
      <c r="L1586">
        <v>114.22799999999999</v>
      </c>
    </row>
    <row r="1587" spans="1:12" x14ac:dyDescent="0.25">
      <c r="A1587" s="12">
        <v>43895</v>
      </c>
      <c r="B1587">
        <v>290.30900000000003</v>
      </c>
      <c r="C1587">
        <v>266.827</v>
      </c>
      <c r="D1587">
        <f t="shared" si="10"/>
        <v>113.82599999999999</v>
      </c>
      <c r="E1587">
        <v>213.42400000000001</v>
      </c>
      <c r="F1587">
        <v>176.184</v>
      </c>
      <c r="G1587">
        <v>260.94900000000001</v>
      </c>
      <c r="H1587">
        <v>213.55500000000001</v>
      </c>
      <c r="I1587">
        <v>248.91200000000001</v>
      </c>
      <c r="L1587">
        <v>113.82599999999999</v>
      </c>
    </row>
    <row r="1588" spans="1:12" x14ac:dyDescent="0.25">
      <c r="A1588" s="12">
        <v>43896</v>
      </c>
      <c r="B1588">
        <v>291.78100000000001</v>
      </c>
      <c r="C1588">
        <v>267.03899999999999</v>
      </c>
      <c r="D1588">
        <f t="shared" si="10"/>
        <v>114.842</v>
      </c>
      <c r="E1588">
        <v>214.935</v>
      </c>
      <c r="F1588">
        <v>176.71899999999999</v>
      </c>
      <c r="G1588">
        <v>262.17200000000003</v>
      </c>
      <c r="H1588">
        <v>213.93299999999999</v>
      </c>
      <c r="I1588">
        <v>248.42699999999999</v>
      </c>
      <c r="L1588">
        <v>114.842</v>
      </c>
    </row>
    <row r="1589" spans="1:12" x14ac:dyDescent="0.25">
      <c r="A1589" s="12">
        <v>43899</v>
      </c>
      <c r="B1589">
        <v>289.31700000000001</v>
      </c>
      <c r="C1589">
        <v>266.81599999999997</v>
      </c>
      <c r="D1589">
        <f t="shared" si="10"/>
        <v>113.28100000000001</v>
      </c>
      <c r="E1589">
        <v>213.661</v>
      </c>
      <c r="F1589">
        <v>176.20699999999999</v>
      </c>
      <c r="G1589">
        <v>261.09300000000002</v>
      </c>
      <c r="H1589">
        <v>213.453</v>
      </c>
      <c r="I1589">
        <v>245.101</v>
      </c>
      <c r="L1589">
        <v>113.28100000000001</v>
      </c>
    </row>
    <row r="1590" spans="1:12" x14ac:dyDescent="0.25">
      <c r="A1590" s="12">
        <v>43900</v>
      </c>
      <c r="B1590">
        <v>285.166</v>
      </c>
      <c r="C1590">
        <v>266.26100000000002</v>
      </c>
      <c r="D1590">
        <f t="shared" si="10"/>
        <v>111.38500000000001</v>
      </c>
      <c r="E1590">
        <v>210.017</v>
      </c>
      <c r="F1590">
        <v>174.88300000000001</v>
      </c>
      <c r="G1590">
        <v>256.37299999999999</v>
      </c>
      <c r="H1590">
        <v>212.74700000000001</v>
      </c>
      <c r="I1590">
        <v>240.02600000000001</v>
      </c>
      <c r="L1590">
        <v>111.38500000000001</v>
      </c>
    </row>
    <row r="1591" spans="1:12" x14ac:dyDescent="0.25">
      <c r="A1591" s="12">
        <v>43901</v>
      </c>
      <c r="B1591">
        <v>280.04199999999997</v>
      </c>
      <c r="C1591">
        <v>265.38799999999998</v>
      </c>
      <c r="D1591">
        <f t="shared" si="10"/>
        <v>108.461</v>
      </c>
      <c r="E1591">
        <v>202.23</v>
      </c>
      <c r="F1591">
        <v>171.30199999999999</v>
      </c>
      <c r="G1591">
        <v>247.23099999999999</v>
      </c>
      <c r="H1591">
        <v>210.36099999999999</v>
      </c>
      <c r="I1591">
        <v>239.17500000000001</v>
      </c>
      <c r="L1591">
        <v>108.461</v>
      </c>
    </row>
    <row r="1592" spans="1:12" x14ac:dyDescent="0.25">
      <c r="A1592" s="12">
        <v>43902</v>
      </c>
      <c r="B1592">
        <v>279.87799999999999</v>
      </c>
      <c r="C1592">
        <v>263.28699999999998</v>
      </c>
      <c r="D1592">
        <f t="shared" si="10"/>
        <v>109.31399999999999</v>
      </c>
      <c r="E1592">
        <v>202.827</v>
      </c>
      <c r="F1592">
        <v>170.53100000000001</v>
      </c>
      <c r="G1592">
        <v>246.99700000000001</v>
      </c>
      <c r="H1592">
        <v>209.84299999999999</v>
      </c>
      <c r="I1592">
        <v>239.559</v>
      </c>
      <c r="L1592">
        <v>109.31399999999999</v>
      </c>
    </row>
    <row r="1593" spans="1:12" x14ac:dyDescent="0.25">
      <c r="A1593" s="12">
        <v>43903</v>
      </c>
      <c r="B1593">
        <v>273.46600000000001</v>
      </c>
      <c r="C1593">
        <v>261.63600000000002</v>
      </c>
      <c r="D1593">
        <f t="shared" si="10"/>
        <v>107.244</v>
      </c>
      <c r="E1593">
        <v>192.43700000000001</v>
      </c>
      <c r="F1593">
        <v>165.59899999999999</v>
      </c>
      <c r="G1593">
        <v>245.16</v>
      </c>
      <c r="H1593">
        <v>208.98400000000001</v>
      </c>
      <c r="I1593">
        <v>231.23400000000001</v>
      </c>
      <c r="L1593">
        <v>107.244</v>
      </c>
    </row>
    <row r="1594" spans="1:12" x14ac:dyDescent="0.25">
      <c r="A1594" s="12">
        <v>43906</v>
      </c>
      <c r="B1594">
        <v>268.04899999999998</v>
      </c>
      <c r="C1594">
        <v>259.44299999999998</v>
      </c>
      <c r="D1594">
        <f t="shared" si="10"/>
        <v>103.919</v>
      </c>
      <c r="E1594">
        <v>193.62200000000001</v>
      </c>
      <c r="F1594">
        <v>165.27799999999999</v>
      </c>
      <c r="G1594">
        <v>233.48699999999999</v>
      </c>
      <c r="H1594">
        <v>206.12799999999999</v>
      </c>
      <c r="I1594">
        <v>230.52199999999999</v>
      </c>
      <c r="L1594">
        <v>103.919</v>
      </c>
    </row>
    <row r="1595" spans="1:12" x14ac:dyDescent="0.25">
      <c r="A1595" s="12">
        <v>43907</v>
      </c>
      <c r="B1595">
        <v>267.33600000000001</v>
      </c>
      <c r="C1595">
        <v>256.31599999999997</v>
      </c>
      <c r="D1595">
        <f t="shared" si="10"/>
        <v>104.711</v>
      </c>
      <c r="E1595">
        <v>188.102</v>
      </c>
      <c r="F1595">
        <v>162.267</v>
      </c>
      <c r="G1595">
        <v>234.78100000000001</v>
      </c>
      <c r="H1595">
        <v>205.57400000000001</v>
      </c>
      <c r="I1595">
        <v>225.70099999999999</v>
      </c>
      <c r="L1595">
        <v>104.711</v>
      </c>
    </row>
    <row r="1596" spans="1:12" x14ac:dyDescent="0.25">
      <c r="A1596" s="12">
        <v>43908</v>
      </c>
      <c r="B1596">
        <v>260.86900000000003</v>
      </c>
      <c r="C1596">
        <v>254.00299999999999</v>
      </c>
      <c r="D1596">
        <f t="shared" si="10"/>
        <v>101.44499999999999</v>
      </c>
      <c r="E1596">
        <v>188.316</v>
      </c>
      <c r="F1596">
        <v>161.797</v>
      </c>
      <c r="G1596">
        <v>229.07300000000001</v>
      </c>
      <c r="H1596">
        <v>203.386</v>
      </c>
      <c r="I1596">
        <v>225.547</v>
      </c>
      <c r="L1596">
        <v>101.44499999999999</v>
      </c>
    </row>
    <row r="1597" spans="1:12" x14ac:dyDescent="0.25">
      <c r="A1597" s="12">
        <v>43909</v>
      </c>
      <c r="B1597">
        <v>257.23</v>
      </c>
      <c r="C1597">
        <v>249.14500000000001</v>
      </c>
      <c r="D1597">
        <f t="shared" si="10"/>
        <v>102.059</v>
      </c>
      <c r="E1597">
        <v>183.685</v>
      </c>
      <c r="F1597">
        <v>158.601</v>
      </c>
      <c r="G1597">
        <v>229.17</v>
      </c>
      <c r="H1597">
        <v>202.422</v>
      </c>
      <c r="I1597">
        <v>221.184</v>
      </c>
      <c r="L1597">
        <v>102.059</v>
      </c>
    </row>
    <row r="1598" spans="1:12" x14ac:dyDescent="0.25">
      <c r="A1598" s="12">
        <v>43910</v>
      </c>
      <c r="B1598">
        <v>252.83799999999999</v>
      </c>
      <c r="C1598">
        <v>244.87</v>
      </c>
      <c r="D1598">
        <f t="shared" si="10"/>
        <v>100.501</v>
      </c>
      <c r="E1598">
        <v>183.40100000000001</v>
      </c>
      <c r="F1598">
        <v>157.37200000000001</v>
      </c>
      <c r="G1598">
        <v>223.64099999999999</v>
      </c>
      <c r="H1598">
        <v>198.76</v>
      </c>
      <c r="I1598">
        <v>222.25299999999999</v>
      </c>
      <c r="L1598">
        <v>100.501</v>
      </c>
    </row>
    <row r="1599" spans="1:12" x14ac:dyDescent="0.25">
      <c r="A1599" s="12">
        <v>43913</v>
      </c>
      <c r="B1599">
        <v>253.41300000000001</v>
      </c>
      <c r="C1599">
        <v>243.709</v>
      </c>
      <c r="D1599">
        <f t="shared" si="10"/>
        <v>101.267</v>
      </c>
      <c r="E1599">
        <v>185.69800000000001</v>
      </c>
      <c r="F1599">
        <v>159.74799999999999</v>
      </c>
      <c r="G1599">
        <v>223.333</v>
      </c>
      <c r="H1599">
        <v>197.04300000000001</v>
      </c>
      <c r="I1599">
        <v>223.88499999999999</v>
      </c>
      <c r="L1599">
        <v>101.267</v>
      </c>
    </row>
    <row r="1600" spans="1:12" x14ac:dyDescent="0.25">
      <c r="A1600" s="12">
        <v>43914</v>
      </c>
      <c r="B1600">
        <v>251.114</v>
      </c>
      <c r="C1600">
        <v>243.07</v>
      </c>
      <c r="D1600">
        <f t="shared" si="10"/>
        <v>100.01600000000001</v>
      </c>
      <c r="E1600">
        <v>182.251</v>
      </c>
      <c r="F1600">
        <v>158.85900000000001</v>
      </c>
      <c r="G1600">
        <v>225.631</v>
      </c>
      <c r="H1600">
        <v>197.71</v>
      </c>
      <c r="I1600">
        <v>219.208</v>
      </c>
      <c r="L1600">
        <v>100.01600000000001</v>
      </c>
    </row>
    <row r="1601" spans="1:12" x14ac:dyDescent="0.25">
      <c r="A1601" s="12">
        <v>43915</v>
      </c>
      <c r="B1601">
        <v>251.494</v>
      </c>
      <c r="C1601">
        <v>242.93899999999999</v>
      </c>
      <c r="D1601">
        <f t="shared" si="10"/>
        <v>99.587999999999994</v>
      </c>
      <c r="E1601">
        <v>186.99600000000001</v>
      </c>
      <c r="F1601">
        <v>159.636</v>
      </c>
      <c r="G1601">
        <v>220.57599999999999</v>
      </c>
      <c r="H1601">
        <v>196.47800000000001</v>
      </c>
      <c r="I1601">
        <v>224.40600000000001</v>
      </c>
      <c r="L1601">
        <v>0.99587999999999999</v>
      </c>
    </row>
    <row r="1602" spans="1:12" x14ac:dyDescent="0.25">
      <c r="A1602" s="12">
        <v>43916</v>
      </c>
      <c r="B1602">
        <v>256.82499999999999</v>
      </c>
      <c r="C1602">
        <v>243.16300000000001</v>
      </c>
      <c r="D1602">
        <f t="shared" si="10"/>
        <v>102.242</v>
      </c>
      <c r="E1602">
        <v>190.18600000000001</v>
      </c>
      <c r="F1602">
        <v>161.471</v>
      </c>
      <c r="G1602">
        <v>226.036</v>
      </c>
      <c r="H1602">
        <v>196.79</v>
      </c>
      <c r="I1602">
        <v>226.96700000000001</v>
      </c>
      <c r="L1602">
        <v>102.242</v>
      </c>
    </row>
    <row r="1603" spans="1:12" x14ac:dyDescent="0.25">
      <c r="A1603" s="12">
        <v>43917</v>
      </c>
      <c r="B1603">
        <v>259.37700000000001</v>
      </c>
      <c r="C1603">
        <v>244.4</v>
      </c>
      <c r="D1603">
        <f t="shared" si="10"/>
        <v>103.131</v>
      </c>
      <c r="E1603">
        <v>192.43700000000001</v>
      </c>
      <c r="F1603">
        <v>162.66200000000001</v>
      </c>
      <c r="G1603">
        <v>229.78399999999999</v>
      </c>
      <c r="H1603">
        <v>197.67</v>
      </c>
      <c r="I1603">
        <v>228.98099999999999</v>
      </c>
      <c r="L1603">
        <v>103.131</v>
      </c>
    </row>
    <row r="1604" spans="1:12" x14ac:dyDescent="0.25">
      <c r="A1604" s="12">
        <v>43920</v>
      </c>
      <c r="B1604">
        <v>262.30900000000003</v>
      </c>
      <c r="C1604">
        <v>246.137</v>
      </c>
      <c r="D1604">
        <f t="shared" si="10"/>
        <v>104.355</v>
      </c>
      <c r="E1604">
        <v>190.91399999999999</v>
      </c>
      <c r="F1604">
        <v>162.416</v>
      </c>
      <c r="G1604">
        <v>232.43899999999999</v>
      </c>
      <c r="H1604">
        <v>198.989</v>
      </c>
      <c r="I1604">
        <v>227.49</v>
      </c>
      <c r="L1604">
        <v>104.355</v>
      </c>
    </row>
    <row r="1605" spans="1:12" x14ac:dyDescent="0.25">
      <c r="A1605" s="12">
        <v>43921</v>
      </c>
      <c r="B1605">
        <v>261.68599999999998</v>
      </c>
      <c r="C1605">
        <v>247.648</v>
      </c>
      <c r="D1605">
        <f t="shared" si="10"/>
        <v>103.892</v>
      </c>
      <c r="E1605">
        <v>191.24700000000001</v>
      </c>
      <c r="F1605">
        <v>162.05600000000001</v>
      </c>
      <c r="G1605">
        <v>231.29300000000001</v>
      </c>
      <c r="H1605">
        <v>199.727</v>
      </c>
      <c r="I1605">
        <v>228.654</v>
      </c>
      <c r="L1605">
        <v>103.892</v>
      </c>
    </row>
    <row r="1606" spans="1:12" x14ac:dyDescent="0.25">
      <c r="A1606" s="12">
        <v>43922</v>
      </c>
      <c r="B1606">
        <v>263.77499999999998</v>
      </c>
      <c r="C1606">
        <v>248.81800000000001</v>
      </c>
      <c r="D1606">
        <f t="shared" si="10"/>
        <v>105.16200000000001</v>
      </c>
      <c r="E1606">
        <v>192.18299999999999</v>
      </c>
      <c r="F1606">
        <v>162.30000000000001</v>
      </c>
      <c r="G1606">
        <v>232.072</v>
      </c>
      <c r="H1606">
        <v>199.68299999999999</v>
      </c>
      <c r="I1606">
        <v>229.86</v>
      </c>
      <c r="L1606">
        <v>105.16200000000001</v>
      </c>
    </row>
    <row r="1607" spans="1:12" x14ac:dyDescent="0.25">
      <c r="A1607" s="12">
        <v>43923</v>
      </c>
      <c r="B1607">
        <v>262.71199999999999</v>
      </c>
      <c r="C1607">
        <v>248.881</v>
      </c>
      <c r="D1607">
        <f t="shared" si="10"/>
        <v>104.495</v>
      </c>
      <c r="E1607">
        <v>189.791</v>
      </c>
      <c r="F1607">
        <v>161.65100000000001</v>
      </c>
      <c r="G1607">
        <v>234.12799999999999</v>
      </c>
      <c r="H1607">
        <v>200.114</v>
      </c>
      <c r="I1607">
        <v>227.148</v>
      </c>
      <c r="L1607">
        <v>104.495</v>
      </c>
    </row>
    <row r="1608" spans="1:12" x14ac:dyDescent="0.25">
      <c r="A1608" s="12">
        <v>43924</v>
      </c>
      <c r="B1608">
        <v>260.78800000000001</v>
      </c>
      <c r="C1608">
        <v>249.042</v>
      </c>
      <c r="D1608">
        <f t="shared" si="10"/>
        <v>103.435</v>
      </c>
      <c r="E1608">
        <v>190.48699999999999</v>
      </c>
      <c r="F1608">
        <v>162.012</v>
      </c>
      <c r="G1608">
        <v>230.64699999999999</v>
      </c>
      <c r="H1608">
        <v>199.59100000000001</v>
      </c>
      <c r="I1608">
        <v>227.387</v>
      </c>
      <c r="L1608">
        <v>103.435</v>
      </c>
    </row>
    <row r="1609" spans="1:12" x14ac:dyDescent="0.25">
      <c r="A1609" s="12">
        <v>43927</v>
      </c>
      <c r="B1609">
        <v>262.01499999999999</v>
      </c>
      <c r="C1609">
        <v>249.61600000000001</v>
      </c>
      <c r="D1609">
        <f t="shared" si="10"/>
        <v>104.20699999999999</v>
      </c>
      <c r="E1609">
        <v>190.328</v>
      </c>
      <c r="F1609">
        <v>162.351</v>
      </c>
      <c r="G1609">
        <v>230.93799999999999</v>
      </c>
      <c r="H1609">
        <v>199.64099999999999</v>
      </c>
      <c r="I1609">
        <v>227.006</v>
      </c>
      <c r="L1609">
        <v>104.20699999999999</v>
      </c>
    </row>
    <row r="1610" spans="1:12" x14ac:dyDescent="0.25">
      <c r="A1610" s="12">
        <v>43928</v>
      </c>
      <c r="B1610">
        <v>262.77800000000002</v>
      </c>
      <c r="C1610">
        <v>249.49</v>
      </c>
      <c r="D1610">
        <f t="shared" si="10"/>
        <v>104.34099999999999</v>
      </c>
      <c r="E1610">
        <v>192.96</v>
      </c>
      <c r="F1610">
        <v>162.67400000000001</v>
      </c>
      <c r="G1610">
        <v>230.762</v>
      </c>
      <c r="H1610">
        <v>199.476</v>
      </c>
      <c r="I1610">
        <v>229.05</v>
      </c>
      <c r="L1610">
        <v>104.34099999999999</v>
      </c>
    </row>
    <row r="1611" spans="1:12" x14ac:dyDescent="0.25">
      <c r="A1611" s="12">
        <v>43929</v>
      </c>
      <c r="B1611">
        <v>266.25200000000001</v>
      </c>
      <c r="C1611">
        <v>249.292</v>
      </c>
      <c r="D1611">
        <f t="shared" si="10"/>
        <v>106.42700000000001</v>
      </c>
      <c r="E1611">
        <v>194.50200000000001</v>
      </c>
      <c r="F1611">
        <v>162.59</v>
      </c>
      <c r="G1611">
        <v>234.04400000000001</v>
      </c>
      <c r="H1611">
        <v>199.58500000000001</v>
      </c>
      <c r="I1611">
        <v>231.03200000000001</v>
      </c>
      <c r="L1611">
        <v>106.42700000000001</v>
      </c>
    </row>
    <row r="1612" spans="1:12" x14ac:dyDescent="0.25">
      <c r="A1612" s="12">
        <v>43930</v>
      </c>
      <c r="B1612">
        <v>267.154</v>
      </c>
      <c r="C1612">
        <v>249.928</v>
      </c>
      <c r="D1612">
        <f t="shared" si="10"/>
        <v>106.13</v>
      </c>
      <c r="E1612">
        <v>194.89599999999999</v>
      </c>
      <c r="F1612">
        <v>162.81800000000001</v>
      </c>
      <c r="G1612">
        <v>237.18600000000001</v>
      </c>
      <c r="H1612">
        <v>199.87799999999999</v>
      </c>
      <c r="I1612">
        <v>230.84700000000001</v>
      </c>
      <c r="L1612">
        <v>106.13</v>
      </c>
    </row>
    <row r="1613" spans="1:12" x14ac:dyDescent="0.25">
      <c r="A1613" s="12">
        <v>43935</v>
      </c>
      <c r="B1613">
        <v>269.22000000000003</v>
      </c>
      <c r="C1613">
        <v>250.83</v>
      </c>
      <c r="D1613">
        <f t="shared" si="10"/>
        <v>107.447</v>
      </c>
      <c r="E1613">
        <v>196.80500000000001</v>
      </c>
      <c r="F1613">
        <v>164.11</v>
      </c>
      <c r="G1613">
        <v>236.90799999999999</v>
      </c>
      <c r="H1613">
        <v>200.07400000000001</v>
      </c>
      <c r="L1613">
        <v>107.447</v>
      </c>
    </row>
    <row r="1614" spans="1:12" x14ac:dyDescent="0.25">
      <c r="A1614" s="12">
        <v>43936</v>
      </c>
      <c r="B1614">
        <v>271.512</v>
      </c>
      <c r="C1614">
        <v>253.01400000000001</v>
      </c>
      <c r="D1614">
        <f t="shared" si="10"/>
        <v>108.161</v>
      </c>
      <c r="E1614">
        <v>197.672</v>
      </c>
      <c r="F1614">
        <v>164.43899999999999</v>
      </c>
      <c r="G1614">
        <v>239.82599999999999</v>
      </c>
      <c r="H1614">
        <v>201.55799999999999</v>
      </c>
      <c r="I1614">
        <v>233.245</v>
      </c>
      <c r="L1614">
        <v>108.161</v>
      </c>
    </row>
    <row r="1615" spans="1:12" x14ac:dyDescent="0.25">
      <c r="A1615" s="12">
        <v>43937</v>
      </c>
      <c r="B1615">
        <v>272.86900000000003</v>
      </c>
      <c r="C1615">
        <v>254.88900000000001</v>
      </c>
      <c r="D1615">
        <f t="shared" si="10"/>
        <v>108.845</v>
      </c>
      <c r="E1615">
        <v>196.64400000000001</v>
      </c>
      <c r="F1615">
        <v>164.11500000000001</v>
      </c>
      <c r="G1615">
        <v>241.31700000000001</v>
      </c>
      <c r="H1615">
        <v>202.64</v>
      </c>
      <c r="I1615">
        <v>232.37100000000001</v>
      </c>
      <c r="L1615">
        <v>108.845</v>
      </c>
    </row>
    <row r="1616" spans="1:12" x14ac:dyDescent="0.25">
      <c r="A1616" s="12">
        <v>43938</v>
      </c>
      <c r="B1616">
        <v>272.34199999999998</v>
      </c>
      <c r="C1616">
        <v>255.422</v>
      </c>
      <c r="D1616">
        <f t="shared" si="10"/>
        <v>108.43</v>
      </c>
      <c r="E1616">
        <v>197.19399999999999</v>
      </c>
      <c r="F1616">
        <v>164.37</v>
      </c>
      <c r="G1616">
        <v>239.74299999999999</v>
      </c>
      <c r="H1616">
        <v>202.62</v>
      </c>
      <c r="I1616">
        <v>232.928</v>
      </c>
      <c r="L1616">
        <v>108.43</v>
      </c>
    </row>
    <row r="1617" spans="1:12" x14ac:dyDescent="0.25">
      <c r="A1617" s="12">
        <v>43941</v>
      </c>
      <c r="B1617">
        <v>273.58800000000002</v>
      </c>
      <c r="C1617">
        <v>255.56399999999999</v>
      </c>
      <c r="D1617">
        <f t="shared" si="10"/>
        <v>108.997</v>
      </c>
      <c r="E1617">
        <v>198.43700000000001</v>
      </c>
      <c r="F1617">
        <v>164.31800000000001</v>
      </c>
      <c r="G1617">
        <v>240.505</v>
      </c>
      <c r="H1617">
        <v>202.90799999999999</v>
      </c>
      <c r="I1617">
        <v>234.23</v>
      </c>
      <c r="L1617">
        <v>108.997</v>
      </c>
    </row>
    <row r="1618" spans="1:12" x14ac:dyDescent="0.25">
      <c r="A1618" s="12">
        <v>43942</v>
      </c>
      <c r="B1618">
        <v>274.86200000000002</v>
      </c>
      <c r="C1618">
        <v>255.405</v>
      </c>
      <c r="D1618">
        <f t="shared" si="10"/>
        <v>109.79300000000001</v>
      </c>
      <c r="E1618">
        <v>198.51</v>
      </c>
      <c r="F1618">
        <v>164.06100000000001</v>
      </c>
      <c r="G1618">
        <v>242.71</v>
      </c>
      <c r="H1618">
        <v>203.12799999999999</v>
      </c>
      <c r="I1618">
        <v>234.696</v>
      </c>
      <c r="L1618">
        <v>109.79300000000001</v>
      </c>
    </row>
    <row r="1619" spans="1:12" x14ac:dyDescent="0.25">
      <c r="A1619" s="12">
        <v>43943</v>
      </c>
      <c r="B1619">
        <v>273.601</v>
      </c>
      <c r="C1619">
        <v>255.566</v>
      </c>
      <c r="D1619">
        <f t="shared" ref="D1619:D1682" si="11">IF(L1619&gt;1,L1619,L1619*100)</f>
        <v>108.901</v>
      </c>
      <c r="E1619">
        <v>196.06399999999999</v>
      </c>
      <c r="F1619">
        <v>163.42500000000001</v>
      </c>
      <c r="G1619">
        <v>242.97300000000001</v>
      </c>
      <c r="H1619">
        <v>202.93</v>
      </c>
      <c r="I1619">
        <v>231.876</v>
      </c>
      <c r="L1619">
        <v>108.901</v>
      </c>
    </row>
    <row r="1620" spans="1:12" x14ac:dyDescent="0.25">
      <c r="A1620" s="12">
        <v>43944</v>
      </c>
      <c r="B1620">
        <v>271.80500000000001</v>
      </c>
      <c r="C1620">
        <v>255.24799999999999</v>
      </c>
      <c r="D1620">
        <f t="shared" si="11"/>
        <v>107.91500000000001</v>
      </c>
      <c r="E1620">
        <v>196.81700000000001</v>
      </c>
      <c r="F1620">
        <v>163.273</v>
      </c>
      <c r="G1620">
        <v>239.67099999999999</v>
      </c>
      <c r="H1620">
        <v>202.476</v>
      </c>
      <c r="I1620">
        <v>232.39400000000001</v>
      </c>
      <c r="L1620">
        <v>107.91500000000001</v>
      </c>
    </row>
    <row r="1621" spans="1:12" x14ac:dyDescent="0.25">
      <c r="A1621" s="12">
        <v>43945</v>
      </c>
      <c r="B1621">
        <v>273.346</v>
      </c>
      <c r="C1621">
        <v>255.435</v>
      </c>
      <c r="D1621">
        <f t="shared" si="11"/>
        <v>108.895</v>
      </c>
      <c r="E1621">
        <v>197.91399999999999</v>
      </c>
      <c r="F1621">
        <v>163.77500000000001</v>
      </c>
      <c r="G1621">
        <v>240.61099999999999</v>
      </c>
      <c r="H1621">
        <v>202.36799999999999</v>
      </c>
      <c r="I1621">
        <v>233.77600000000001</v>
      </c>
      <c r="L1621">
        <v>108.895</v>
      </c>
    </row>
    <row r="1622" spans="1:12" x14ac:dyDescent="0.25">
      <c r="A1622" s="12">
        <v>43948</v>
      </c>
      <c r="B1622">
        <v>273.55799999999999</v>
      </c>
      <c r="C1622">
        <v>255.78200000000001</v>
      </c>
      <c r="D1622">
        <f t="shared" si="11"/>
        <v>109.04600000000001</v>
      </c>
      <c r="E1622">
        <v>197.64099999999999</v>
      </c>
      <c r="F1622">
        <v>163.81800000000001</v>
      </c>
      <c r="G1622">
        <v>241.96299999999999</v>
      </c>
      <c r="H1622">
        <v>202.62899999999999</v>
      </c>
      <c r="I1622">
        <v>233.22499999999999</v>
      </c>
      <c r="L1622">
        <v>109.04600000000001</v>
      </c>
    </row>
    <row r="1623" spans="1:12" x14ac:dyDescent="0.25">
      <c r="A1623" s="12">
        <v>43949</v>
      </c>
      <c r="B1623">
        <v>274.09500000000003</v>
      </c>
      <c r="C1623">
        <v>255.73400000000001</v>
      </c>
      <c r="D1623">
        <f t="shared" si="11"/>
        <v>109.708</v>
      </c>
      <c r="E1623">
        <v>198.65199999999999</v>
      </c>
      <c r="F1623">
        <v>163.81100000000001</v>
      </c>
      <c r="G1623">
        <v>241.12799999999999</v>
      </c>
      <c r="H1623">
        <v>202.50299999999999</v>
      </c>
      <c r="I1623">
        <v>234.62799999999999</v>
      </c>
      <c r="L1623">
        <v>109.708</v>
      </c>
    </row>
    <row r="1624" spans="1:12" x14ac:dyDescent="0.25">
      <c r="A1624" s="12">
        <v>43950</v>
      </c>
      <c r="B1624">
        <v>275.23</v>
      </c>
      <c r="C1624">
        <v>255.761</v>
      </c>
      <c r="D1624">
        <f t="shared" si="11"/>
        <v>110.437</v>
      </c>
      <c r="E1624">
        <v>198.989</v>
      </c>
      <c r="F1624">
        <v>163.68899999999999</v>
      </c>
      <c r="G1624">
        <v>242.613</v>
      </c>
      <c r="H1624">
        <v>202.48400000000001</v>
      </c>
      <c r="I1624">
        <v>235.42400000000001</v>
      </c>
      <c r="L1624">
        <v>110.437</v>
      </c>
    </row>
    <row r="1625" spans="1:12" x14ac:dyDescent="0.25">
      <c r="A1625" s="12">
        <v>43951</v>
      </c>
      <c r="B1625">
        <v>276.12</v>
      </c>
      <c r="C1625">
        <v>255.99</v>
      </c>
      <c r="D1625">
        <f t="shared" si="11"/>
        <v>110.861</v>
      </c>
      <c r="E1625">
        <v>200.584</v>
      </c>
      <c r="F1625">
        <v>164.352</v>
      </c>
      <c r="G1625">
        <v>243.905</v>
      </c>
      <c r="H1625">
        <v>202.65600000000001</v>
      </c>
      <c r="I1625">
        <v>236.41200000000001</v>
      </c>
      <c r="L1625">
        <v>110.861</v>
      </c>
    </row>
    <row r="1626" spans="1:12" x14ac:dyDescent="0.25">
      <c r="A1626" s="12">
        <v>43956</v>
      </c>
      <c r="B1626">
        <v>277.09699999999998</v>
      </c>
      <c r="C1626">
        <v>256.25400000000002</v>
      </c>
      <c r="D1626">
        <f t="shared" si="11"/>
        <v>111.556</v>
      </c>
      <c r="E1626">
        <v>200.35300000000001</v>
      </c>
      <c r="F1626">
        <v>164.76300000000001</v>
      </c>
      <c r="G1626">
        <v>245.56899999999999</v>
      </c>
      <c r="H1626">
        <v>203.19499999999999</v>
      </c>
      <c r="I1626">
        <v>235.935</v>
      </c>
      <c r="L1626">
        <v>111.556</v>
      </c>
    </row>
    <row r="1627" spans="1:12" x14ac:dyDescent="0.25">
      <c r="A1627" s="12">
        <v>43957</v>
      </c>
      <c r="B1627">
        <v>274.70100000000002</v>
      </c>
      <c r="C1627">
        <v>255.999</v>
      </c>
      <c r="D1627">
        <f t="shared" si="11"/>
        <v>109.92100000000001</v>
      </c>
      <c r="E1627">
        <v>199.892</v>
      </c>
      <c r="F1627">
        <v>165.191</v>
      </c>
      <c r="G1627">
        <v>241.25</v>
      </c>
      <c r="H1627">
        <v>203.20500000000001</v>
      </c>
      <c r="I1627">
        <v>235.482</v>
      </c>
      <c r="L1627">
        <v>109.92100000000001</v>
      </c>
    </row>
    <row r="1628" spans="1:12" x14ac:dyDescent="0.25">
      <c r="A1628" s="12">
        <v>43958</v>
      </c>
      <c r="B1628">
        <v>275.01799999999997</v>
      </c>
      <c r="C1628">
        <v>255.76400000000001</v>
      </c>
      <c r="D1628">
        <f t="shared" si="11"/>
        <v>110.559</v>
      </c>
      <c r="E1628">
        <v>199.60499999999999</v>
      </c>
      <c r="F1628">
        <v>164.97</v>
      </c>
      <c r="G1628">
        <v>243.90199999999999</v>
      </c>
      <c r="H1628">
        <v>203.73500000000001</v>
      </c>
      <c r="I1628">
        <v>235.02799999999999</v>
      </c>
      <c r="L1628">
        <v>110.559</v>
      </c>
    </row>
    <row r="1629" spans="1:12" x14ac:dyDescent="0.25">
      <c r="A1629" s="12">
        <v>43959</v>
      </c>
      <c r="B1629">
        <v>275.05500000000001</v>
      </c>
      <c r="C1629">
        <v>255.529</v>
      </c>
      <c r="D1629">
        <f t="shared" si="11"/>
        <v>110.44799999999999</v>
      </c>
      <c r="E1629">
        <v>200.38300000000001</v>
      </c>
      <c r="F1629">
        <v>165.49100000000001</v>
      </c>
      <c r="G1629">
        <v>243.75299999999999</v>
      </c>
      <c r="H1629">
        <v>203.50700000000001</v>
      </c>
      <c r="I1629">
        <v>235.745</v>
      </c>
      <c r="L1629">
        <v>110.44799999999999</v>
      </c>
    </row>
    <row r="1630" spans="1:12" x14ac:dyDescent="0.25">
      <c r="A1630" s="12">
        <v>43962</v>
      </c>
      <c r="B1630">
        <v>276.02100000000002</v>
      </c>
      <c r="C1630">
        <v>255.59299999999999</v>
      </c>
      <c r="D1630">
        <f t="shared" si="11"/>
        <v>110.503</v>
      </c>
      <c r="E1630">
        <v>200.952</v>
      </c>
      <c r="F1630">
        <v>165.61699999999999</v>
      </c>
      <c r="G1630">
        <v>244.80699999999999</v>
      </c>
      <c r="H1630">
        <v>203.74</v>
      </c>
      <c r="I1630">
        <v>235.96</v>
      </c>
      <c r="L1630">
        <v>110.503</v>
      </c>
    </row>
    <row r="1631" spans="1:12" x14ac:dyDescent="0.25">
      <c r="A1631" s="12">
        <v>43963</v>
      </c>
      <c r="B1631">
        <v>276.565</v>
      </c>
      <c r="C1631">
        <v>255.59399999999999</v>
      </c>
      <c r="D1631">
        <f t="shared" si="11"/>
        <v>110.97199999999999</v>
      </c>
      <c r="E1631">
        <v>201.37200000000001</v>
      </c>
      <c r="F1631">
        <v>165.62899999999999</v>
      </c>
      <c r="G1631">
        <v>245.53</v>
      </c>
      <c r="H1631">
        <v>203.791</v>
      </c>
      <c r="I1631">
        <v>236.07</v>
      </c>
      <c r="L1631">
        <v>110.97199999999999</v>
      </c>
    </row>
    <row r="1632" spans="1:12" x14ac:dyDescent="0.25">
      <c r="A1632" s="12">
        <v>43964</v>
      </c>
      <c r="B1632">
        <v>276.78399999999999</v>
      </c>
      <c r="C1632">
        <v>255.47800000000001</v>
      </c>
      <c r="D1632">
        <f t="shared" si="11"/>
        <v>111.268</v>
      </c>
      <c r="E1632">
        <v>201.262</v>
      </c>
      <c r="F1632">
        <v>165.822</v>
      </c>
      <c r="G1632">
        <v>246.04400000000001</v>
      </c>
      <c r="H1632">
        <v>204.03899999999999</v>
      </c>
      <c r="I1632">
        <v>236.74199999999999</v>
      </c>
      <c r="L1632">
        <v>111.268</v>
      </c>
    </row>
    <row r="1633" spans="1:12" x14ac:dyDescent="0.25">
      <c r="A1633" s="12">
        <v>43965</v>
      </c>
      <c r="B1633">
        <v>275.28399999999999</v>
      </c>
      <c r="C1633">
        <v>255.566</v>
      </c>
      <c r="D1633">
        <f t="shared" si="11"/>
        <v>110.38500000000001</v>
      </c>
      <c r="E1633">
        <v>200.17599999999999</v>
      </c>
      <c r="F1633">
        <v>165.61099999999999</v>
      </c>
      <c r="G1633">
        <v>246.42099999999999</v>
      </c>
      <c r="H1633">
        <v>204.21600000000001</v>
      </c>
      <c r="I1633">
        <v>235.47200000000001</v>
      </c>
      <c r="L1633">
        <v>110.38500000000001</v>
      </c>
    </row>
    <row r="1634" spans="1:12" x14ac:dyDescent="0.25">
      <c r="A1634" s="12">
        <v>43966</v>
      </c>
      <c r="B1634">
        <v>274.79599999999999</v>
      </c>
      <c r="C1634">
        <v>255.87299999999999</v>
      </c>
      <c r="D1634">
        <f t="shared" si="11"/>
        <v>109.801</v>
      </c>
      <c r="E1634">
        <v>199.679</v>
      </c>
      <c r="F1634">
        <v>165.398</v>
      </c>
      <c r="G1634">
        <v>244.54</v>
      </c>
      <c r="H1634">
        <v>204.12299999999999</v>
      </c>
      <c r="I1634">
        <v>234.452</v>
      </c>
      <c r="L1634">
        <v>109.801</v>
      </c>
    </row>
    <row r="1635" spans="1:12" x14ac:dyDescent="0.25">
      <c r="A1635" s="12">
        <v>43969</v>
      </c>
      <c r="B1635">
        <v>275.35599999999999</v>
      </c>
      <c r="C1635">
        <v>255.809</v>
      </c>
      <c r="D1635">
        <f t="shared" si="11"/>
        <v>109.995</v>
      </c>
      <c r="E1635">
        <v>200.05699999999999</v>
      </c>
      <c r="F1635">
        <v>165.61799999999999</v>
      </c>
      <c r="G1635">
        <v>242.82</v>
      </c>
      <c r="H1635">
        <v>203.886</v>
      </c>
      <c r="I1635">
        <v>234.63200000000001</v>
      </c>
      <c r="L1635">
        <v>109.995</v>
      </c>
    </row>
    <row r="1636" spans="1:12" x14ac:dyDescent="0.25">
      <c r="A1636" s="12">
        <v>43970</v>
      </c>
      <c r="B1636">
        <v>276.46300000000002</v>
      </c>
      <c r="C1636">
        <v>255.80699999999999</v>
      </c>
      <c r="D1636">
        <f t="shared" si="11"/>
        <v>110.48399999999999</v>
      </c>
      <c r="E1636">
        <v>201.61500000000001</v>
      </c>
      <c r="F1636">
        <v>166.11600000000001</v>
      </c>
      <c r="G1636">
        <v>243.49600000000001</v>
      </c>
      <c r="H1636">
        <v>204.03700000000001</v>
      </c>
      <c r="I1636">
        <v>236.84800000000001</v>
      </c>
      <c r="L1636">
        <v>110.48399999999999</v>
      </c>
    </row>
    <row r="1637" spans="1:12" x14ac:dyDescent="0.25">
      <c r="A1637" s="12">
        <v>43971</v>
      </c>
      <c r="B1637">
        <v>277.44200000000001</v>
      </c>
      <c r="C1637">
        <v>255.61199999999999</v>
      </c>
      <c r="D1637">
        <f t="shared" si="11"/>
        <v>111.04900000000001</v>
      </c>
      <c r="E1637">
        <v>201.58500000000001</v>
      </c>
      <c r="F1637">
        <v>166.268</v>
      </c>
      <c r="G1637">
        <v>246.95699999999999</v>
      </c>
      <c r="H1637">
        <v>204.5</v>
      </c>
      <c r="I1637">
        <v>236.923</v>
      </c>
      <c r="L1637">
        <v>111.04900000000001</v>
      </c>
    </row>
    <row r="1638" spans="1:12" x14ac:dyDescent="0.25">
      <c r="A1638" s="12">
        <v>43972</v>
      </c>
      <c r="B1638">
        <v>277.50900000000001</v>
      </c>
      <c r="C1638">
        <v>256.13799999999998</v>
      </c>
      <c r="D1638">
        <f t="shared" si="11"/>
        <v>110.97499999999999</v>
      </c>
      <c r="E1638">
        <v>202.41900000000001</v>
      </c>
      <c r="F1638">
        <v>166.73599999999999</v>
      </c>
      <c r="G1638">
        <v>247.059</v>
      </c>
      <c r="H1638">
        <v>204.59700000000001</v>
      </c>
      <c r="I1638">
        <v>237.393</v>
      </c>
      <c r="L1638">
        <v>110.97499999999999</v>
      </c>
    </row>
    <row r="1639" spans="1:12" x14ac:dyDescent="0.25">
      <c r="A1639" s="12">
        <v>43973</v>
      </c>
      <c r="B1639">
        <v>278.053</v>
      </c>
      <c r="C1639">
        <v>256.81</v>
      </c>
      <c r="D1639">
        <f t="shared" si="11"/>
        <v>111.395</v>
      </c>
      <c r="E1639">
        <v>202.495</v>
      </c>
      <c r="F1639">
        <v>167.184</v>
      </c>
      <c r="G1639">
        <v>248.07499999999999</v>
      </c>
      <c r="H1639">
        <v>205.143</v>
      </c>
      <c r="I1639">
        <v>237.071</v>
      </c>
      <c r="L1639">
        <v>111.395</v>
      </c>
    </row>
    <row r="1640" spans="1:12" x14ac:dyDescent="0.25">
      <c r="A1640" s="12">
        <v>43976</v>
      </c>
      <c r="B1640">
        <v>278.72500000000002</v>
      </c>
      <c r="C1640">
        <v>257.28800000000001</v>
      </c>
      <c r="D1640">
        <f t="shared" si="11"/>
        <v>111.461</v>
      </c>
      <c r="E1640">
        <v>202.39699999999999</v>
      </c>
      <c r="F1640">
        <v>167.38900000000001</v>
      </c>
      <c r="G1640">
        <v>248.06399999999999</v>
      </c>
      <c r="H1640">
        <v>205.684</v>
      </c>
      <c r="I1640">
        <v>237.322</v>
      </c>
      <c r="L1640">
        <v>111.461</v>
      </c>
    </row>
    <row r="1641" spans="1:12" x14ac:dyDescent="0.25">
      <c r="A1641" s="12">
        <v>43977</v>
      </c>
      <c r="B1641">
        <v>278.81400000000002</v>
      </c>
      <c r="C1641">
        <v>257.47300000000001</v>
      </c>
      <c r="D1641">
        <f t="shared" si="11"/>
        <v>111.52800000000001</v>
      </c>
      <c r="E1641">
        <v>203.108</v>
      </c>
      <c r="F1641">
        <v>167.54400000000001</v>
      </c>
      <c r="G1641">
        <v>247.96700000000001</v>
      </c>
      <c r="H1641">
        <v>205.70500000000001</v>
      </c>
      <c r="I1641">
        <v>238.39</v>
      </c>
      <c r="L1641">
        <v>111.52800000000001</v>
      </c>
    </row>
    <row r="1642" spans="1:12" x14ac:dyDescent="0.25">
      <c r="A1642" s="12">
        <v>43978</v>
      </c>
      <c r="B1642">
        <v>279.18200000000002</v>
      </c>
      <c r="C1642">
        <v>257.495</v>
      </c>
      <c r="D1642">
        <f t="shared" si="11"/>
        <v>111.708</v>
      </c>
      <c r="E1642">
        <v>203.30600000000001</v>
      </c>
      <c r="F1642">
        <v>167.46600000000001</v>
      </c>
      <c r="G1642">
        <v>249.32599999999999</v>
      </c>
      <c r="H1642">
        <v>205.68700000000001</v>
      </c>
      <c r="I1642">
        <v>238.38</v>
      </c>
      <c r="L1642">
        <v>111.708</v>
      </c>
    </row>
    <row r="1643" spans="1:12" x14ac:dyDescent="0.25">
      <c r="A1643" s="12">
        <v>43979</v>
      </c>
      <c r="B1643">
        <v>279.98599999999999</v>
      </c>
      <c r="C1643">
        <v>258.036</v>
      </c>
      <c r="D1643">
        <f t="shared" si="11"/>
        <v>112.108</v>
      </c>
      <c r="E1643">
        <v>203.54300000000001</v>
      </c>
      <c r="F1643">
        <v>167.73400000000001</v>
      </c>
      <c r="G1643">
        <v>250.32</v>
      </c>
      <c r="H1643">
        <v>206.154</v>
      </c>
      <c r="I1643">
        <v>238.77</v>
      </c>
      <c r="L1643">
        <v>112.108</v>
      </c>
    </row>
    <row r="1644" spans="1:12" x14ac:dyDescent="0.25">
      <c r="A1644" s="12">
        <v>43980</v>
      </c>
      <c r="B1644">
        <v>280.85599999999999</v>
      </c>
      <c r="C1644">
        <v>258.28300000000002</v>
      </c>
      <c r="D1644">
        <f t="shared" si="11"/>
        <v>112.755</v>
      </c>
      <c r="E1644">
        <v>203.92500000000001</v>
      </c>
      <c r="F1644">
        <v>167.65899999999999</v>
      </c>
      <c r="G1644">
        <v>250.56800000000001</v>
      </c>
      <c r="H1644">
        <v>206.352</v>
      </c>
      <c r="I1644">
        <v>240.17500000000001</v>
      </c>
      <c r="L1644">
        <v>112.755</v>
      </c>
    </row>
    <row r="1645" spans="1:12" x14ac:dyDescent="0.25">
      <c r="A1645" s="12">
        <v>43983</v>
      </c>
      <c r="B1645">
        <v>280.38900000000001</v>
      </c>
      <c r="C1645">
        <v>258.483</v>
      </c>
      <c r="D1645">
        <f t="shared" si="11"/>
        <v>112.485</v>
      </c>
      <c r="E1645">
        <v>203.32300000000001</v>
      </c>
      <c r="F1645">
        <v>167.4</v>
      </c>
      <c r="G1645">
        <v>251.815</v>
      </c>
      <c r="H1645">
        <v>206.38900000000001</v>
      </c>
      <c r="I1645">
        <v>239.48099999999999</v>
      </c>
      <c r="L1645">
        <v>112.485</v>
      </c>
    </row>
    <row r="1646" spans="1:12" x14ac:dyDescent="0.25">
      <c r="A1646" s="12">
        <v>43984</v>
      </c>
      <c r="B1646">
        <v>280.92</v>
      </c>
      <c r="C1646">
        <v>258.66699999999997</v>
      </c>
      <c r="D1646">
        <f t="shared" si="11"/>
        <v>112.33</v>
      </c>
      <c r="E1646">
        <v>203.53700000000001</v>
      </c>
      <c r="F1646">
        <v>167.55199999999999</v>
      </c>
      <c r="G1646">
        <v>251.345</v>
      </c>
      <c r="H1646">
        <v>206.49799999999999</v>
      </c>
      <c r="I1646">
        <v>239.89400000000001</v>
      </c>
      <c r="L1646">
        <v>112.33</v>
      </c>
    </row>
    <row r="1647" spans="1:12" x14ac:dyDescent="0.25">
      <c r="A1647" s="12">
        <v>43985</v>
      </c>
      <c r="B1647">
        <v>281.399</v>
      </c>
      <c r="C1647">
        <v>258.98</v>
      </c>
      <c r="D1647">
        <f t="shared" si="11"/>
        <v>112.545</v>
      </c>
      <c r="E1647">
        <v>204.91200000000001</v>
      </c>
      <c r="F1647">
        <v>167.98099999999999</v>
      </c>
      <c r="G1647">
        <v>250.934</v>
      </c>
      <c r="H1647">
        <v>206.702</v>
      </c>
      <c r="I1647">
        <v>240.774</v>
      </c>
      <c r="L1647">
        <v>112.545</v>
      </c>
    </row>
    <row r="1648" spans="1:12" x14ac:dyDescent="0.25">
      <c r="A1648" s="12">
        <v>43986</v>
      </c>
      <c r="B1648">
        <v>282.745</v>
      </c>
      <c r="C1648">
        <v>259.38200000000001</v>
      </c>
      <c r="D1648">
        <f t="shared" si="11"/>
        <v>112.961</v>
      </c>
      <c r="E1648">
        <v>206.00700000000001</v>
      </c>
      <c r="F1648">
        <v>168.33699999999999</v>
      </c>
      <c r="G1648">
        <v>253.083</v>
      </c>
      <c r="H1648">
        <v>207.179</v>
      </c>
      <c r="I1648">
        <v>241.84100000000001</v>
      </c>
      <c r="L1648">
        <v>112.961</v>
      </c>
    </row>
    <row r="1649" spans="1:12" x14ac:dyDescent="0.25">
      <c r="A1649" s="12">
        <v>43987</v>
      </c>
      <c r="B1649">
        <v>283.32900000000001</v>
      </c>
      <c r="C1649">
        <v>259.75200000000001</v>
      </c>
      <c r="D1649">
        <f t="shared" si="11"/>
        <v>113.333</v>
      </c>
      <c r="E1649">
        <v>205.48500000000001</v>
      </c>
      <c r="F1649">
        <v>168.24199999999999</v>
      </c>
      <c r="G1649">
        <v>255.26</v>
      </c>
      <c r="H1649">
        <v>207.57499999999999</v>
      </c>
      <c r="I1649">
        <v>241.59399999999999</v>
      </c>
      <c r="L1649">
        <v>113.333</v>
      </c>
    </row>
    <row r="1650" spans="1:12" x14ac:dyDescent="0.25">
      <c r="A1650" s="12">
        <v>43990</v>
      </c>
      <c r="B1650">
        <v>283.14800000000002</v>
      </c>
      <c r="C1650">
        <v>259.875</v>
      </c>
      <c r="D1650">
        <f t="shared" si="11"/>
        <v>113.065</v>
      </c>
      <c r="E1650">
        <v>206.82599999999999</v>
      </c>
      <c r="F1650">
        <v>168.73</v>
      </c>
      <c r="G1650">
        <v>254.65799999999999</v>
      </c>
      <c r="H1650">
        <v>207.381</v>
      </c>
      <c r="I1650">
        <v>243.011</v>
      </c>
      <c r="L1650">
        <v>113.065</v>
      </c>
    </row>
    <row r="1651" spans="1:12" x14ac:dyDescent="0.25">
      <c r="A1651" s="12">
        <v>43991</v>
      </c>
      <c r="B1651">
        <v>285.18299999999999</v>
      </c>
      <c r="C1651">
        <v>260.85899999999998</v>
      </c>
      <c r="D1651">
        <f t="shared" si="11"/>
        <v>114.185</v>
      </c>
      <c r="E1651">
        <v>207.84100000000001</v>
      </c>
      <c r="F1651">
        <v>169.32599999999999</v>
      </c>
      <c r="G1651">
        <v>256.82400000000001</v>
      </c>
      <c r="H1651">
        <v>207.81800000000001</v>
      </c>
      <c r="I1651">
        <v>243.28</v>
      </c>
      <c r="L1651">
        <v>114.185</v>
      </c>
    </row>
    <row r="1652" spans="1:12" x14ac:dyDescent="0.25">
      <c r="A1652" s="12">
        <v>43992</v>
      </c>
      <c r="B1652">
        <v>285.774</v>
      </c>
      <c r="C1652">
        <v>261.39499999999998</v>
      </c>
      <c r="D1652">
        <f t="shared" si="11"/>
        <v>114.65900000000001</v>
      </c>
      <c r="E1652">
        <v>207.452</v>
      </c>
      <c r="F1652">
        <v>168.92400000000001</v>
      </c>
      <c r="G1652">
        <v>257.31400000000002</v>
      </c>
      <c r="H1652">
        <v>208.203</v>
      </c>
      <c r="I1652">
        <v>242.87899999999999</v>
      </c>
      <c r="L1652">
        <v>114.65900000000001</v>
      </c>
    </row>
    <row r="1653" spans="1:12" x14ac:dyDescent="0.25">
      <c r="A1653" s="12">
        <v>43993</v>
      </c>
      <c r="B1653">
        <v>285.17099999999999</v>
      </c>
      <c r="C1653">
        <v>261.32499999999999</v>
      </c>
      <c r="D1653">
        <f t="shared" si="11"/>
        <v>114.137</v>
      </c>
      <c r="E1653">
        <v>207.19300000000001</v>
      </c>
      <c r="F1653">
        <v>168.721</v>
      </c>
      <c r="G1653">
        <v>256.51600000000002</v>
      </c>
      <c r="H1653">
        <v>208.04300000000001</v>
      </c>
      <c r="I1653">
        <v>242.43299999999999</v>
      </c>
      <c r="L1653">
        <v>114.137</v>
      </c>
    </row>
    <row r="1654" spans="1:12" x14ac:dyDescent="0.25">
      <c r="A1654" s="12">
        <v>43994</v>
      </c>
      <c r="B1654">
        <v>284.62200000000001</v>
      </c>
      <c r="C1654">
        <v>261.71899999999999</v>
      </c>
      <c r="D1654">
        <f t="shared" si="11"/>
        <v>113.637</v>
      </c>
      <c r="E1654">
        <v>204.66499999999999</v>
      </c>
      <c r="F1654">
        <v>168.23099999999999</v>
      </c>
      <c r="G1654">
        <v>256.04500000000002</v>
      </c>
      <c r="H1654">
        <v>208.006</v>
      </c>
      <c r="I1654">
        <v>240.79900000000001</v>
      </c>
      <c r="L1654">
        <v>113.637</v>
      </c>
    </row>
    <row r="1655" spans="1:12" x14ac:dyDescent="0.25">
      <c r="A1655" s="12">
        <v>43997</v>
      </c>
      <c r="B1655">
        <v>282.24</v>
      </c>
      <c r="C1655">
        <v>261.459</v>
      </c>
      <c r="D1655">
        <f t="shared" si="11"/>
        <v>111.758</v>
      </c>
      <c r="E1655">
        <v>204.739</v>
      </c>
      <c r="F1655">
        <v>168.55199999999999</v>
      </c>
      <c r="G1655">
        <v>252.18700000000001</v>
      </c>
      <c r="H1655">
        <v>207.6</v>
      </c>
      <c r="I1655">
        <v>240.39099999999999</v>
      </c>
      <c r="L1655">
        <v>111.758</v>
      </c>
    </row>
    <row r="1656" spans="1:12" x14ac:dyDescent="0.25">
      <c r="A1656" s="12">
        <v>43998</v>
      </c>
      <c r="B1656">
        <v>282.65100000000001</v>
      </c>
      <c r="C1656">
        <v>261.565</v>
      </c>
      <c r="D1656">
        <f t="shared" si="11"/>
        <v>112.125</v>
      </c>
      <c r="E1656">
        <v>204.27099999999999</v>
      </c>
      <c r="F1656">
        <v>168.32400000000001</v>
      </c>
      <c r="G1656">
        <v>252.125</v>
      </c>
      <c r="H1656">
        <v>207.727</v>
      </c>
      <c r="I1656">
        <v>239.8</v>
      </c>
      <c r="L1656">
        <v>112.125</v>
      </c>
    </row>
    <row r="1657" spans="1:12" x14ac:dyDescent="0.25">
      <c r="A1657" s="12">
        <v>43999</v>
      </c>
      <c r="B1657">
        <v>283.49099999999999</v>
      </c>
      <c r="C1657">
        <v>261.77699999999999</v>
      </c>
      <c r="D1657">
        <f t="shared" si="11"/>
        <v>112.706</v>
      </c>
      <c r="E1657">
        <v>206.40600000000001</v>
      </c>
      <c r="F1657">
        <v>169.149</v>
      </c>
      <c r="G1657">
        <v>251.113</v>
      </c>
      <c r="H1657">
        <v>207.50700000000001</v>
      </c>
      <c r="I1657">
        <v>242.13</v>
      </c>
      <c r="L1657">
        <v>112.706</v>
      </c>
    </row>
    <row r="1658" spans="1:12" x14ac:dyDescent="0.25">
      <c r="A1658" s="12">
        <v>44000</v>
      </c>
      <c r="B1658">
        <v>285.06900000000002</v>
      </c>
      <c r="C1658">
        <v>262.32499999999999</v>
      </c>
      <c r="D1658">
        <f t="shared" si="11"/>
        <v>113.904</v>
      </c>
      <c r="E1658">
        <v>207.07400000000001</v>
      </c>
      <c r="F1658">
        <v>169.28100000000001</v>
      </c>
      <c r="G1658">
        <v>254.67400000000001</v>
      </c>
      <c r="H1658">
        <v>208.167</v>
      </c>
      <c r="I1658">
        <v>242.9</v>
      </c>
      <c r="L1658">
        <v>113.904</v>
      </c>
    </row>
    <row r="1659" spans="1:12" x14ac:dyDescent="0.25">
      <c r="A1659" s="12">
        <v>44001</v>
      </c>
      <c r="B1659">
        <v>285.21899999999999</v>
      </c>
      <c r="C1659">
        <v>262.49700000000001</v>
      </c>
      <c r="D1659">
        <f t="shared" si="11"/>
        <v>113.889</v>
      </c>
      <c r="E1659">
        <v>207.113</v>
      </c>
      <c r="F1659">
        <v>169.304</v>
      </c>
      <c r="G1659">
        <v>255.62100000000001</v>
      </c>
      <c r="H1659">
        <v>208.17699999999999</v>
      </c>
      <c r="I1659">
        <v>242.852</v>
      </c>
      <c r="L1659">
        <v>113.889</v>
      </c>
    </row>
    <row r="1660" spans="1:12" x14ac:dyDescent="0.25">
      <c r="A1660" s="12">
        <v>44007</v>
      </c>
      <c r="B1660">
        <v>285.32799999999997</v>
      </c>
      <c r="C1660">
        <v>262.488</v>
      </c>
      <c r="D1660">
        <f t="shared" si="11"/>
        <v>113.979</v>
      </c>
      <c r="E1660">
        <v>207.60900000000001</v>
      </c>
      <c r="F1660">
        <v>169.55199999999999</v>
      </c>
      <c r="G1660">
        <v>254.87100000000001</v>
      </c>
      <c r="H1660">
        <v>208.00299999999999</v>
      </c>
      <c r="I1660">
        <v>243.648</v>
      </c>
      <c r="L1660">
        <v>113.979</v>
      </c>
    </row>
    <row r="1661" spans="1:12" x14ac:dyDescent="0.25">
      <c r="A1661" s="12">
        <v>44008</v>
      </c>
      <c r="B1661">
        <v>284.27499999999998</v>
      </c>
      <c r="C1661">
        <v>262.44</v>
      </c>
      <c r="D1661">
        <f t="shared" si="11"/>
        <v>112.883</v>
      </c>
      <c r="E1661">
        <v>207.12100000000001</v>
      </c>
      <c r="F1661">
        <v>169.602</v>
      </c>
      <c r="G1661">
        <v>254.00399999999999</v>
      </c>
      <c r="H1661">
        <v>208.21</v>
      </c>
      <c r="I1661">
        <v>241.99100000000001</v>
      </c>
      <c r="L1661">
        <v>112.883</v>
      </c>
    </row>
    <row r="1662" spans="1:12" x14ac:dyDescent="0.25">
      <c r="A1662" s="12">
        <v>44011</v>
      </c>
      <c r="B1662">
        <v>284.59899999999999</v>
      </c>
      <c r="C1662">
        <v>262.46600000000001</v>
      </c>
      <c r="D1662">
        <f t="shared" si="11"/>
        <v>113.384</v>
      </c>
      <c r="E1662">
        <v>206.88499999999999</v>
      </c>
      <c r="F1662">
        <v>169.767</v>
      </c>
      <c r="G1662">
        <v>253.88800000000001</v>
      </c>
      <c r="H1662">
        <v>208.21100000000001</v>
      </c>
      <c r="I1662">
        <v>242.059</v>
      </c>
      <c r="L1662">
        <v>113.384</v>
      </c>
    </row>
    <row r="1663" spans="1:12" x14ac:dyDescent="0.25">
      <c r="A1663" s="12">
        <v>44012</v>
      </c>
      <c r="B1663">
        <v>283.95499999999998</v>
      </c>
      <c r="C1663">
        <v>262.358</v>
      </c>
      <c r="D1663">
        <f t="shared" si="11"/>
        <v>112.623</v>
      </c>
      <c r="E1663">
        <v>206.43299999999999</v>
      </c>
      <c r="F1663">
        <v>169.55600000000001</v>
      </c>
      <c r="G1663">
        <v>254.01400000000001</v>
      </c>
      <c r="H1663">
        <v>208.172</v>
      </c>
      <c r="I1663">
        <v>241.8</v>
      </c>
      <c r="L1663">
        <v>112.623</v>
      </c>
    </row>
    <row r="1664" spans="1:12" x14ac:dyDescent="0.25">
      <c r="A1664" s="12">
        <v>44013</v>
      </c>
      <c r="B1664">
        <v>284.58199999999999</v>
      </c>
      <c r="C1664">
        <v>262.572</v>
      </c>
      <c r="D1664">
        <f t="shared" si="11"/>
        <v>113.05800000000001</v>
      </c>
      <c r="E1664">
        <v>207.261</v>
      </c>
      <c r="F1664">
        <v>169.714</v>
      </c>
      <c r="G1664">
        <v>253.52600000000001</v>
      </c>
      <c r="H1664">
        <v>208.102</v>
      </c>
      <c r="I1664">
        <v>242.2</v>
      </c>
      <c r="L1664">
        <v>113.05800000000001</v>
      </c>
    </row>
    <row r="1665" spans="1:12" x14ac:dyDescent="0.25">
      <c r="A1665" s="12">
        <v>44014</v>
      </c>
      <c r="B1665">
        <v>285.10700000000003</v>
      </c>
      <c r="C1665">
        <v>262.40300000000002</v>
      </c>
      <c r="D1665">
        <f t="shared" si="11"/>
        <v>113.55800000000001</v>
      </c>
      <c r="E1665">
        <v>207.71700000000001</v>
      </c>
      <c r="F1665">
        <v>169.755</v>
      </c>
      <c r="G1665">
        <v>254.089</v>
      </c>
      <c r="H1665">
        <v>208.113</v>
      </c>
      <c r="I1665">
        <v>242.46799999999999</v>
      </c>
      <c r="L1665">
        <v>113.55800000000001</v>
      </c>
    </row>
    <row r="1666" spans="1:12" x14ac:dyDescent="0.25">
      <c r="A1666" s="12">
        <v>44015</v>
      </c>
      <c r="B1666">
        <v>286.05200000000002</v>
      </c>
      <c r="C1666">
        <v>262.57499999999999</v>
      </c>
      <c r="D1666">
        <f t="shared" si="11"/>
        <v>113.645</v>
      </c>
      <c r="E1666">
        <v>208.86600000000001</v>
      </c>
      <c r="F1666">
        <v>170.16900000000001</v>
      </c>
      <c r="G1666">
        <v>254.89699999999999</v>
      </c>
      <c r="H1666">
        <v>208.11600000000001</v>
      </c>
      <c r="I1666">
        <v>243.78700000000001</v>
      </c>
      <c r="L1666">
        <v>113.645</v>
      </c>
    </row>
    <row r="1667" spans="1:12" x14ac:dyDescent="0.25">
      <c r="A1667" s="12">
        <v>44018</v>
      </c>
      <c r="B1667">
        <v>286.52999999999997</v>
      </c>
      <c r="C1667">
        <v>263</v>
      </c>
      <c r="D1667">
        <f t="shared" si="11"/>
        <v>114.27</v>
      </c>
      <c r="E1667">
        <v>209.166</v>
      </c>
      <c r="F1667">
        <v>170.32400000000001</v>
      </c>
      <c r="G1667">
        <v>256.702</v>
      </c>
      <c r="H1667">
        <v>208.53800000000001</v>
      </c>
      <c r="I1667">
        <v>243.59</v>
      </c>
      <c r="L1667">
        <v>114.27</v>
      </c>
    </row>
    <row r="1668" spans="1:12" x14ac:dyDescent="0.25">
      <c r="A1668" s="12">
        <v>44019</v>
      </c>
      <c r="B1668">
        <v>286.67399999999998</v>
      </c>
      <c r="C1668">
        <v>262.93599999999998</v>
      </c>
      <c r="D1668">
        <f t="shared" si="11"/>
        <v>114.232</v>
      </c>
      <c r="E1668">
        <v>210.1</v>
      </c>
      <c r="F1668">
        <v>170.34100000000001</v>
      </c>
      <c r="G1668">
        <v>256.459</v>
      </c>
      <c r="H1668">
        <v>208.58</v>
      </c>
      <c r="I1668">
        <v>244.38399999999999</v>
      </c>
      <c r="L1668">
        <v>114.232</v>
      </c>
    </row>
    <row r="1669" spans="1:12" x14ac:dyDescent="0.25">
      <c r="A1669" s="12">
        <v>44020</v>
      </c>
      <c r="B1669">
        <v>287.46800000000002</v>
      </c>
      <c r="C1669">
        <v>263.23099999999999</v>
      </c>
      <c r="D1669">
        <f t="shared" si="11"/>
        <v>114.67400000000001</v>
      </c>
      <c r="E1669">
        <v>210.01400000000001</v>
      </c>
      <c r="F1669">
        <v>170.49600000000001</v>
      </c>
      <c r="G1669">
        <v>257.65499999999997</v>
      </c>
      <c r="H1669">
        <v>208.637</v>
      </c>
      <c r="I1669">
        <v>244.71700000000001</v>
      </c>
      <c r="L1669">
        <v>114.67400000000001</v>
      </c>
    </row>
    <row r="1670" spans="1:12" x14ac:dyDescent="0.25">
      <c r="A1670" s="12">
        <v>44021</v>
      </c>
      <c r="B1670">
        <v>287.16199999999998</v>
      </c>
      <c r="C1670">
        <v>263.52300000000002</v>
      </c>
      <c r="D1670">
        <f t="shared" si="11"/>
        <v>114.34399999999999</v>
      </c>
      <c r="E1670">
        <v>210.03</v>
      </c>
      <c r="F1670">
        <v>170.40100000000001</v>
      </c>
      <c r="G1670">
        <v>257.55599999999998</v>
      </c>
      <c r="H1670">
        <v>208.65100000000001</v>
      </c>
      <c r="I1670">
        <v>244.10900000000001</v>
      </c>
      <c r="L1670">
        <v>114.34399999999999</v>
      </c>
    </row>
    <row r="1671" spans="1:12" x14ac:dyDescent="0.25">
      <c r="A1671" s="12">
        <v>44022</v>
      </c>
      <c r="B1671">
        <v>287.666</v>
      </c>
      <c r="C1671">
        <v>263.57799999999997</v>
      </c>
      <c r="D1671">
        <f t="shared" si="11"/>
        <v>114.345</v>
      </c>
      <c r="E1671">
        <v>210.26499999999999</v>
      </c>
      <c r="F1671">
        <v>170.41499999999999</v>
      </c>
      <c r="G1671">
        <v>256.92</v>
      </c>
      <c r="H1671">
        <v>208.61500000000001</v>
      </c>
      <c r="I1671">
        <v>244.06200000000001</v>
      </c>
      <c r="L1671">
        <v>114.345</v>
      </c>
    </row>
    <row r="1672" spans="1:12" x14ac:dyDescent="0.25">
      <c r="A1672" s="12">
        <v>44025</v>
      </c>
      <c r="B1672">
        <v>288.07299999999998</v>
      </c>
      <c r="C1672">
        <v>263.904</v>
      </c>
      <c r="D1672">
        <f t="shared" si="11"/>
        <v>114.381</v>
      </c>
      <c r="E1672">
        <v>209.953</v>
      </c>
      <c r="F1672">
        <v>170.34899999999999</v>
      </c>
      <c r="G1672">
        <v>256.92899999999997</v>
      </c>
      <c r="H1672">
        <v>208.804</v>
      </c>
      <c r="I1672">
        <v>243.95500000000001</v>
      </c>
      <c r="L1672">
        <v>114.381</v>
      </c>
    </row>
    <row r="1673" spans="1:12" x14ac:dyDescent="0.25">
      <c r="A1673" s="12">
        <v>44026</v>
      </c>
      <c r="B1673">
        <v>288.33600000000001</v>
      </c>
      <c r="C1673">
        <v>263.64800000000002</v>
      </c>
      <c r="D1673">
        <f t="shared" si="11"/>
        <v>114.752</v>
      </c>
      <c r="E1673">
        <v>209.905</v>
      </c>
      <c r="F1673">
        <v>170.17</v>
      </c>
      <c r="G1673">
        <v>257.33199999999999</v>
      </c>
      <c r="H1673">
        <v>208.80500000000001</v>
      </c>
      <c r="I1673">
        <v>244.73099999999999</v>
      </c>
      <c r="L1673">
        <v>114.752</v>
      </c>
    </row>
    <row r="1674" spans="1:12" x14ac:dyDescent="0.25">
      <c r="A1674" s="12">
        <v>44027</v>
      </c>
      <c r="B1674">
        <v>287.73599999999999</v>
      </c>
      <c r="C1674">
        <v>263.72000000000003</v>
      </c>
      <c r="D1674">
        <f t="shared" si="11"/>
        <v>114.069</v>
      </c>
      <c r="E1674">
        <v>209.12100000000001</v>
      </c>
      <c r="F1674">
        <v>170.03899999999999</v>
      </c>
      <c r="G1674">
        <v>258.37299999999999</v>
      </c>
      <c r="H1674">
        <v>208.726</v>
      </c>
      <c r="I1674">
        <v>243.624</v>
      </c>
      <c r="L1674">
        <v>114.069</v>
      </c>
    </row>
    <row r="1675" spans="1:12" x14ac:dyDescent="0.25">
      <c r="A1675" s="12">
        <v>44028</v>
      </c>
      <c r="B1675">
        <v>288.59699999999998</v>
      </c>
      <c r="C1675">
        <v>263.87799999999999</v>
      </c>
      <c r="D1675">
        <f t="shared" si="11"/>
        <v>114.536</v>
      </c>
      <c r="E1675">
        <v>209.88900000000001</v>
      </c>
      <c r="F1675">
        <v>170.179</v>
      </c>
      <c r="G1675">
        <v>256.79000000000002</v>
      </c>
      <c r="H1675">
        <v>208.65600000000001</v>
      </c>
      <c r="I1675">
        <v>244.559</v>
      </c>
      <c r="L1675">
        <v>114.536</v>
      </c>
    </row>
    <row r="1676" spans="1:12" x14ac:dyDescent="0.25">
      <c r="A1676" s="12">
        <v>44029</v>
      </c>
      <c r="B1676">
        <v>289.35500000000002</v>
      </c>
      <c r="C1676">
        <v>264.315</v>
      </c>
      <c r="D1676">
        <f t="shared" si="11"/>
        <v>114.96</v>
      </c>
      <c r="E1676">
        <v>209.41399999999999</v>
      </c>
      <c r="F1676">
        <v>170.226</v>
      </c>
      <c r="G1676">
        <v>258.21100000000001</v>
      </c>
      <c r="H1676">
        <v>208.92699999999999</v>
      </c>
      <c r="I1676">
        <v>244.55600000000001</v>
      </c>
      <c r="L1676">
        <v>114.96</v>
      </c>
    </row>
    <row r="1677" spans="1:12" x14ac:dyDescent="0.25">
      <c r="A1677" s="12">
        <v>44032</v>
      </c>
      <c r="B1677">
        <v>289.15199999999999</v>
      </c>
      <c r="C1677">
        <v>264.46800000000002</v>
      </c>
      <c r="D1677">
        <f t="shared" si="11"/>
        <v>114.798</v>
      </c>
      <c r="E1677">
        <v>209.58199999999999</v>
      </c>
      <c r="F1677">
        <v>170.31100000000001</v>
      </c>
      <c r="G1677">
        <v>258.29300000000001</v>
      </c>
      <c r="H1677">
        <v>209.05</v>
      </c>
      <c r="I1677">
        <v>244.62799999999999</v>
      </c>
      <c r="L1677">
        <v>114.798</v>
      </c>
    </row>
    <row r="1678" spans="1:12" x14ac:dyDescent="0.25">
      <c r="A1678" s="12">
        <v>44033</v>
      </c>
      <c r="B1678">
        <v>289.74900000000002</v>
      </c>
      <c r="C1678">
        <v>264.625</v>
      </c>
      <c r="D1678">
        <f t="shared" si="11"/>
        <v>114.986</v>
      </c>
      <c r="E1678">
        <v>210.42400000000001</v>
      </c>
      <c r="F1678">
        <v>170.64699999999999</v>
      </c>
      <c r="G1678">
        <v>258.51100000000002</v>
      </c>
      <c r="H1678">
        <v>209.08199999999999</v>
      </c>
      <c r="I1678">
        <v>245.18600000000001</v>
      </c>
      <c r="L1678">
        <v>114.986</v>
      </c>
    </row>
    <row r="1679" spans="1:12" x14ac:dyDescent="0.25">
      <c r="A1679" s="12">
        <v>44034</v>
      </c>
      <c r="B1679">
        <v>290.82600000000002</v>
      </c>
      <c r="C1679">
        <v>265.029</v>
      </c>
      <c r="D1679">
        <f t="shared" si="11"/>
        <v>115.485</v>
      </c>
      <c r="E1679">
        <v>211.18799999999999</v>
      </c>
      <c r="F1679">
        <v>171.072</v>
      </c>
      <c r="G1679">
        <v>259.28399999999999</v>
      </c>
      <c r="H1679">
        <v>209.30099999999999</v>
      </c>
      <c r="I1679">
        <v>246.059</v>
      </c>
      <c r="L1679">
        <v>115.485</v>
      </c>
    </row>
    <row r="1680" spans="1:12" x14ac:dyDescent="0.25">
      <c r="A1680" s="12">
        <v>44035</v>
      </c>
      <c r="B1680">
        <v>290.76299999999998</v>
      </c>
      <c r="C1680">
        <v>265.33</v>
      </c>
      <c r="D1680">
        <f t="shared" si="11"/>
        <v>115.23099999999999</v>
      </c>
      <c r="E1680">
        <v>210.50700000000001</v>
      </c>
      <c r="F1680">
        <v>170.971</v>
      </c>
      <c r="G1680">
        <v>260.65199999999999</v>
      </c>
      <c r="H1680">
        <v>209.773</v>
      </c>
      <c r="I1680">
        <v>245.45599999999999</v>
      </c>
      <c r="L1680">
        <v>115.23099999999999</v>
      </c>
    </row>
    <row r="1681" spans="1:12" x14ac:dyDescent="0.25">
      <c r="A1681" s="12">
        <v>44036</v>
      </c>
      <c r="B1681">
        <v>290.87</v>
      </c>
      <c r="C1681">
        <v>265.59300000000002</v>
      </c>
      <c r="D1681">
        <f t="shared" si="11"/>
        <v>115.09699999999999</v>
      </c>
      <c r="E1681">
        <v>210.339</v>
      </c>
      <c r="F1681">
        <v>171.09200000000001</v>
      </c>
      <c r="G1681">
        <v>259.68</v>
      </c>
      <c r="H1681">
        <v>209.988</v>
      </c>
      <c r="I1681">
        <v>245.9</v>
      </c>
      <c r="L1681">
        <v>115.09699999999999</v>
      </c>
    </row>
    <row r="1682" spans="1:12" x14ac:dyDescent="0.25">
      <c r="A1682" s="12">
        <v>44039</v>
      </c>
      <c r="B1682">
        <v>289.90600000000001</v>
      </c>
      <c r="C1682">
        <v>265.53399999999999</v>
      </c>
      <c r="D1682">
        <f t="shared" si="11"/>
        <v>114.447</v>
      </c>
      <c r="E1682">
        <v>208.96700000000001</v>
      </c>
      <c r="F1682">
        <v>170.68299999999999</v>
      </c>
      <c r="G1682">
        <v>259.911</v>
      </c>
      <c r="H1682">
        <v>210.059</v>
      </c>
      <c r="I1682">
        <v>244.40100000000001</v>
      </c>
      <c r="L1682">
        <v>114.447</v>
      </c>
    </row>
    <row r="1683" spans="1:12" x14ac:dyDescent="0.25">
      <c r="A1683" s="12">
        <v>44040</v>
      </c>
      <c r="B1683">
        <v>289.399</v>
      </c>
      <c r="C1683">
        <v>265.39800000000002</v>
      </c>
      <c r="D1683">
        <f t="shared" ref="D1683:D1746" si="12">IF(L1683&gt;1,L1683,L1683*100)</f>
        <v>113.739</v>
      </c>
      <c r="E1683">
        <v>208.822</v>
      </c>
      <c r="F1683">
        <v>170.529</v>
      </c>
      <c r="G1683">
        <v>257.87400000000002</v>
      </c>
      <c r="H1683">
        <v>209.84200000000001</v>
      </c>
      <c r="I1683">
        <v>244.02</v>
      </c>
      <c r="L1683">
        <v>113.739</v>
      </c>
    </row>
    <row r="1684" spans="1:12" x14ac:dyDescent="0.25">
      <c r="A1684" s="12">
        <v>44041</v>
      </c>
      <c r="B1684">
        <v>289.411</v>
      </c>
      <c r="C1684">
        <v>265.55200000000002</v>
      </c>
      <c r="D1684">
        <f t="shared" si="12"/>
        <v>113.78</v>
      </c>
      <c r="E1684">
        <v>209.119</v>
      </c>
      <c r="F1684">
        <v>170.62799999999999</v>
      </c>
      <c r="G1684">
        <v>257.31200000000001</v>
      </c>
      <c r="H1684">
        <v>210.01</v>
      </c>
      <c r="I1684">
        <v>244.59</v>
      </c>
      <c r="L1684">
        <v>113.78</v>
      </c>
    </row>
    <row r="1685" spans="1:12" x14ac:dyDescent="0.25">
      <c r="A1685" s="12">
        <v>44042</v>
      </c>
      <c r="B1685">
        <v>289.46800000000002</v>
      </c>
      <c r="C1685">
        <v>265.60500000000002</v>
      </c>
      <c r="D1685">
        <f t="shared" si="12"/>
        <v>113.80500000000001</v>
      </c>
      <c r="E1685">
        <v>209.285</v>
      </c>
      <c r="F1685">
        <v>170.708</v>
      </c>
      <c r="G1685">
        <v>257.827</v>
      </c>
      <c r="H1685">
        <v>210.03200000000001</v>
      </c>
      <c r="I1685">
        <v>244.31700000000001</v>
      </c>
      <c r="L1685">
        <v>113.80500000000001</v>
      </c>
    </row>
    <row r="1686" spans="1:12" x14ac:dyDescent="0.25">
      <c r="A1686" s="12">
        <v>44043</v>
      </c>
      <c r="B1686">
        <v>289.39299999999997</v>
      </c>
      <c r="C1686">
        <v>265.73599999999999</v>
      </c>
      <c r="D1686">
        <f t="shared" si="12"/>
        <v>113.79300000000001</v>
      </c>
      <c r="E1686">
        <v>208.97300000000001</v>
      </c>
      <c r="F1686">
        <v>170.749</v>
      </c>
      <c r="G1686">
        <v>257.726</v>
      </c>
      <c r="H1686">
        <v>210.08099999999999</v>
      </c>
      <c r="I1686">
        <v>243.631</v>
      </c>
      <c r="L1686">
        <v>113.79300000000001</v>
      </c>
    </row>
    <row r="1687" spans="1:12" x14ac:dyDescent="0.25">
      <c r="A1687" s="12">
        <v>44046</v>
      </c>
      <c r="B1687">
        <v>288.64999999999998</v>
      </c>
      <c r="C1687">
        <v>265.59100000000001</v>
      </c>
      <c r="D1687">
        <f t="shared" si="12"/>
        <v>113.485</v>
      </c>
      <c r="E1687">
        <v>208.614</v>
      </c>
      <c r="F1687">
        <v>170.67699999999999</v>
      </c>
      <c r="G1687">
        <v>256.61500000000001</v>
      </c>
      <c r="H1687">
        <v>210.16800000000001</v>
      </c>
      <c r="I1687">
        <v>242.99199999999999</v>
      </c>
      <c r="L1687">
        <v>113.485</v>
      </c>
    </row>
    <row r="1688" spans="1:12" x14ac:dyDescent="0.25">
      <c r="A1688" s="12">
        <v>44047</v>
      </c>
      <c r="B1688">
        <v>289.55</v>
      </c>
      <c r="C1688">
        <v>265.80900000000003</v>
      </c>
      <c r="D1688">
        <f t="shared" si="12"/>
        <v>113.678</v>
      </c>
      <c r="E1688">
        <v>209.82</v>
      </c>
      <c r="F1688">
        <v>171.09100000000001</v>
      </c>
      <c r="G1688">
        <v>255.98599999999999</v>
      </c>
      <c r="H1688">
        <v>210.16399999999999</v>
      </c>
      <c r="I1688">
        <v>244.25800000000001</v>
      </c>
      <c r="L1688">
        <v>113.678</v>
      </c>
    </row>
    <row r="1689" spans="1:12" x14ac:dyDescent="0.25">
      <c r="A1689" s="12">
        <v>44048</v>
      </c>
      <c r="B1689">
        <v>289.95699999999999</v>
      </c>
      <c r="C1689">
        <v>265.95</v>
      </c>
      <c r="D1689">
        <f t="shared" si="12"/>
        <v>114.182</v>
      </c>
      <c r="E1689">
        <v>210.37700000000001</v>
      </c>
      <c r="F1689">
        <v>171.44800000000001</v>
      </c>
      <c r="G1689">
        <v>257.11700000000002</v>
      </c>
      <c r="H1689">
        <v>210.184</v>
      </c>
      <c r="I1689">
        <v>244.62700000000001</v>
      </c>
      <c r="L1689">
        <v>114.182</v>
      </c>
    </row>
    <row r="1690" spans="1:12" x14ac:dyDescent="0.25">
      <c r="A1690" s="12">
        <v>44049</v>
      </c>
      <c r="B1690">
        <v>290.10599999999999</v>
      </c>
      <c r="C1690">
        <v>265.93400000000003</v>
      </c>
      <c r="D1690">
        <f t="shared" si="12"/>
        <v>114.414</v>
      </c>
      <c r="E1690">
        <v>210.53100000000001</v>
      </c>
      <c r="F1690">
        <v>171.268</v>
      </c>
      <c r="G1690">
        <v>257.55099999999999</v>
      </c>
      <c r="H1690">
        <v>210.36</v>
      </c>
      <c r="I1690">
        <v>244.69200000000001</v>
      </c>
      <c r="L1690">
        <v>114.414</v>
      </c>
    </row>
    <row r="1691" spans="1:12" x14ac:dyDescent="0.25">
      <c r="A1691" s="12">
        <v>44050</v>
      </c>
      <c r="B1691">
        <v>290.44600000000003</v>
      </c>
      <c r="C1691">
        <v>266.267</v>
      </c>
      <c r="D1691">
        <f t="shared" si="12"/>
        <v>114.313</v>
      </c>
      <c r="E1691">
        <v>210.9</v>
      </c>
      <c r="F1691">
        <v>171.66</v>
      </c>
      <c r="G1691">
        <v>257.80399999999997</v>
      </c>
      <c r="H1691">
        <v>210.339</v>
      </c>
      <c r="I1691">
        <v>244.74199999999999</v>
      </c>
      <c r="L1691">
        <v>114.313</v>
      </c>
    </row>
    <row r="1692" spans="1:12" x14ac:dyDescent="0.25">
      <c r="A1692" s="12">
        <v>44053</v>
      </c>
      <c r="B1692">
        <v>290.86399999999998</v>
      </c>
      <c r="C1692">
        <v>266.363</v>
      </c>
      <c r="D1692">
        <f t="shared" si="12"/>
        <v>114.78400000000001</v>
      </c>
      <c r="E1692">
        <v>211.04499999999999</v>
      </c>
      <c r="F1692">
        <v>171.858</v>
      </c>
      <c r="G1692">
        <v>257.654</v>
      </c>
      <c r="H1692">
        <v>210.46700000000001</v>
      </c>
      <c r="I1692">
        <v>245.267</v>
      </c>
      <c r="L1692">
        <v>114.78400000000001</v>
      </c>
    </row>
    <row r="1693" spans="1:12" x14ac:dyDescent="0.25">
      <c r="A1693" s="12">
        <v>44054</v>
      </c>
      <c r="B1693">
        <v>291.02699999999999</v>
      </c>
      <c r="C1693">
        <v>266.59399999999999</v>
      </c>
      <c r="D1693">
        <f t="shared" si="12"/>
        <v>114.89400000000001</v>
      </c>
      <c r="E1693">
        <v>211.31899999999999</v>
      </c>
      <c r="F1693">
        <v>172.137</v>
      </c>
      <c r="G1693">
        <v>258.01400000000001</v>
      </c>
      <c r="H1693">
        <v>210.44</v>
      </c>
      <c r="I1693">
        <v>245.708</v>
      </c>
      <c r="L1693">
        <v>114.89400000000001</v>
      </c>
    </row>
    <row r="1694" spans="1:12" x14ac:dyDescent="0.25">
      <c r="A1694" s="12">
        <v>44055</v>
      </c>
      <c r="B1694">
        <v>290.94200000000001</v>
      </c>
      <c r="C1694">
        <v>266.35300000000001</v>
      </c>
      <c r="D1694">
        <f t="shared" si="12"/>
        <v>115.137</v>
      </c>
      <c r="E1694">
        <v>211.43100000000001</v>
      </c>
      <c r="F1694">
        <v>171.977</v>
      </c>
      <c r="G1694">
        <v>258.43900000000002</v>
      </c>
      <c r="H1694">
        <v>210.57599999999999</v>
      </c>
      <c r="I1694">
        <v>246.29499999999999</v>
      </c>
      <c r="L1694">
        <v>115.137</v>
      </c>
    </row>
    <row r="1695" spans="1:12" x14ac:dyDescent="0.25">
      <c r="A1695" s="12">
        <v>44056</v>
      </c>
      <c r="B1695">
        <v>290.82900000000001</v>
      </c>
      <c r="C1695">
        <v>266.12400000000002</v>
      </c>
      <c r="D1695">
        <f t="shared" si="12"/>
        <v>115.086</v>
      </c>
      <c r="E1695">
        <v>211.62799999999999</v>
      </c>
      <c r="F1695">
        <v>171.78899999999999</v>
      </c>
      <c r="G1695">
        <v>259.46100000000001</v>
      </c>
      <c r="H1695">
        <v>210.488</v>
      </c>
      <c r="I1695">
        <v>246.33099999999999</v>
      </c>
      <c r="L1695">
        <v>115.086</v>
      </c>
    </row>
    <row r="1696" spans="1:12" x14ac:dyDescent="0.25">
      <c r="A1696" s="12">
        <v>44057</v>
      </c>
      <c r="B1696">
        <v>291.07299999999998</v>
      </c>
      <c r="C1696">
        <v>265.78699999999998</v>
      </c>
      <c r="D1696">
        <f t="shared" si="12"/>
        <v>115.28400000000001</v>
      </c>
      <c r="E1696">
        <v>211.352</v>
      </c>
      <c r="F1696">
        <v>171.452</v>
      </c>
      <c r="G1696">
        <v>259.71300000000002</v>
      </c>
      <c r="H1696">
        <v>210.28700000000001</v>
      </c>
      <c r="I1696">
        <v>246.00399999999999</v>
      </c>
      <c r="L1696">
        <v>115.28400000000001</v>
      </c>
    </row>
    <row r="1697" spans="1:12" x14ac:dyDescent="0.25">
      <c r="A1697" s="12">
        <v>44060</v>
      </c>
      <c r="B1697">
        <v>291.12099999999998</v>
      </c>
      <c r="C1697">
        <v>265.673</v>
      </c>
      <c r="D1697">
        <f t="shared" si="12"/>
        <v>115.032</v>
      </c>
      <c r="E1697">
        <v>210.94</v>
      </c>
      <c r="F1697">
        <v>171.142</v>
      </c>
      <c r="G1697">
        <v>259.50700000000001</v>
      </c>
      <c r="H1697">
        <v>210.15</v>
      </c>
      <c r="I1697">
        <v>245.77</v>
      </c>
      <c r="L1697">
        <v>115.032</v>
      </c>
    </row>
    <row r="1698" spans="1:12" x14ac:dyDescent="0.25">
      <c r="A1698" s="12">
        <v>44061</v>
      </c>
      <c r="B1698">
        <v>291.065</v>
      </c>
      <c r="C1698">
        <v>265.52699999999999</v>
      </c>
      <c r="D1698">
        <f t="shared" si="12"/>
        <v>114.919</v>
      </c>
      <c r="E1698">
        <v>211.14500000000001</v>
      </c>
      <c r="F1698">
        <v>171.084</v>
      </c>
      <c r="G1698">
        <v>258.73500000000001</v>
      </c>
      <c r="H1698">
        <v>210.06899999999999</v>
      </c>
      <c r="I1698">
        <v>246.27600000000001</v>
      </c>
      <c r="L1698">
        <v>114.919</v>
      </c>
    </row>
    <row r="1699" spans="1:12" x14ac:dyDescent="0.25">
      <c r="A1699" s="12">
        <v>44062</v>
      </c>
      <c r="B1699">
        <v>291.09300000000002</v>
      </c>
      <c r="C1699">
        <v>265.51</v>
      </c>
      <c r="D1699">
        <f t="shared" si="12"/>
        <v>114.93</v>
      </c>
      <c r="E1699">
        <v>210.959</v>
      </c>
      <c r="F1699">
        <v>170.88</v>
      </c>
      <c r="G1699">
        <v>258.75400000000002</v>
      </c>
      <c r="H1699">
        <v>209.95699999999999</v>
      </c>
      <c r="I1699">
        <v>246.04900000000001</v>
      </c>
      <c r="L1699">
        <v>114.93</v>
      </c>
    </row>
    <row r="1700" spans="1:12" x14ac:dyDescent="0.25">
      <c r="A1700" s="12">
        <v>44063</v>
      </c>
      <c r="B1700">
        <v>291.30599999999998</v>
      </c>
      <c r="C1700">
        <v>265.65600000000001</v>
      </c>
      <c r="D1700">
        <f t="shared" si="12"/>
        <v>114.935</v>
      </c>
      <c r="E1700">
        <v>211.191</v>
      </c>
      <c r="F1700">
        <v>171.09399999999999</v>
      </c>
      <c r="G1700">
        <v>258.45299999999997</v>
      </c>
      <c r="H1700">
        <v>209.95699999999999</v>
      </c>
      <c r="I1700">
        <v>246.489</v>
      </c>
      <c r="L1700">
        <v>114.935</v>
      </c>
    </row>
    <row r="1701" spans="1:12" x14ac:dyDescent="0.25">
      <c r="A1701" s="12">
        <v>44064</v>
      </c>
      <c r="B1701">
        <v>291.19200000000001</v>
      </c>
      <c r="C1701">
        <v>265.928</v>
      </c>
      <c r="D1701">
        <f t="shared" si="12"/>
        <v>115.062</v>
      </c>
      <c r="E1701">
        <v>210.99700000000001</v>
      </c>
      <c r="F1701">
        <v>171.22800000000001</v>
      </c>
      <c r="G1701">
        <v>259</v>
      </c>
      <c r="H1701">
        <v>210.126</v>
      </c>
      <c r="I1701">
        <v>246.125</v>
      </c>
      <c r="L1701">
        <v>115.062</v>
      </c>
    </row>
    <row r="1702" spans="1:12" x14ac:dyDescent="0.25">
      <c r="A1702" s="12">
        <v>44067</v>
      </c>
      <c r="B1702">
        <v>291.637</v>
      </c>
      <c r="C1702">
        <v>266.22699999999998</v>
      </c>
      <c r="D1702">
        <f t="shared" si="12"/>
        <v>115.374</v>
      </c>
      <c r="E1702">
        <v>211.73400000000001</v>
      </c>
      <c r="F1702">
        <v>171.589</v>
      </c>
      <c r="G1702">
        <v>258.27999999999997</v>
      </c>
      <c r="H1702">
        <v>210.14599999999999</v>
      </c>
      <c r="I1702">
        <v>246.55500000000001</v>
      </c>
      <c r="L1702">
        <v>115.374</v>
      </c>
    </row>
    <row r="1703" spans="1:12" x14ac:dyDescent="0.25">
      <c r="A1703" s="12">
        <v>44068</v>
      </c>
      <c r="B1703">
        <v>292.14100000000002</v>
      </c>
      <c r="C1703">
        <v>266.19400000000002</v>
      </c>
      <c r="D1703">
        <f t="shared" si="12"/>
        <v>115.654</v>
      </c>
      <c r="E1703">
        <v>212.43799999999999</v>
      </c>
      <c r="F1703">
        <v>171.607</v>
      </c>
      <c r="G1703">
        <v>258.64600000000002</v>
      </c>
      <c r="H1703">
        <v>210.285</v>
      </c>
      <c r="I1703">
        <v>247.357</v>
      </c>
      <c r="L1703">
        <v>115.654</v>
      </c>
    </row>
    <row r="1704" spans="1:12" x14ac:dyDescent="0.25">
      <c r="A1704" s="12">
        <v>44069</v>
      </c>
      <c r="B1704">
        <v>292.57799999999997</v>
      </c>
      <c r="C1704">
        <v>266.04199999999997</v>
      </c>
      <c r="D1704">
        <f t="shared" si="12"/>
        <v>115.958</v>
      </c>
      <c r="E1704">
        <v>212.30099999999999</v>
      </c>
      <c r="F1704">
        <v>171.13800000000001</v>
      </c>
      <c r="G1704">
        <v>260.04399999999998</v>
      </c>
      <c r="H1704">
        <v>210.38300000000001</v>
      </c>
      <c r="I1704">
        <v>247.07900000000001</v>
      </c>
      <c r="L1704">
        <v>115.958</v>
      </c>
    </row>
    <row r="1705" spans="1:12" x14ac:dyDescent="0.25">
      <c r="A1705" s="12">
        <v>44070</v>
      </c>
      <c r="B1705">
        <v>292.93099999999998</v>
      </c>
      <c r="C1705">
        <v>265.87200000000001</v>
      </c>
      <c r="D1705">
        <f t="shared" si="12"/>
        <v>115.946</v>
      </c>
      <c r="E1705">
        <v>212.89699999999999</v>
      </c>
      <c r="F1705">
        <v>171.11799999999999</v>
      </c>
      <c r="G1705">
        <v>259.95100000000002</v>
      </c>
      <c r="H1705">
        <v>210.142</v>
      </c>
      <c r="I1705">
        <v>247.8</v>
      </c>
      <c r="L1705">
        <v>115.946</v>
      </c>
    </row>
    <row r="1706" spans="1:12" x14ac:dyDescent="0.25">
      <c r="A1706" s="12">
        <v>44071</v>
      </c>
      <c r="B1706">
        <v>293.34399999999999</v>
      </c>
      <c r="C1706">
        <v>265.678</v>
      </c>
      <c r="D1706">
        <f t="shared" si="12"/>
        <v>116.46599999999999</v>
      </c>
      <c r="E1706">
        <v>212.982</v>
      </c>
      <c r="F1706">
        <v>171.02500000000001</v>
      </c>
      <c r="G1706">
        <v>260.505</v>
      </c>
      <c r="H1706">
        <v>210.059</v>
      </c>
      <c r="I1706">
        <v>248.1</v>
      </c>
      <c r="L1706">
        <v>116.46599999999999</v>
      </c>
    </row>
    <row r="1707" spans="1:12" x14ac:dyDescent="0.25">
      <c r="A1707" s="12">
        <v>44074</v>
      </c>
      <c r="B1707">
        <v>293.00299999999999</v>
      </c>
      <c r="C1707">
        <v>265.524</v>
      </c>
      <c r="D1707">
        <f t="shared" si="12"/>
        <v>116.19499999999999</v>
      </c>
      <c r="E1707">
        <v>212.62200000000001</v>
      </c>
      <c r="F1707">
        <v>170.75700000000001</v>
      </c>
      <c r="G1707">
        <v>260.68299999999999</v>
      </c>
      <c r="H1707">
        <v>210.04400000000001</v>
      </c>
      <c r="I1707">
        <v>247.4</v>
      </c>
      <c r="L1707">
        <v>116.19499999999999</v>
      </c>
    </row>
    <row r="1708" spans="1:12" x14ac:dyDescent="0.25">
      <c r="A1708" s="12">
        <v>44075</v>
      </c>
      <c r="B1708">
        <v>292.78100000000001</v>
      </c>
      <c r="C1708">
        <v>265.49099999999999</v>
      </c>
      <c r="D1708">
        <f t="shared" si="12"/>
        <v>116.09399999999999</v>
      </c>
      <c r="E1708">
        <v>212.13300000000001</v>
      </c>
      <c r="F1708">
        <v>170.63200000000001</v>
      </c>
      <c r="G1708">
        <v>260.10199999999998</v>
      </c>
      <c r="H1708">
        <v>210.17</v>
      </c>
      <c r="I1708">
        <v>246.69499999999999</v>
      </c>
      <c r="L1708">
        <v>116.09399999999999</v>
      </c>
    </row>
    <row r="1709" spans="1:12" x14ac:dyDescent="0.25">
      <c r="A1709" s="12">
        <v>44076</v>
      </c>
      <c r="B1709">
        <v>292.38099999999997</v>
      </c>
      <c r="C1709">
        <v>265.62099999999998</v>
      </c>
      <c r="D1709">
        <f t="shared" si="12"/>
        <v>115.90300000000001</v>
      </c>
      <c r="E1709">
        <v>212.471</v>
      </c>
      <c r="F1709">
        <v>170.95599999999999</v>
      </c>
      <c r="G1709">
        <v>259.65499999999997</v>
      </c>
      <c r="H1709">
        <v>210.24199999999999</v>
      </c>
      <c r="I1709">
        <v>247.179</v>
      </c>
      <c r="L1709">
        <v>115.90300000000001</v>
      </c>
    </row>
    <row r="1710" spans="1:12" x14ac:dyDescent="0.25">
      <c r="A1710" s="12">
        <v>44077</v>
      </c>
      <c r="B1710">
        <v>294.17599999999999</v>
      </c>
      <c r="C1710">
        <v>266.44799999999998</v>
      </c>
      <c r="D1710">
        <f t="shared" si="12"/>
        <v>116.35299999999999</v>
      </c>
      <c r="E1710">
        <v>213.93799999999999</v>
      </c>
      <c r="F1710">
        <v>171.779</v>
      </c>
      <c r="G1710">
        <v>259.875</v>
      </c>
      <c r="H1710">
        <v>210.52199999999999</v>
      </c>
      <c r="I1710">
        <v>249.251</v>
      </c>
      <c r="L1710">
        <v>116.35299999999999</v>
      </c>
    </row>
    <row r="1711" spans="1:12" x14ac:dyDescent="0.25">
      <c r="A1711" s="12">
        <v>44078</v>
      </c>
      <c r="B1711">
        <v>294.947</v>
      </c>
      <c r="C1711">
        <v>267.08800000000002</v>
      </c>
      <c r="D1711">
        <f t="shared" si="12"/>
        <v>117.327</v>
      </c>
      <c r="E1711">
        <v>213.37100000000001</v>
      </c>
      <c r="F1711">
        <v>172.11099999999999</v>
      </c>
      <c r="G1711">
        <v>261.96699999999998</v>
      </c>
      <c r="H1711">
        <v>210.91800000000001</v>
      </c>
      <c r="I1711">
        <v>248.15899999999999</v>
      </c>
      <c r="L1711">
        <v>117.327</v>
      </c>
    </row>
    <row r="1712" spans="1:12" x14ac:dyDescent="0.25">
      <c r="A1712" s="12">
        <v>44081</v>
      </c>
      <c r="B1712">
        <v>292.5</v>
      </c>
      <c r="C1712">
        <v>266.887</v>
      </c>
      <c r="D1712">
        <f t="shared" si="12"/>
        <v>115.91500000000001</v>
      </c>
      <c r="E1712">
        <v>211.93899999999999</v>
      </c>
      <c r="F1712">
        <v>171.79900000000001</v>
      </c>
      <c r="G1712">
        <v>261.12900000000002</v>
      </c>
      <c r="H1712">
        <v>210.98500000000001</v>
      </c>
      <c r="I1712">
        <v>246.21</v>
      </c>
      <c r="L1712">
        <v>115.91500000000001</v>
      </c>
    </row>
    <row r="1713" spans="1:12" x14ac:dyDescent="0.25">
      <c r="A1713" s="12">
        <v>44082</v>
      </c>
      <c r="B1713">
        <v>291.959</v>
      </c>
      <c r="C1713">
        <v>266.524</v>
      </c>
      <c r="D1713">
        <f t="shared" si="12"/>
        <v>115.556</v>
      </c>
      <c r="E1713">
        <v>212.13</v>
      </c>
      <c r="F1713">
        <v>171.76599999999999</v>
      </c>
      <c r="G1713">
        <v>259.02100000000002</v>
      </c>
      <c r="H1713">
        <v>210.809</v>
      </c>
      <c r="I1713">
        <v>247.12299999999999</v>
      </c>
      <c r="L1713">
        <v>115.556</v>
      </c>
    </row>
    <row r="1714" spans="1:12" x14ac:dyDescent="0.25">
      <c r="A1714" s="12">
        <v>44083</v>
      </c>
      <c r="B1714">
        <v>291.70100000000002</v>
      </c>
      <c r="C1714">
        <v>266.69499999999999</v>
      </c>
      <c r="D1714">
        <f t="shared" si="12"/>
        <v>115.42</v>
      </c>
      <c r="E1714">
        <v>211.34100000000001</v>
      </c>
      <c r="F1714">
        <v>171.78299999999999</v>
      </c>
      <c r="G1714">
        <v>259.839</v>
      </c>
      <c r="H1714">
        <v>210.77</v>
      </c>
      <c r="I1714">
        <v>246.06899999999999</v>
      </c>
      <c r="L1714">
        <v>115.42</v>
      </c>
    </row>
    <row r="1715" spans="1:12" x14ac:dyDescent="0.25">
      <c r="A1715" s="12">
        <v>44084</v>
      </c>
      <c r="B1715">
        <v>291.13499999999999</v>
      </c>
      <c r="C1715">
        <v>266.55399999999997</v>
      </c>
      <c r="D1715">
        <f t="shared" si="12"/>
        <v>114.85899999999999</v>
      </c>
      <c r="E1715">
        <v>211.60599999999999</v>
      </c>
      <c r="F1715">
        <v>171.714</v>
      </c>
      <c r="G1715">
        <v>258.42700000000002</v>
      </c>
      <c r="H1715">
        <v>210.66300000000001</v>
      </c>
      <c r="I1715">
        <v>246.81700000000001</v>
      </c>
      <c r="L1715">
        <v>114.85899999999999</v>
      </c>
    </row>
    <row r="1716" spans="1:12" x14ac:dyDescent="0.25">
      <c r="A1716" s="12">
        <v>44085</v>
      </c>
      <c r="B1716">
        <v>291.40600000000001</v>
      </c>
      <c r="C1716">
        <v>266.19499999999999</v>
      </c>
      <c r="D1716">
        <f t="shared" si="12"/>
        <v>115.21599999999999</v>
      </c>
      <c r="E1716">
        <v>211.11699999999999</v>
      </c>
      <c r="F1716">
        <v>171.35300000000001</v>
      </c>
      <c r="G1716">
        <v>259.41500000000002</v>
      </c>
      <c r="H1716">
        <v>210.68100000000001</v>
      </c>
      <c r="I1716">
        <v>246.55099999999999</v>
      </c>
      <c r="L1716">
        <v>115.21599999999999</v>
      </c>
    </row>
    <row r="1717" spans="1:12" x14ac:dyDescent="0.25">
      <c r="A1717" s="12">
        <v>44088</v>
      </c>
      <c r="B1717">
        <v>290.94400000000002</v>
      </c>
      <c r="C1717">
        <v>266.36900000000003</v>
      </c>
      <c r="D1717">
        <f t="shared" si="12"/>
        <v>114.443</v>
      </c>
      <c r="E1717">
        <v>211.042</v>
      </c>
      <c r="F1717">
        <v>171.637</v>
      </c>
      <c r="G1717">
        <v>259.22800000000001</v>
      </c>
      <c r="H1717">
        <v>210.58500000000001</v>
      </c>
      <c r="I1717">
        <v>246.56200000000001</v>
      </c>
      <c r="L1717">
        <v>114.443</v>
      </c>
    </row>
    <row r="1718" spans="1:12" x14ac:dyDescent="0.25">
      <c r="A1718" s="12">
        <v>44089</v>
      </c>
      <c r="B1718">
        <v>291.125</v>
      </c>
      <c r="C1718">
        <v>266.50599999999997</v>
      </c>
      <c r="D1718">
        <f t="shared" si="12"/>
        <v>114.83199999999999</v>
      </c>
      <c r="E1718">
        <v>211.684</v>
      </c>
      <c r="F1718">
        <v>171.56700000000001</v>
      </c>
      <c r="G1718">
        <v>258.923</v>
      </c>
      <c r="H1718">
        <v>210.70400000000001</v>
      </c>
      <c r="I1718">
        <v>247.107</v>
      </c>
      <c r="L1718">
        <v>114.83199999999999</v>
      </c>
    </row>
    <row r="1719" spans="1:12" x14ac:dyDescent="0.25">
      <c r="A1719" s="12">
        <v>44090</v>
      </c>
      <c r="B1719">
        <v>291.84300000000002</v>
      </c>
      <c r="C1719">
        <v>266.48500000000001</v>
      </c>
      <c r="D1719">
        <f t="shared" si="12"/>
        <v>115.319</v>
      </c>
      <c r="E1719">
        <v>212.38300000000001</v>
      </c>
      <c r="F1719">
        <v>171.761</v>
      </c>
      <c r="G1719">
        <v>259.495</v>
      </c>
      <c r="H1719">
        <v>210.74600000000001</v>
      </c>
      <c r="I1719">
        <v>248.09</v>
      </c>
      <c r="L1719">
        <v>115.319</v>
      </c>
    </row>
    <row r="1720" spans="1:12" x14ac:dyDescent="0.25">
      <c r="A1720" s="12">
        <v>44091</v>
      </c>
      <c r="B1720">
        <v>292.214</v>
      </c>
      <c r="C1720">
        <v>266.59399999999999</v>
      </c>
      <c r="D1720">
        <f t="shared" si="12"/>
        <v>115.663</v>
      </c>
      <c r="E1720">
        <v>212.739</v>
      </c>
      <c r="F1720">
        <v>171.83500000000001</v>
      </c>
      <c r="G1720">
        <v>260.47399999999999</v>
      </c>
      <c r="H1720">
        <v>210.9</v>
      </c>
      <c r="I1720">
        <v>248.56800000000001</v>
      </c>
      <c r="L1720">
        <v>115.663</v>
      </c>
    </row>
    <row r="1721" spans="1:12" x14ac:dyDescent="0.25">
      <c r="A1721" s="12">
        <v>44092</v>
      </c>
      <c r="B1721">
        <v>291.99299999999999</v>
      </c>
      <c r="C1721">
        <v>266.85500000000002</v>
      </c>
      <c r="D1721">
        <f t="shared" si="12"/>
        <v>115.544</v>
      </c>
      <c r="E1721">
        <v>211.995</v>
      </c>
      <c r="F1721">
        <v>171.68899999999999</v>
      </c>
      <c r="G1721">
        <v>261.05500000000001</v>
      </c>
      <c r="H1721">
        <v>210.96600000000001</v>
      </c>
      <c r="I1721">
        <v>247.84399999999999</v>
      </c>
      <c r="L1721">
        <v>115.544</v>
      </c>
    </row>
    <row r="1722" spans="1:12" x14ac:dyDescent="0.25">
      <c r="A1722" s="12">
        <v>44095</v>
      </c>
      <c r="B1722">
        <v>291.267</v>
      </c>
      <c r="C1722">
        <v>266.70499999999998</v>
      </c>
      <c r="D1722">
        <f t="shared" si="12"/>
        <v>115.241</v>
      </c>
      <c r="E1722">
        <v>211.38</v>
      </c>
      <c r="F1722">
        <v>171.42599999999999</v>
      </c>
      <c r="G1722">
        <v>260.12599999999998</v>
      </c>
      <c r="H1722">
        <v>210.93</v>
      </c>
      <c r="I1722">
        <v>247.149</v>
      </c>
      <c r="L1722">
        <v>115.241</v>
      </c>
    </row>
    <row r="1723" spans="1:12" x14ac:dyDescent="0.25">
      <c r="A1723" s="12">
        <v>44096</v>
      </c>
      <c r="B1723">
        <v>290.10700000000003</v>
      </c>
      <c r="C1723">
        <v>266.77</v>
      </c>
      <c r="D1723">
        <f t="shared" si="12"/>
        <v>114.605</v>
      </c>
      <c r="E1723">
        <v>210.249</v>
      </c>
      <c r="F1723">
        <v>171.15299999999999</v>
      </c>
      <c r="G1723">
        <v>259.49700000000001</v>
      </c>
      <c r="H1723">
        <v>210.76599999999999</v>
      </c>
      <c r="I1723">
        <v>245.203</v>
      </c>
      <c r="L1723">
        <v>114.605</v>
      </c>
    </row>
    <row r="1724" spans="1:12" x14ac:dyDescent="0.25">
      <c r="A1724" s="12">
        <v>44097</v>
      </c>
      <c r="B1724">
        <v>289.97300000000001</v>
      </c>
      <c r="C1724">
        <v>266.58999999999997</v>
      </c>
      <c r="D1724">
        <f t="shared" si="12"/>
        <v>114.50700000000001</v>
      </c>
      <c r="E1724">
        <v>210.625</v>
      </c>
      <c r="F1724">
        <v>171.137</v>
      </c>
      <c r="G1724">
        <v>256.66899999999998</v>
      </c>
      <c r="H1724">
        <v>210.4</v>
      </c>
      <c r="I1724">
        <v>245.73</v>
      </c>
      <c r="L1724">
        <v>114.50700000000001</v>
      </c>
    </row>
    <row r="1725" spans="1:12" x14ac:dyDescent="0.25">
      <c r="A1725" s="12">
        <v>44098</v>
      </c>
      <c r="B1725">
        <v>290.68200000000002</v>
      </c>
      <c r="C1725">
        <v>266.40100000000001</v>
      </c>
      <c r="D1725">
        <f t="shared" si="12"/>
        <v>114.93600000000001</v>
      </c>
      <c r="E1725">
        <v>210.54499999999999</v>
      </c>
      <c r="F1725">
        <v>171.00899999999999</v>
      </c>
      <c r="G1725">
        <v>256.79399999999998</v>
      </c>
      <c r="H1725">
        <v>210.26300000000001</v>
      </c>
      <c r="I1725">
        <v>246.40199999999999</v>
      </c>
      <c r="L1725">
        <v>114.93600000000001</v>
      </c>
    </row>
    <row r="1726" spans="1:12" x14ac:dyDescent="0.25">
      <c r="A1726" s="12">
        <v>44099</v>
      </c>
      <c r="B1726">
        <v>289.71199999999999</v>
      </c>
      <c r="C1726">
        <v>266.32400000000001</v>
      </c>
      <c r="D1726">
        <f t="shared" si="12"/>
        <v>114.29</v>
      </c>
      <c r="E1726">
        <v>209.58799999999999</v>
      </c>
      <c r="F1726">
        <v>170.667</v>
      </c>
      <c r="G1726">
        <v>257.41399999999999</v>
      </c>
      <c r="H1726">
        <v>209.91</v>
      </c>
      <c r="I1726">
        <v>245.065</v>
      </c>
      <c r="L1726">
        <v>114.29</v>
      </c>
    </row>
    <row r="1727" spans="1:12" x14ac:dyDescent="0.25">
      <c r="A1727" s="12">
        <v>44102</v>
      </c>
      <c r="B1727">
        <v>289.673</v>
      </c>
      <c r="C1727">
        <v>266.01100000000002</v>
      </c>
      <c r="D1727">
        <f t="shared" si="12"/>
        <v>114.363</v>
      </c>
      <c r="E1727">
        <v>210.32</v>
      </c>
      <c r="F1727">
        <v>170.90899999999999</v>
      </c>
      <c r="G1727">
        <v>255.86699999999999</v>
      </c>
      <c r="H1727">
        <v>209.67500000000001</v>
      </c>
      <c r="I1727">
        <v>245.23599999999999</v>
      </c>
      <c r="L1727">
        <v>114.363</v>
      </c>
    </row>
    <row r="1728" spans="1:12" x14ac:dyDescent="0.25">
      <c r="A1728" s="12">
        <v>44103</v>
      </c>
      <c r="B1728">
        <v>290.87099999999998</v>
      </c>
      <c r="C1728">
        <v>265.82</v>
      </c>
      <c r="D1728">
        <f t="shared" si="12"/>
        <v>115.15600000000001</v>
      </c>
      <c r="E1728">
        <v>211.48</v>
      </c>
      <c r="F1728">
        <v>170.96899999999999</v>
      </c>
      <c r="G1728">
        <v>256.00200000000001</v>
      </c>
      <c r="H1728">
        <v>209.71700000000001</v>
      </c>
      <c r="I1728">
        <v>246.85300000000001</v>
      </c>
      <c r="L1728">
        <v>115.15600000000001</v>
      </c>
    </row>
    <row r="1729" spans="1:12" x14ac:dyDescent="0.25">
      <c r="A1729" s="12">
        <v>44104</v>
      </c>
      <c r="B1729">
        <v>291.60199999999998</v>
      </c>
      <c r="C1729">
        <v>265.91500000000002</v>
      </c>
      <c r="D1729">
        <f t="shared" si="12"/>
        <v>115.65</v>
      </c>
      <c r="E1729">
        <v>211.071</v>
      </c>
      <c r="F1729">
        <v>170.755</v>
      </c>
      <c r="G1729">
        <v>258.12700000000001</v>
      </c>
      <c r="H1729">
        <v>209.72399999999999</v>
      </c>
      <c r="I1729">
        <v>246.49100000000001</v>
      </c>
      <c r="L1729">
        <v>115.65</v>
      </c>
    </row>
    <row r="1730" spans="1:12" x14ac:dyDescent="0.25">
      <c r="A1730" s="12">
        <v>44105</v>
      </c>
      <c r="B1730">
        <v>291.14600000000002</v>
      </c>
      <c r="C1730">
        <v>265.86099999999999</v>
      </c>
      <c r="D1730">
        <f t="shared" si="12"/>
        <v>115.444</v>
      </c>
      <c r="E1730">
        <v>211.387</v>
      </c>
      <c r="F1730">
        <v>170.75700000000001</v>
      </c>
      <c r="G1730">
        <v>257.79700000000003</v>
      </c>
      <c r="H1730">
        <v>209.73599999999999</v>
      </c>
      <c r="I1730">
        <v>246.77099999999999</v>
      </c>
      <c r="L1730">
        <v>115.444</v>
      </c>
    </row>
    <row r="1731" spans="1:12" x14ac:dyDescent="0.25">
      <c r="A1731" s="12">
        <v>44106</v>
      </c>
      <c r="B1731">
        <v>291.274</v>
      </c>
      <c r="C1731">
        <v>265.94200000000001</v>
      </c>
      <c r="D1731">
        <f t="shared" si="12"/>
        <v>115.48399999999999</v>
      </c>
      <c r="E1731">
        <v>211.947</v>
      </c>
      <c r="F1731">
        <v>170.97200000000001</v>
      </c>
      <c r="G1731">
        <v>258.00799999999998</v>
      </c>
      <c r="H1731">
        <v>209.846</v>
      </c>
      <c r="I1731">
        <v>247.13800000000001</v>
      </c>
      <c r="L1731">
        <v>115.48399999999999</v>
      </c>
    </row>
    <row r="1732" spans="1:12" x14ac:dyDescent="0.25">
      <c r="A1732" s="12">
        <v>44109</v>
      </c>
      <c r="B1732">
        <v>291.35599999999999</v>
      </c>
      <c r="C1732">
        <v>266.10300000000001</v>
      </c>
      <c r="D1732">
        <f t="shared" si="12"/>
        <v>115.636</v>
      </c>
      <c r="E1732">
        <v>211.69200000000001</v>
      </c>
      <c r="F1732">
        <v>171.084</v>
      </c>
      <c r="G1732">
        <v>258.60500000000002</v>
      </c>
      <c r="H1732">
        <v>210.00899999999999</v>
      </c>
      <c r="I1732">
        <v>247.20400000000001</v>
      </c>
      <c r="L1732">
        <v>115.636</v>
      </c>
    </row>
    <row r="1733" spans="1:12" x14ac:dyDescent="0.25">
      <c r="A1733" s="12">
        <v>44110</v>
      </c>
      <c r="B1733">
        <v>291.221</v>
      </c>
      <c r="C1733">
        <v>266.06</v>
      </c>
      <c r="D1733">
        <f t="shared" si="12"/>
        <v>115.465</v>
      </c>
      <c r="E1733">
        <v>212.10400000000001</v>
      </c>
      <c r="F1733">
        <v>170.911</v>
      </c>
      <c r="G1733">
        <v>258.50200000000001</v>
      </c>
      <c r="H1733">
        <v>209.98400000000001</v>
      </c>
      <c r="I1733">
        <v>247.42699999999999</v>
      </c>
      <c r="L1733">
        <v>115.465</v>
      </c>
    </row>
    <row r="1734" spans="1:12" x14ac:dyDescent="0.25">
      <c r="A1734" s="12">
        <v>44111</v>
      </c>
      <c r="B1734">
        <v>291.99799999999999</v>
      </c>
      <c r="C1734">
        <v>266.05099999999999</v>
      </c>
      <c r="D1734">
        <f t="shared" si="12"/>
        <v>115.89400000000001</v>
      </c>
      <c r="E1734">
        <v>212.31800000000001</v>
      </c>
      <c r="F1734">
        <v>171.06399999999999</v>
      </c>
      <c r="G1734">
        <v>259.15499999999997</v>
      </c>
      <c r="H1734">
        <v>210.07599999999999</v>
      </c>
      <c r="I1734">
        <v>247.917</v>
      </c>
      <c r="L1734">
        <v>115.89400000000001</v>
      </c>
    </row>
    <row r="1735" spans="1:12" x14ac:dyDescent="0.25">
      <c r="A1735" s="12">
        <v>44112</v>
      </c>
      <c r="B1735">
        <v>291.56599999999997</v>
      </c>
      <c r="C1735">
        <v>266.26400000000001</v>
      </c>
      <c r="D1735">
        <f t="shared" si="12"/>
        <v>115.642</v>
      </c>
      <c r="E1735">
        <v>212.77500000000001</v>
      </c>
      <c r="F1735">
        <v>171.149</v>
      </c>
      <c r="G1735">
        <v>259.755</v>
      </c>
      <c r="H1735">
        <v>210.315</v>
      </c>
      <c r="I1735">
        <v>247.953</v>
      </c>
      <c r="L1735">
        <v>115.642</v>
      </c>
    </row>
    <row r="1736" spans="1:12" x14ac:dyDescent="0.25">
      <c r="A1736" s="12">
        <v>44113</v>
      </c>
      <c r="B1736">
        <v>292.80200000000002</v>
      </c>
      <c r="C1736">
        <v>266.39600000000002</v>
      </c>
      <c r="D1736">
        <f t="shared" si="12"/>
        <v>116.319</v>
      </c>
      <c r="E1736">
        <v>213.672</v>
      </c>
      <c r="F1736">
        <v>171.62299999999999</v>
      </c>
      <c r="G1736">
        <v>259.64800000000002</v>
      </c>
      <c r="H1736">
        <v>210.29599999999999</v>
      </c>
      <c r="I1736">
        <v>248.85</v>
      </c>
      <c r="L1736">
        <v>116.319</v>
      </c>
    </row>
    <row r="1737" spans="1:12" x14ac:dyDescent="0.25">
      <c r="A1737" s="12">
        <v>44116</v>
      </c>
      <c r="B1737">
        <v>293.24700000000001</v>
      </c>
      <c r="C1737">
        <v>266.553</v>
      </c>
      <c r="D1737">
        <f t="shared" si="12"/>
        <v>116.789</v>
      </c>
      <c r="E1737">
        <v>214.31899999999999</v>
      </c>
      <c r="F1737">
        <v>171.77500000000001</v>
      </c>
      <c r="G1737">
        <v>260.78500000000003</v>
      </c>
      <c r="H1737">
        <v>210.58699999999999</v>
      </c>
      <c r="I1737">
        <v>249.465</v>
      </c>
      <c r="L1737">
        <v>116.789</v>
      </c>
    </row>
    <row r="1738" spans="1:12" x14ac:dyDescent="0.25">
      <c r="A1738" s="12">
        <v>44117</v>
      </c>
      <c r="B1738">
        <v>294.16300000000001</v>
      </c>
      <c r="C1738">
        <v>266.67700000000002</v>
      </c>
      <c r="D1738">
        <f t="shared" si="12"/>
        <v>117.145</v>
      </c>
      <c r="E1738">
        <v>215.43100000000001</v>
      </c>
      <c r="F1738">
        <v>171.96</v>
      </c>
      <c r="G1738">
        <v>261.45400000000001</v>
      </c>
      <c r="H1738">
        <v>210.82599999999999</v>
      </c>
      <c r="I1738">
        <v>250.58600000000001</v>
      </c>
      <c r="L1738">
        <v>117.145</v>
      </c>
    </row>
    <row r="1739" spans="1:12" x14ac:dyDescent="0.25">
      <c r="A1739" s="12">
        <v>44118</v>
      </c>
      <c r="B1739">
        <v>294.88499999999999</v>
      </c>
      <c r="C1739">
        <v>266.91699999999997</v>
      </c>
      <c r="D1739">
        <f t="shared" si="12"/>
        <v>117.65900000000001</v>
      </c>
      <c r="E1739">
        <v>215.74600000000001</v>
      </c>
      <c r="F1739">
        <v>172.29300000000001</v>
      </c>
      <c r="G1739">
        <v>262.666</v>
      </c>
      <c r="H1739">
        <v>210.87700000000001</v>
      </c>
      <c r="I1739">
        <v>251.02699999999999</v>
      </c>
      <c r="L1739">
        <v>117.65900000000001</v>
      </c>
    </row>
    <row r="1740" spans="1:12" x14ac:dyDescent="0.25">
      <c r="A1740" s="12">
        <v>44119</v>
      </c>
      <c r="B1740">
        <v>295.19499999999999</v>
      </c>
      <c r="C1740">
        <v>267.24599999999998</v>
      </c>
      <c r="D1740">
        <f t="shared" si="12"/>
        <v>117.867</v>
      </c>
      <c r="E1740">
        <v>215.709</v>
      </c>
      <c r="F1740">
        <v>172.24299999999999</v>
      </c>
      <c r="G1740">
        <v>262.84300000000002</v>
      </c>
      <c r="H1740">
        <v>211.00200000000001</v>
      </c>
      <c r="I1740">
        <v>251.126</v>
      </c>
      <c r="L1740">
        <v>117.867</v>
      </c>
    </row>
    <row r="1741" spans="1:12" x14ac:dyDescent="0.25">
      <c r="A1741" s="12">
        <v>44120</v>
      </c>
      <c r="B1741">
        <v>294.35599999999999</v>
      </c>
      <c r="C1741">
        <v>267.46800000000002</v>
      </c>
      <c r="D1741">
        <f t="shared" si="12"/>
        <v>117.575</v>
      </c>
      <c r="E1741">
        <v>214.77600000000001</v>
      </c>
      <c r="F1741">
        <v>172.13200000000001</v>
      </c>
      <c r="G1741">
        <v>262.70600000000002</v>
      </c>
      <c r="H1741">
        <v>211.00700000000001</v>
      </c>
      <c r="I1741">
        <v>250.14099999999999</v>
      </c>
      <c r="L1741">
        <v>117.575</v>
      </c>
    </row>
    <row r="1742" spans="1:12" x14ac:dyDescent="0.25">
      <c r="A1742" s="12">
        <v>44123</v>
      </c>
      <c r="B1742">
        <v>294.65300000000002</v>
      </c>
      <c r="C1742">
        <v>267.29599999999999</v>
      </c>
      <c r="D1742">
        <f t="shared" si="12"/>
        <v>117.59399999999999</v>
      </c>
      <c r="E1742">
        <v>215.387</v>
      </c>
      <c r="F1742">
        <v>172.32499999999999</v>
      </c>
      <c r="G1742">
        <v>260.99200000000002</v>
      </c>
      <c r="H1742">
        <v>210.89099999999999</v>
      </c>
      <c r="I1742">
        <v>250.863</v>
      </c>
      <c r="L1742">
        <v>117.59399999999999</v>
      </c>
    </row>
    <row r="1743" spans="1:12" x14ac:dyDescent="0.25">
      <c r="A1743" s="12">
        <v>44124</v>
      </c>
      <c r="B1743">
        <v>294.125</v>
      </c>
      <c r="C1743">
        <v>267.202</v>
      </c>
      <c r="D1743">
        <f t="shared" si="12"/>
        <v>117.401</v>
      </c>
      <c r="E1743">
        <v>214.67599999999999</v>
      </c>
      <c r="F1743">
        <v>172.042</v>
      </c>
      <c r="G1743">
        <v>262.03100000000001</v>
      </c>
      <c r="H1743">
        <v>211.06299999999999</v>
      </c>
      <c r="I1743">
        <v>250.36500000000001</v>
      </c>
      <c r="L1743">
        <v>117.401</v>
      </c>
    </row>
    <row r="1744" spans="1:12" x14ac:dyDescent="0.25">
      <c r="A1744" s="12">
        <v>44125</v>
      </c>
      <c r="B1744">
        <v>293.07400000000001</v>
      </c>
      <c r="C1744">
        <v>267.053</v>
      </c>
      <c r="D1744">
        <f t="shared" si="12"/>
        <v>116.66200000000001</v>
      </c>
      <c r="E1744">
        <v>214.15700000000001</v>
      </c>
      <c r="F1744">
        <v>171.667</v>
      </c>
      <c r="G1744">
        <v>261.60000000000002</v>
      </c>
      <c r="H1744">
        <v>211.09299999999999</v>
      </c>
      <c r="I1744">
        <v>249.482</v>
      </c>
      <c r="L1744">
        <v>116.66200000000001</v>
      </c>
    </row>
    <row r="1745" spans="1:12" x14ac:dyDescent="0.25">
      <c r="A1745" s="12">
        <v>44126</v>
      </c>
      <c r="B1745">
        <v>292.55599999999998</v>
      </c>
      <c r="C1745">
        <v>266.84699999999998</v>
      </c>
      <c r="D1745">
        <f t="shared" si="12"/>
        <v>116.4</v>
      </c>
      <c r="E1745">
        <v>213.59399999999999</v>
      </c>
      <c r="F1745">
        <v>171.27600000000001</v>
      </c>
      <c r="G1745">
        <v>260.52499999999998</v>
      </c>
      <c r="H1745">
        <v>210.98599999999999</v>
      </c>
      <c r="I1745">
        <v>248.98599999999999</v>
      </c>
      <c r="L1745">
        <v>116.4</v>
      </c>
    </row>
    <row r="1746" spans="1:12" x14ac:dyDescent="0.25">
      <c r="A1746" s="12">
        <v>44127</v>
      </c>
      <c r="B1746">
        <v>292.185</v>
      </c>
      <c r="C1746">
        <v>266.69400000000002</v>
      </c>
      <c r="D1746">
        <f t="shared" si="12"/>
        <v>116.16</v>
      </c>
      <c r="E1746">
        <v>213.422</v>
      </c>
      <c r="F1746">
        <v>171.16900000000001</v>
      </c>
      <c r="G1746">
        <v>259.786</v>
      </c>
      <c r="H1746">
        <v>210.928</v>
      </c>
      <c r="I1746">
        <v>248.786</v>
      </c>
      <c r="L1746">
        <v>116.16</v>
      </c>
    </row>
    <row r="1747" spans="1:12" x14ac:dyDescent="0.25">
      <c r="A1747" s="12">
        <v>44130</v>
      </c>
      <c r="B1747">
        <v>292.48500000000001</v>
      </c>
      <c r="C1747">
        <v>266.61</v>
      </c>
      <c r="D1747">
        <f t="shared" ref="D1747:D1810" si="13">IF(L1747&gt;1,L1747,L1747*100)</f>
        <v>116.274</v>
      </c>
      <c r="E1747">
        <v>213.68299999999999</v>
      </c>
      <c r="F1747">
        <v>171.16399999999999</v>
      </c>
      <c r="G1747">
        <v>259.57600000000002</v>
      </c>
      <c r="H1747">
        <v>210.89400000000001</v>
      </c>
      <c r="I1747">
        <v>249.09</v>
      </c>
      <c r="L1747">
        <v>116.274</v>
      </c>
    </row>
    <row r="1748" spans="1:12" x14ac:dyDescent="0.25">
      <c r="A1748" s="12">
        <v>44131</v>
      </c>
      <c r="B1748">
        <v>291.983</v>
      </c>
      <c r="C1748">
        <v>266.82900000000001</v>
      </c>
      <c r="D1748">
        <f t="shared" si="13"/>
        <v>116.23099999999999</v>
      </c>
      <c r="E1748">
        <v>212.79499999999999</v>
      </c>
      <c r="F1748">
        <v>171.197</v>
      </c>
      <c r="G1748">
        <v>259.98700000000002</v>
      </c>
      <c r="H1748">
        <v>210.886</v>
      </c>
      <c r="I1748">
        <v>247.989</v>
      </c>
      <c r="L1748">
        <v>116.23099999999999</v>
      </c>
    </row>
    <row r="1749" spans="1:12" x14ac:dyDescent="0.25">
      <c r="A1749" s="12">
        <v>44132</v>
      </c>
      <c r="B1749">
        <v>291.30900000000003</v>
      </c>
      <c r="C1749">
        <v>267.09399999999999</v>
      </c>
      <c r="D1749">
        <f t="shared" si="13"/>
        <v>115.70099999999999</v>
      </c>
      <c r="E1749">
        <v>212.768</v>
      </c>
      <c r="F1749">
        <v>171.44200000000001</v>
      </c>
      <c r="G1749">
        <v>258.70100000000002</v>
      </c>
      <c r="H1749">
        <v>210.85599999999999</v>
      </c>
      <c r="I1749">
        <v>248.02799999999999</v>
      </c>
      <c r="L1749">
        <v>115.70099999999999</v>
      </c>
    </row>
    <row r="1750" spans="1:12" x14ac:dyDescent="0.25">
      <c r="A1750" s="12">
        <v>44133</v>
      </c>
      <c r="B1750">
        <v>290.18099999999998</v>
      </c>
      <c r="C1750">
        <v>267.279</v>
      </c>
      <c r="D1750">
        <f t="shared" si="13"/>
        <v>115.348</v>
      </c>
      <c r="E1750">
        <v>211.108</v>
      </c>
      <c r="F1750">
        <v>171.297</v>
      </c>
      <c r="G1750">
        <v>257.95</v>
      </c>
      <c r="H1750">
        <v>211.029</v>
      </c>
      <c r="I1750">
        <v>246.74600000000001</v>
      </c>
      <c r="L1750">
        <v>115.348</v>
      </c>
    </row>
    <row r="1751" spans="1:12" x14ac:dyDescent="0.25">
      <c r="A1751" s="12">
        <v>44134</v>
      </c>
      <c r="B1751">
        <v>288.80700000000002</v>
      </c>
      <c r="C1751">
        <v>267.02600000000001</v>
      </c>
      <c r="D1751">
        <f t="shared" si="13"/>
        <v>114.532</v>
      </c>
      <c r="E1751">
        <v>211.46299999999999</v>
      </c>
      <c r="F1751">
        <v>171.40199999999999</v>
      </c>
      <c r="G1751">
        <v>255.566</v>
      </c>
      <c r="H1751">
        <v>210.71799999999999</v>
      </c>
      <c r="I1751">
        <v>246.86500000000001</v>
      </c>
      <c r="L1751">
        <v>114.532</v>
      </c>
    </row>
    <row r="1752" spans="1:12" x14ac:dyDescent="0.25">
      <c r="A1752" s="12">
        <v>44137</v>
      </c>
      <c r="B1752">
        <v>288.529</v>
      </c>
      <c r="C1752">
        <v>266.64699999999999</v>
      </c>
      <c r="D1752">
        <f t="shared" si="13"/>
        <v>114.77500000000001</v>
      </c>
      <c r="E1752">
        <v>210.96700000000001</v>
      </c>
      <c r="F1752">
        <v>171.27099999999999</v>
      </c>
      <c r="G1752">
        <v>255.297</v>
      </c>
      <c r="H1752">
        <v>210.703</v>
      </c>
      <c r="I1752">
        <v>246.26400000000001</v>
      </c>
      <c r="L1752">
        <v>114.77500000000001</v>
      </c>
    </row>
    <row r="1753" spans="1:12" x14ac:dyDescent="0.25">
      <c r="A1753" s="12">
        <v>44138</v>
      </c>
      <c r="B1753">
        <v>288.51299999999998</v>
      </c>
      <c r="C1753">
        <v>266.63299999999998</v>
      </c>
      <c r="D1753">
        <f t="shared" si="13"/>
        <v>114.762</v>
      </c>
      <c r="E1753">
        <v>212.07599999999999</v>
      </c>
      <c r="F1753">
        <v>171.53800000000001</v>
      </c>
      <c r="G1753">
        <v>255.114</v>
      </c>
      <c r="H1753">
        <v>210.637</v>
      </c>
      <c r="I1753">
        <v>247.43299999999999</v>
      </c>
      <c r="L1753">
        <v>114.762</v>
      </c>
    </row>
    <row r="1754" spans="1:12" x14ac:dyDescent="0.25">
      <c r="A1754" s="12">
        <v>44139</v>
      </c>
      <c r="B1754">
        <v>289.685</v>
      </c>
      <c r="C1754">
        <v>266.57299999999998</v>
      </c>
      <c r="D1754">
        <f t="shared" si="13"/>
        <v>115.41200000000001</v>
      </c>
      <c r="E1754">
        <v>213.285</v>
      </c>
      <c r="F1754">
        <v>171.65799999999999</v>
      </c>
      <c r="G1754">
        <v>256.24099999999999</v>
      </c>
      <c r="H1754">
        <v>210.68600000000001</v>
      </c>
      <c r="I1754">
        <v>248.62799999999999</v>
      </c>
      <c r="L1754">
        <v>115.41200000000001</v>
      </c>
    </row>
    <row r="1755" spans="1:12" x14ac:dyDescent="0.25">
      <c r="A1755" s="12">
        <v>44140</v>
      </c>
      <c r="B1755">
        <v>291.84199999999998</v>
      </c>
      <c r="C1755">
        <v>267.09100000000001</v>
      </c>
      <c r="D1755">
        <f t="shared" si="13"/>
        <v>116.273</v>
      </c>
      <c r="E1755">
        <v>215.33500000000001</v>
      </c>
      <c r="F1755">
        <v>172.52199999999999</v>
      </c>
      <c r="G1755">
        <v>258.00299999999999</v>
      </c>
      <c r="H1755">
        <v>210.864</v>
      </c>
      <c r="I1755">
        <v>250.35900000000001</v>
      </c>
      <c r="L1755">
        <v>116.273</v>
      </c>
    </row>
    <row r="1756" spans="1:12" x14ac:dyDescent="0.25">
      <c r="A1756" s="12">
        <v>44141</v>
      </c>
      <c r="B1756">
        <v>293.762</v>
      </c>
      <c r="C1756">
        <v>267.63600000000002</v>
      </c>
      <c r="D1756">
        <f t="shared" si="13"/>
        <v>117.256</v>
      </c>
      <c r="E1756">
        <v>216.691</v>
      </c>
      <c r="F1756">
        <v>172.899</v>
      </c>
      <c r="G1756">
        <v>260.524</v>
      </c>
      <c r="H1756">
        <v>211.42099999999999</v>
      </c>
      <c r="I1756">
        <v>251.52</v>
      </c>
      <c r="L1756">
        <v>117.256</v>
      </c>
    </row>
    <row r="1757" spans="1:12" x14ac:dyDescent="0.25">
      <c r="A1757" s="12">
        <v>44144</v>
      </c>
      <c r="B1757">
        <v>294.72399999999999</v>
      </c>
      <c r="C1757">
        <v>268.06200000000001</v>
      </c>
      <c r="D1757">
        <f t="shared" si="13"/>
        <v>117.577</v>
      </c>
      <c r="E1757">
        <v>216.37700000000001</v>
      </c>
      <c r="F1757">
        <v>172.57</v>
      </c>
      <c r="G1757">
        <v>262.31099999999998</v>
      </c>
      <c r="H1757">
        <v>211.96100000000001</v>
      </c>
      <c r="I1757">
        <v>251.30799999999999</v>
      </c>
      <c r="L1757">
        <v>117.577</v>
      </c>
    </row>
    <row r="1758" spans="1:12" x14ac:dyDescent="0.25">
      <c r="A1758" s="12">
        <v>44145</v>
      </c>
      <c r="B1758">
        <v>295.19600000000003</v>
      </c>
      <c r="C1758">
        <v>267.8</v>
      </c>
      <c r="D1758">
        <f t="shared" si="13"/>
        <v>117.831</v>
      </c>
      <c r="E1758">
        <v>218.40700000000001</v>
      </c>
      <c r="F1758">
        <v>172.881</v>
      </c>
      <c r="G1758">
        <v>262.428</v>
      </c>
      <c r="H1758">
        <v>211.976</v>
      </c>
      <c r="I1758">
        <v>253.357</v>
      </c>
      <c r="L1758">
        <v>117.831</v>
      </c>
    </row>
    <row r="1759" spans="1:12" x14ac:dyDescent="0.25">
      <c r="A1759" s="12">
        <v>44146</v>
      </c>
      <c r="B1759">
        <v>295.46600000000001</v>
      </c>
      <c r="C1759">
        <v>268.16800000000001</v>
      </c>
      <c r="D1759">
        <f t="shared" si="13"/>
        <v>118.22</v>
      </c>
      <c r="E1759">
        <v>217.77500000000001</v>
      </c>
      <c r="F1759">
        <v>172.80500000000001</v>
      </c>
      <c r="G1759">
        <v>266.40499999999997</v>
      </c>
      <c r="H1759">
        <v>212.458</v>
      </c>
      <c r="I1759">
        <v>252.423</v>
      </c>
      <c r="L1759">
        <v>118.22</v>
      </c>
    </row>
    <row r="1760" spans="1:12" x14ac:dyDescent="0.25">
      <c r="A1760" s="12">
        <v>44147</v>
      </c>
      <c r="B1760">
        <v>295.75599999999997</v>
      </c>
      <c r="C1760">
        <v>268.37099999999998</v>
      </c>
      <c r="D1760">
        <f t="shared" si="13"/>
        <v>118.604</v>
      </c>
      <c r="E1760">
        <v>218.678</v>
      </c>
      <c r="F1760">
        <v>173.149</v>
      </c>
      <c r="G1760">
        <v>265.69</v>
      </c>
      <c r="H1760">
        <v>212.35</v>
      </c>
      <c r="I1760">
        <v>253.572</v>
      </c>
      <c r="L1760">
        <v>118.604</v>
      </c>
    </row>
    <row r="1761" spans="1:12" x14ac:dyDescent="0.25">
      <c r="A1761" s="12">
        <v>44148</v>
      </c>
      <c r="B1761">
        <v>296.27300000000002</v>
      </c>
      <c r="C1761">
        <v>268.637</v>
      </c>
      <c r="D1761">
        <f t="shared" si="13"/>
        <v>119.14100000000001</v>
      </c>
      <c r="E1761">
        <v>218.364</v>
      </c>
      <c r="F1761">
        <v>173.19800000000001</v>
      </c>
      <c r="G1761">
        <v>266.86599999999999</v>
      </c>
      <c r="H1761">
        <v>212.54</v>
      </c>
      <c r="I1761">
        <v>253.35400000000001</v>
      </c>
      <c r="L1761">
        <v>119.14100000000001</v>
      </c>
    </row>
    <row r="1762" spans="1:12" x14ac:dyDescent="0.25">
      <c r="A1762" s="12">
        <v>44151</v>
      </c>
      <c r="B1762">
        <v>296.22300000000001</v>
      </c>
      <c r="C1762">
        <v>268.89100000000002</v>
      </c>
      <c r="D1762">
        <f t="shared" si="13"/>
        <v>118.762</v>
      </c>
      <c r="E1762">
        <v>218.655</v>
      </c>
      <c r="F1762">
        <v>173.28200000000001</v>
      </c>
      <c r="G1762">
        <v>266.565</v>
      </c>
      <c r="H1762">
        <v>212.602</v>
      </c>
      <c r="I1762">
        <v>253.608</v>
      </c>
      <c r="L1762">
        <v>118.762</v>
      </c>
    </row>
    <row r="1763" spans="1:12" x14ac:dyDescent="0.25">
      <c r="A1763" s="12">
        <v>44152</v>
      </c>
      <c r="B1763">
        <v>297.04199999999997</v>
      </c>
      <c r="C1763">
        <v>269.07100000000003</v>
      </c>
      <c r="D1763">
        <f t="shared" si="13"/>
        <v>119.276</v>
      </c>
      <c r="E1763">
        <v>219.83500000000001</v>
      </c>
      <c r="F1763">
        <v>173.48099999999999</v>
      </c>
      <c r="G1763">
        <v>266.33499999999998</v>
      </c>
      <c r="H1763">
        <v>212.631</v>
      </c>
      <c r="I1763">
        <v>254.809</v>
      </c>
      <c r="L1763">
        <v>119.276</v>
      </c>
    </row>
    <row r="1764" spans="1:12" x14ac:dyDescent="0.25">
      <c r="A1764" s="12">
        <v>44154</v>
      </c>
      <c r="B1764">
        <v>297.661</v>
      </c>
      <c r="C1764">
        <v>269.38400000000001</v>
      </c>
      <c r="D1764">
        <f t="shared" si="13"/>
        <v>119.654</v>
      </c>
      <c r="E1764">
        <v>219.661</v>
      </c>
      <c r="F1764">
        <v>173.52099999999999</v>
      </c>
      <c r="G1764">
        <v>267.93799999999999</v>
      </c>
      <c r="H1764">
        <v>212.89599999999999</v>
      </c>
      <c r="I1764">
        <v>254.71299999999999</v>
      </c>
      <c r="L1764">
        <v>119.654</v>
      </c>
    </row>
    <row r="1765" spans="1:12" x14ac:dyDescent="0.25">
      <c r="A1765" s="12">
        <v>44155</v>
      </c>
      <c r="B1765">
        <v>297.42500000000001</v>
      </c>
      <c r="C1765">
        <v>270.048</v>
      </c>
      <c r="D1765">
        <f t="shared" si="13"/>
        <v>119.321</v>
      </c>
      <c r="E1765">
        <v>219.43299999999999</v>
      </c>
      <c r="F1765">
        <v>173.75299999999999</v>
      </c>
      <c r="G1765">
        <v>268.22199999999998</v>
      </c>
      <c r="H1765">
        <v>213.10300000000001</v>
      </c>
      <c r="I1765">
        <v>254.76599999999999</v>
      </c>
      <c r="L1765">
        <v>119.321</v>
      </c>
    </row>
    <row r="1766" spans="1:12" x14ac:dyDescent="0.25">
      <c r="A1766" s="12">
        <v>44158</v>
      </c>
      <c r="B1766">
        <v>297.80599999999998</v>
      </c>
      <c r="C1766">
        <v>270.25700000000001</v>
      </c>
      <c r="D1766">
        <f t="shared" si="13"/>
        <v>119.51600000000001</v>
      </c>
      <c r="E1766">
        <v>219.81</v>
      </c>
      <c r="F1766">
        <v>173.87</v>
      </c>
      <c r="G1766">
        <v>267.47899999999998</v>
      </c>
      <c r="H1766">
        <v>213.178</v>
      </c>
      <c r="I1766">
        <v>255.10300000000001</v>
      </c>
      <c r="L1766">
        <v>119.51600000000001</v>
      </c>
    </row>
    <row r="1767" spans="1:12" x14ac:dyDescent="0.25">
      <c r="A1767" s="12">
        <v>44159</v>
      </c>
      <c r="B1767">
        <v>297.565</v>
      </c>
      <c r="C1767">
        <v>270.392</v>
      </c>
      <c r="D1767">
        <f t="shared" si="13"/>
        <v>119.398</v>
      </c>
      <c r="E1767">
        <v>219.858</v>
      </c>
      <c r="F1767">
        <v>173.928</v>
      </c>
      <c r="G1767">
        <v>268.12799999999999</v>
      </c>
      <c r="H1767">
        <v>213.29300000000001</v>
      </c>
      <c r="I1767">
        <v>255.185</v>
      </c>
      <c r="L1767">
        <v>119.398</v>
      </c>
    </row>
    <row r="1768" spans="1:12" x14ac:dyDescent="0.25">
      <c r="A1768" s="12">
        <v>44160</v>
      </c>
      <c r="B1768">
        <v>298.10500000000002</v>
      </c>
      <c r="C1768">
        <v>270.59399999999999</v>
      </c>
      <c r="D1768">
        <f t="shared" si="13"/>
        <v>119.795</v>
      </c>
      <c r="E1768">
        <v>220.71799999999999</v>
      </c>
      <c r="F1768">
        <v>173.946</v>
      </c>
      <c r="G1768">
        <v>267.99200000000002</v>
      </c>
      <c r="H1768">
        <v>213.322</v>
      </c>
      <c r="I1768">
        <v>255.87799999999999</v>
      </c>
      <c r="L1768">
        <v>119.795</v>
      </c>
    </row>
    <row r="1769" spans="1:12" x14ac:dyDescent="0.25">
      <c r="A1769" s="12">
        <v>44161</v>
      </c>
      <c r="B1769">
        <v>298.76299999999998</v>
      </c>
      <c r="C1769">
        <v>270.73899999999998</v>
      </c>
      <c r="D1769">
        <f t="shared" si="13"/>
        <v>120.206</v>
      </c>
      <c r="E1769">
        <v>220.50800000000001</v>
      </c>
      <c r="F1769">
        <v>173.893</v>
      </c>
      <c r="G1769">
        <v>269.11099999999999</v>
      </c>
      <c r="H1769">
        <v>213.43100000000001</v>
      </c>
      <c r="I1769">
        <v>255.93100000000001</v>
      </c>
      <c r="L1769">
        <v>120.206</v>
      </c>
    </row>
    <row r="1770" spans="1:12" x14ac:dyDescent="0.25">
      <c r="A1770" s="12">
        <v>44162</v>
      </c>
      <c r="B1770">
        <v>298.60599999999999</v>
      </c>
      <c r="C1770">
        <v>270.80399999999997</v>
      </c>
      <c r="D1770">
        <f t="shared" si="13"/>
        <v>120.148</v>
      </c>
      <c r="E1770">
        <v>220.76</v>
      </c>
      <c r="F1770">
        <v>173.99</v>
      </c>
      <c r="G1770">
        <v>269.09899999999999</v>
      </c>
      <c r="H1770">
        <v>213.47300000000001</v>
      </c>
      <c r="I1770">
        <v>256.26900000000001</v>
      </c>
      <c r="L1770">
        <v>120.148</v>
      </c>
    </row>
    <row r="1771" spans="1:12" x14ac:dyDescent="0.25">
      <c r="A1771" s="12">
        <v>44165</v>
      </c>
      <c r="B1771">
        <v>298.971</v>
      </c>
      <c r="C1771">
        <v>270.916</v>
      </c>
      <c r="D1771">
        <f t="shared" si="13"/>
        <v>120.18600000000001</v>
      </c>
      <c r="E1771">
        <v>220.93199999999999</v>
      </c>
      <c r="F1771">
        <v>173.941</v>
      </c>
      <c r="G1771">
        <v>269.221</v>
      </c>
      <c r="H1771">
        <v>213.50899999999999</v>
      </c>
      <c r="I1771">
        <v>256.45600000000002</v>
      </c>
      <c r="L1771">
        <v>120.18600000000001</v>
      </c>
    </row>
    <row r="1772" spans="1:12" x14ac:dyDescent="0.25">
      <c r="A1772" s="12">
        <v>44166</v>
      </c>
      <c r="B1772">
        <v>299.03199999999998</v>
      </c>
      <c r="C1772">
        <v>270.96699999999998</v>
      </c>
      <c r="D1772">
        <f t="shared" si="13"/>
        <v>120</v>
      </c>
      <c r="E1772">
        <v>219.851</v>
      </c>
      <c r="F1772">
        <v>173.73599999999999</v>
      </c>
      <c r="G1772">
        <v>269.63900000000001</v>
      </c>
      <c r="H1772">
        <v>213.59200000000001</v>
      </c>
      <c r="I1772">
        <v>255.41</v>
      </c>
      <c r="L1772">
        <v>120</v>
      </c>
    </row>
    <row r="1773" spans="1:12" x14ac:dyDescent="0.25">
      <c r="A1773" s="12">
        <v>44167</v>
      </c>
      <c r="B1773">
        <v>298.685</v>
      </c>
      <c r="C1773">
        <v>270.90199999999999</v>
      </c>
      <c r="D1773">
        <f t="shared" si="13"/>
        <v>119.741</v>
      </c>
      <c r="E1773">
        <v>220.19300000000001</v>
      </c>
      <c r="F1773">
        <v>173.46100000000001</v>
      </c>
      <c r="G1773">
        <v>268.84399999999999</v>
      </c>
      <c r="H1773">
        <v>213.43</v>
      </c>
      <c r="I1773">
        <v>256.053</v>
      </c>
      <c r="L1773">
        <v>119.741</v>
      </c>
    </row>
    <row r="1774" spans="1:12" x14ac:dyDescent="0.25">
      <c r="A1774" s="12">
        <v>44168</v>
      </c>
      <c r="B1774">
        <v>298.58699999999999</v>
      </c>
      <c r="C1774">
        <v>270.68799999999999</v>
      </c>
      <c r="D1774">
        <f t="shared" si="13"/>
        <v>119.533</v>
      </c>
      <c r="E1774">
        <v>219.98400000000001</v>
      </c>
      <c r="F1774">
        <v>173.34299999999999</v>
      </c>
      <c r="G1774">
        <v>269.54700000000003</v>
      </c>
      <c r="H1774">
        <v>213.46</v>
      </c>
      <c r="I1774">
        <v>255.434</v>
      </c>
      <c r="L1774">
        <v>119.533</v>
      </c>
    </row>
    <row r="1775" spans="1:12" x14ac:dyDescent="0.25">
      <c r="A1775" s="12">
        <v>44169</v>
      </c>
      <c r="B1775">
        <v>298.55200000000002</v>
      </c>
      <c r="C1775">
        <v>270.755</v>
      </c>
      <c r="D1775">
        <f t="shared" si="13"/>
        <v>119.438</v>
      </c>
      <c r="E1775">
        <v>220.096</v>
      </c>
      <c r="F1775">
        <v>173.46700000000001</v>
      </c>
      <c r="G1775">
        <v>269.17700000000002</v>
      </c>
      <c r="H1775">
        <v>213.44300000000001</v>
      </c>
      <c r="I1775">
        <v>255.392</v>
      </c>
      <c r="L1775">
        <v>119.438</v>
      </c>
    </row>
    <row r="1776" spans="1:12" x14ac:dyDescent="0.25">
      <c r="A1776" s="12">
        <v>44172</v>
      </c>
      <c r="B1776">
        <v>298.67399999999998</v>
      </c>
      <c r="C1776">
        <v>270.94600000000003</v>
      </c>
      <c r="D1776">
        <f t="shared" si="13"/>
        <v>119.467</v>
      </c>
      <c r="E1776">
        <v>220.791</v>
      </c>
      <c r="F1776">
        <v>173.636</v>
      </c>
      <c r="G1776">
        <v>269.36</v>
      </c>
      <c r="H1776">
        <v>213.773</v>
      </c>
      <c r="I1776">
        <v>256.005</v>
      </c>
      <c r="L1776">
        <v>119.467</v>
      </c>
    </row>
    <row r="1777" spans="1:12" x14ac:dyDescent="0.25">
      <c r="A1777" s="12">
        <v>44173</v>
      </c>
      <c r="B1777">
        <v>299.42</v>
      </c>
      <c r="C1777">
        <v>271.21600000000001</v>
      </c>
      <c r="D1777">
        <f t="shared" si="13"/>
        <v>119.813</v>
      </c>
      <c r="E1777">
        <v>221.01599999999999</v>
      </c>
      <c r="F1777">
        <v>173.81100000000001</v>
      </c>
      <c r="G1777">
        <v>269.92200000000003</v>
      </c>
      <c r="H1777">
        <v>213.935</v>
      </c>
      <c r="I1777">
        <v>256.12</v>
      </c>
      <c r="L1777">
        <v>119.813</v>
      </c>
    </row>
    <row r="1778" spans="1:12" x14ac:dyDescent="0.25">
      <c r="A1778" s="12">
        <v>44174</v>
      </c>
      <c r="B1778">
        <v>299.64400000000001</v>
      </c>
      <c r="C1778">
        <v>271.52800000000002</v>
      </c>
      <c r="D1778">
        <f t="shared" si="13"/>
        <v>119.955</v>
      </c>
      <c r="E1778">
        <v>221.31100000000001</v>
      </c>
      <c r="F1778">
        <v>173.92699999999999</v>
      </c>
      <c r="G1778">
        <v>270.21100000000001</v>
      </c>
      <c r="H1778">
        <v>214.12100000000001</v>
      </c>
      <c r="I1778">
        <v>256.71600000000001</v>
      </c>
      <c r="L1778">
        <v>119.955</v>
      </c>
    </row>
    <row r="1779" spans="1:12" x14ac:dyDescent="0.25">
      <c r="A1779" s="12">
        <v>44175</v>
      </c>
      <c r="B1779">
        <v>299.678</v>
      </c>
      <c r="C1779">
        <v>271.55500000000001</v>
      </c>
      <c r="D1779">
        <f t="shared" si="13"/>
        <v>120.262</v>
      </c>
      <c r="E1779">
        <v>221.374</v>
      </c>
      <c r="F1779">
        <v>173.995</v>
      </c>
      <c r="G1779">
        <v>270.49400000000003</v>
      </c>
      <c r="H1779">
        <v>214.29</v>
      </c>
      <c r="I1779">
        <v>256.84800000000001</v>
      </c>
      <c r="L1779">
        <v>120.262</v>
      </c>
    </row>
    <row r="1780" spans="1:12" x14ac:dyDescent="0.25">
      <c r="A1780" s="12">
        <v>44176</v>
      </c>
      <c r="B1780">
        <v>299.41699999999997</v>
      </c>
      <c r="C1780">
        <v>271.428</v>
      </c>
      <c r="D1780">
        <f t="shared" si="13"/>
        <v>119.967</v>
      </c>
      <c r="E1780">
        <v>221.07900000000001</v>
      </c>
      <c r="F1780">
        <v>173.94900000000001</v>
      </c>
      <c r="G1780">
        <v>271.00200000000001</v>
      </c>
      <c r="H1780">
        <v>214.31399999999999</v>
      </c>
      <c r="I1780">
        <v>256.2</v>
      </c>
      <c r="L1780">
        <v>119.967</v>
      </c>
    </row>
    <row r="1781" spans="1:12" x14ac:dyDescent="0.25">
      <c r="A1781" s="12">
        <v>44179</v>
      </c>
      <c r="B1781">
        <v>299.279</v>
      </c>
      <c r="C1781">
        <v>271.678</v>
      </c>
      <c r="D1781">
        <f t="shared" si="13"/>
        <v>119.777</v>
      </c>
      <c r="E1781">
        <v>220.952</v>
      </c>
      <c r="F1781">
        <v>174.09299999999999</v>
      </c>
      <c r="G1781">
        <v>270.49099999999999</v>
      </c>
      <c r="H1781">
        <v>214.30199999999999</v>
      </c>
      <c r="I1781">
        <v>256.07400000000001</v>
      </c>
      <c r="L1781">
        <v>119.777</v>
      </c>
    </row>
    <row r="1782" spans="1:12" x14ac:dyDescent="0.25">
      <c r="A1782" s="12">
        <v>44180</v>
      </c>
      <c r="B1782">
        <v>299.56400000000002</v>
      </c>
      <c r="C1782">
        <v>271.71199999999999</v>
      </c>
      <c r="D1782">
        <f t="shared" si="13"/>
        <v>119.907</v>
      </c>
      <c r="E1782">
        <v>221.02600000000001</v>
      </c>
      <c r="F1782">
        <v>174.06200000000001</v>
      </c>
      <c r="G1782">
        <v>269.78500000000003</v>
      </c>
      <c r="H1782">
        <v>214.452</v>
      </c>
      <c r="I1782">
        <v>256.37799999999999</v>
      </c>
      <c r="L1782">
        <v>119.907</v>
      </c>
    </row>
    <row r="1783" spans="1:12" x14ac:dyDescent="0.25">
      <c r="A1783" s="12">
        <v>44181</v>
      </c>
      <c r="B1783">
        <v>299.64299999999997</v>
      </c>
      <c r="C1783">
        <v>271.73899999999998</v>
      </c>
      <c r="D1783">
        <f t="shared" si="13"/>
        <v>119.76900000000001</v>
      </c>
      <c r="E1783">
        <v>221.17699999999999</v>
      </c>
      <c r="F1783">
        <v>174.07900000000001</v>
      </c>
      <c r="G1783">
        <v>270.226</v>
      </c>
      <c r="H1783">
        <v>214.40100000000001</v>
      </c>
      <c r="I1783">
        <v>256.32799999999997</v>
      </c>
      <c r="L1783">
        <v>119.76900000000001</v>
      </c>
    </row>
    <row r="1784" spans="1:12" x14ac:dyDescent="0.25">
      <c r="A1784" s="12">
        <v>44182</v>
      </c>
      <c r="B1784">
        <v>300.24</v>
      </c>
      <c r="C1784">
        <v>271.59100000000001</v>
      </c>
      <c r="D1784">
        <f t="shared" si="13"/>
        <v>120.012</v>
      </c>
      <c r="E1784">
        <v>221.584</v>
      </c>
      <c r="F1784">
        <v>173.959</v>
      </c>
      <c r="G1784">
        <v>270.25700000000001</v>
      </c>
      <c r="H1784">
        <v>214.435</v>
      </c>
      <c r="I1784">
        <v>256.69499999999999</v>
      </c>
      <c r="L1784">
        <v>120.012</v>
      </c>
    </row>
    <row r="1785" spans="1:12" x14ac:dyDescent="0.25">
      <c r="A1785" s="12">
        <v>44183</v>
      </c>
      <c r="B1785">
        <v>300.68</v>
      </c>
      <c r="C1785">
        <v>271.55599999999998</v>
      </c>
      <c r="D1785">
        <f t="shared" si="13"/>
        <v>120.006</v>
      </c>
      <c r="E1785">
        <v>221.756</v>
      </c>
      <c r="F1785">
        <v>173.923</v>
      </c>
      <c r="G1785">
        <v>271.09199999999998</v>
      </c>
      <c r="H1785">
        <v>214.34100000000001</v>
      </c>
      <c r="I1785">
        <v>256.89999999999998</v>
      </c>
      <c r="L1785">
        <v>120.006</v>
      </c>
    </row>
    <row r="1786" spans="1:12" x14ac:dyDescent="0.25">
      <c r="A1786" s="12">
        <v>44186</v>
      </c>
      <c r="B1786">
        <v>301.03899999999999</v>
      </c>
      <c r="C1786">
        <v>271.63400000000001</v>
      </c>
      <c r="D1786">
        <f t="shared" si="13"/>
        <v>120.039</v>
      </c>
      <c r="E1786">
        <v>221.51900000000001</v>
      </c>
      <c r="F1786">
        <v>173.899</v>
      </c>
      <c r="G1786">
        <v>271.488</v>
      </c>
      <c r="H1786">
        <v>214.57300000000001</v>
      </c>
      <c r="I1786">
        <v>256.95699999999999</v>
      </c>
      <c r="L1786">
        <v>120.039</v>
      </c>
    </row>
    <row r="1787" spans="1:12" x14ac:dyDescent="0.25">
      <c r="A1787" s="12">
        <v>44187</v>
      </c>
      <c r="B1787">
        <v>300.49700000000001</v>
      </c>
      <c r="C1787">
        <v>271.70999999999998</v>
      </c>
      <c r="D1787">
        <f t="shared" si="13"/>
        <v>119.703</v>
      </c>
      <c r="E1787">
        <v>220.483</v>
      </c>
      <c r="F1787">
        <v>173.77199999999999</v>
      </c>
      <c r="G1787">
        <v>271.40499999999997</v>
      </c>
      <c r="H1787">
        <v>214.578</v>
      </c>
      <c r="I1787">
        <v>255.96100000000001</v>
      </c>
      <c r="L1787">
        <v>119.703</v>
      </c>
    </row>
    <row r="1788" spans="1:12" x14ac:dyDescent="0.25">
      <c r="A1788" s="12">
        <v>44188</v>
      </c>
      <c r="B1788">
        <v>300.29700000000003</v>
      </c>
      <c r="C1788">
        <v>271.495</v>
      </c>
      <c r="D1788">
        <f t="shared" si="13"/>
        <v>119.69499999999999</v>
      </c>
      <c r="E1788">
        <v>220.93799999999999</v>
      </c>
      <c r="F1788">
        <v>174.006</v>
      </c>
      <c r="G1788">
        <v>269.58699999999999</v>
      </c>
      <c r="H1788">
        <v>214.35599999999999</v>
      </c>
      <c r="I1788">
        <v>256.50799999999998</v>
      </c>
      <c r="L1788">
        <v>119.69499999999999</v>
      </c>
    </row>
    <row r="1789" spans="1:12" x14ac:dyDescent="0.25">
      <c r="A1789" s="12">
        <v>44193</v>
      </c>
      <c r="B1789">
        <v>300.50299999999999</v>
      </c>
      <c r="C1789">
        <v>271.54700000000003</v>
      </c>
      <c r="D1789">
        <f t="shared" si="13"/>
        <v>119.881</v>
      </c>
      <c r="E1789">
        <v>221.19800000000001</v>
      </c>
      <c r="F1789">
        <v>173.81200000000001</v>
      </c>
      <c r="G1789">
        <v>270.37900000000002</v>
      </c>
      <c r="H1789">
        <v>214.45</v>
      </c>
      <c r="I1789">
        <v>257.13200000000001</v>
      </c>
      <c r="L1789">
        <v>119.881</v>
      </c>
    </row>
    <row r="1790" spans="1:12" x14ac:dyDescent="0.25">
      <c r="A1790" s="12">
        <v>44194</v>
      </c>
      <c r="B1790">
        <v>300.86</v>
      </c>
      <c r="C1790">
        <v>271.56099999999998</v>
      </c>
      <c r="D1790">
        <f t="shared" si="13"/>
        <v>119.899</v>
      </c>
      <c r="E1790">
        <v>221.761</v>
      </c>
      <c r="F1790">
        <v>173.96899999999999</v>
      </c>
      <c r="G1790">
        <v>271.35399999999998</v>
      </c>
      <c r="H1790">
        <v>214.47200000000001</v>
      </c>
      <c r="I1790">
        <v>257.685</v>
      </c>
      <c r="L1790">
        <v>119.899</v>
      </c>
    </row>
    <row r="1791" spans="1:12" x14ac:dyDescent="0.25">
      <c r="A1791" s="12">
        <v>44195</v>
      </c>
      <c r="B1791">
        <v>301.12900000000002</v>
      </c>
      <c r="C1791">
        <v>271.678</v>
      </c>
      <c r="D1791">
        <f t="shared" si="13"/>
        <v>119.90600000000001</v>
      </c>
      <c r="E1791">
        <v>222.17099999999999</v>
      </c>
      <c r="F1791">
        <v>174.02199999999999</v>
      </c>
      <c r="G1791">
        <v>272.12200000000001</v>
      </c>
      <c r="H1791">
        <v>214.46299999999999</v>
      </c>
      <c r="I1791">
        <v>257.65699999999998</v>
      </c>
      <c r="L1791">
        <v>119.90600000000001</v>
      </c>
    </row>
    <row r="1792" spans="1:12" x14ac:dyDescent="0.25">
      <c r="A1792" s="12">
        <v>44196</v>
      </c>
      <c r="B1792">
        <v>301.55200000000002</v>
      </c>
      <c r="C1792">
        <v>271.89</v>
      </c>
      <c r="D1792">
        <f t="shared" si="13"/>
        <v>120.063</v>
      </c>
      <c r="E1792">
        <v>222.51400000000001</v>
      </c>
      <c r="F1792">
        <v>174.053</v>
      </c>
      <c r="G1792">
        <v>272.613</v>
      </c>
      <c r="H1792">
        <v>214.56100000000001</v>
      </c>
      <c r="I1792">
        <v>257.96800000000002</v>
      </c>
      <c r="L1792">
        <v>120.063</v>
      </c>
    </row>
    <row r="1793" spans="1:12" x14ac:dyDescent="0.25">
      <c r="A1793" s="12">
        <v>44200</v>
      </c>
      <c r="B1793">
        <v>301.392</v>
      </c>
      <c r="C1793">
        <v>271.77199999999999</v>
      </c>
      <c r="D1793">
        <f t="shared" si="13"/>
        <v>120.22199999999999</v>
      </c>
      <c r="E1793">
        <v>222.32900000000001</v>
      </c>
      <c r="F1793">
        <v>173.886</v>
      </c>
      <c r="G1793">
        <v>272.61500000000001</v>
      </c>
      <c r="H1793">
        <v>214.56200000000001</v>
      </c>
      <c r="I1793">
        <v>257.93700000000001</v>
      </c>
      <c r="L1793">
        <v>120.22199999999999</v>
      </c>
    </row>
    <row r="1794" spans="1:12" x14ac:dyDescent="0.25">
      <c r="A1794" s="12">
        <v>44201</v>
      </c>
      <c r="B1794">
        <v>301.78199999999998</v>
      </c>
      <c r="C1794">
        <v>272.09699999999998</v>
      </c>
      <c r="D1794">
        <f t="shared" si="13"/>
        <v>120.08199999999999</v>
      </c>
      <c r="E1794">
        <v>222.53700000000001</v>
      </c>
      <c r="F1794">
        <v>174.18299999999999</v>
      </c>
      <c r="G1794">
        <v>272.714</v>
      </c>
      <c r="H1794">
        <v>214.70099999999999</v>
      </c>
      <c r="I1794">
        <v>257.97000000000003</v>
      </c>
      <c r="L1794">
        <v>120.08199999999999</v>
      </c>
    </row>
    <row r="1795" spans="1:12" x14ac:dyDescent="0.25">
      <c r="A1795" s="12">
        <v>44202</v>
      </c>
      <c r="B1795">
        <v>301.10899999999998</v>
      </c>
      <c r="C1795">
        <v>272.11200000000002</v>
      </c>
      <c r="D1795">
        <f t="shared" si="13"/>
        <v>119.974</v>
      </c>
      <c r="E1795">
        <v>222.626</v>
      </c>
      <c r="F1795">
        <v>173.92500000000001</v>
      </c>
      <c r="G1795">
        <v>273.14299999999997</v>
      </c>
      <c r="H1795">
        <v>214.851</v>
      </c>
      <c r="I1795">
        <v>258.45</v>
      </c>
      <c r="L1795">
        <v>119.974</v>
      </c>
    </row>
    <row r="1796" spans="1:12" x14ac:dyDescent="0.25">
      <c r="A1796" s="12">
        <v>44203</v>
      </c>
      <c r="B1796">
        <v>301.44799999999998</v>
      </c>
      <c r="C1796">
        <v>271.68099999999998</v>
      </c>
      <c r="D1796">
        <f t="shared" si="13"/>
        <v>120.21299999999999</v>
      </c>
      <c r="E1796">
        <v>222.79</v>
      </c>
      <c r="F1796">
        <v>173.53700000000001</v>
      </c>
      <c r="G1796">
        <v>272.84899999999999</v>
      </c>
      <c r="H1796">
        <v>214.73400000000001</v>
      </c>
      <c r="I1796">
        <v>259.32</v>
      </c>
      <c r="L1796">
        <v>120.21299999999999</v>
      </c>
    </row>
    <row r="1797" spans="1:12" x14ac:dyDescent="0.25">
      <c r="A1797" s="12">
        <v>44204</v>
      </c>
      <c r="B1797">
        <v>301.73200000000003</v>
      </c>
      <c r="C1797">
        <v>271.529</v>
      </c>
      <c r="D1797">
        <f t="shared" si="13"/>
        <v>120.56399999999999</v>
      </c>
      <c r="E1797">
        <v>223.779</v>
      </c>
      <c r="F1797">
        <v>173.483</v>
      </c>
      <c r="G1797">
        <v>273.79399999999998</v>
      </c>
      <c r="H1797">
        <v>214.58799999999999</v>
      </c>
      <c r="I1797">
        <v>260.31700000000001</v>
      </c>
      <c r="L1797">
        <v>120.56399999999999</v>
      </c>
    </row>
    <row r="1798" spans="1:12" x14ac:dyDescent="0.25">
      <c r="A1798" s="12">
        <v>44207</v>
      </c>
      <c r="B1798">
        <v>302.63099999999997</v>
      </c>
      <c r="C1798">
        <v>271.53399999999999</v>
      </c>
      <c r="D1798">
        <f t="shared" si="13"/>
        <v>121.267</v>
      </c>
      <c r="E1798">
        <v>225.108</v>
      </c>
      <c r="F1798">
        <v>173.624</v>
      </c>
      <c r="G1798">
        <v>274.55200000000002</v>
      </c>
      <c r="H1798">
        <v>214.44499999999999</v>
      </c>
      <c r="I1798">
        <v>261.41199999999998</v>
      </c>
      <c r="L1798">
        <v>121.267</v>
      </c>
    </row>
    <row r="1799" spans="1:12" x14ac:dyDescent="0.25">
      <c r="A1799" s="12">
        <v>44208</v>
      </c>
      <c r="B1799">
        <v>303.26400000000001</v>
      </c>
      <c r="C1799">
        <v>271.62200000000001</v>
      </c>
      <c r="D1799">
        <f t="shared" si="13"/>
        <v>121.652</v>
      </c>
      <c r="E1799">
        <v>225.16200000000001</v>
      </c>
      <c r="F1799">
        <v>173.58</v>
      </c>
      <c r="G1799">
        <v>275.82600000000002</v>
      </c>
      <c r="H1799">
        <v>214.47</v>
      </c>
      <c r="I1799">
        <v>261.68400000000003</v>
      </c>
      <c r="L1799">
        <v>121.652</v>
      </c>
    </row>
    <row r="1800" spans="1:12" x14ac:dyDescent="0.25">
      <c r="A1800" s="12">
        <v>44209</v>
      </c>
      <c r="B1800">
        <v>303.101</v>
      </c>
      <c r="C1800">
        <v>271.30399999999997</v>
      </c>
      <c r="D1800">
        <f t="shared" si="13"/>
        <v>121.541</v>
      </c>
      <c r="E1800">
        <v>224.75299999999999</v>
      </c>
      <c r="F1800">
        <v>172.97</v>
      </c>
      <c r="G1800">
        <v>275.65800000000002</v>
      </c>
      <c r="H1800">
        <v>214.21799999999999</v>
      </c>
      <c r="I1800">
        <v>261.35199999999998</v>
      </c>
      <c r="L1800">
        <v>121.541</v>
      </c>
    </row>
    <row r="1801" spans="1:12" x14ac:dyDescent="0.25">
      <c r="A1801" s="12">
        <v>44210</v>
      </c>
      <c r="B1801">
        <v>303.274</v>
      </c>
      <c r="C1801">
        <v>271.42500000000001</v>
      </c>
      <c r="D1801">
        <f t="shared" si="13"/>
        <v>121.544</v>
      </c>
      <c r="E1801">
        <v>225.30600000000001</v>
      </c>
      <c r="F1801">
        <v>173.35599999999999</v>
      </c>
      <c r="G1801">
        <v>275.51</v>
      </c>
      <c r="H1801">
        <v>214.00700000000001</v>
      </c>
      <c r="I1801">
        <v>261.73</v>
      </c>
      <c r="L1801">
        <v>121.544</v>
      </c>
    </row>
    <row r="1802" spans="1:12" x14ac:dyDescent="0.25">
      <c r="A1802" s="12">
        <v>44211</v>
      </c>
      <c r="B1802">
        <v>303.59899999999999</v>
      </c>
      <c r="C1802">
        <v>271.86200000000002</v>
      </c>
      <c r="D1802">
        <f t="shared" si="13"/>
        <v>121.982</v>
      </c>
      <c r="E1802">
        <v>225.559</v>
      </c>
      <c r="F1802">
        <v>173.62100000000001</v>
      </c>
      <c r="G1802">
        <v>275.97500000000002</v>
      </c>
      <c r="H1802">
        <v>214.34700000000001</v>
      </c>
      <c r="I1802">
        <v>262.06599999999997</v>
      </c>
      <c r="L1802">
        <v>121.982</v>
      </c>
    </row>
    <row r="1803" spans="1:12" x14ac:dyDescent="0.25">
      <c r="A1803" s="12">
        <v>44214</v>
      </c>
      <c r="B1803">
        <v>303.08100000000002</v>
      </c>
      <c r="C1803">
        <v>271.86500000000001</v>
      </c>
      <c r="D1803">
        <f t="shared" si="13"/>
        <v>121.881</v>
      </c>
      <c r="E1803">
        <v>225.05699999999999</v>
      </c>
      <c r="F1803">
        <v>173.53299999999999</v>
      </c>
      <c r="G1803">
        <v>276.72300000000001</v>
      </c>
      <c r="H1803">
        <v>214.50399999999999</v>
      </c>
      <c r="I1803">
        <v>261.30700000000002</v>
      </c>
      <c r="L1803">
        <v>121.881</v>
      </c>
    </row>
    <row r="1804" spans="1:12" x14ac:dyDescent="0.25">
      <c r="A1804" s="12">
        <v>44215</v>
      </c>
      <c r="B1804">
        <v>303.09899999999999</v>
      </c>
      <c r="C1804">
        <v>272.029</v>
      </c>
      <c r="D1804">
        <f t="shared" si="13"/>
        <v>121.73699999999999</v>
      </c>
      <c r="E1804">
        <v>225.161</v>
      </c>
      <c r="F1804">
        <v>173.541</v>
      </c>
      <c r="G1804">
        <v>275.858</v>
      </c>
      <c r="H1804">
        <v>214.45699999999999</v>
      </c>
      <c r="I1804">
        <v>261.3</v>
      </c>
      <c r="L1804">
        <v>121.73699999999999</v>
      </c>
    </row>
    <row r="1805" spans="1:12" x14ac:dyDescent="0.25">
      <c r="A1805" s="12">
        <v>44216</v>
      </c>
      <c r="B1805">
        <v>303.16699999999997</v>
      </c>
      <c r="C1805">
        <v>271.92700000000002</v>
      </c>
      <c r="D1805">
        <f t="shared" si="13"/>
        <v>121.586</v>
      </c>
      <c r="E1805">
        <v>225.536</v>
      </c>
      <c r="F1805">
        <v>173.541</v>
      </c>
      <c r="G1805">
        <v>275.90199999999999</v>
      </c>
      <c r="H1805">
        <v>214.39</v>
      </c>
      <c r="I1805">
        <v>261.43700000000001</v>
      </c>
      <c r="L1805">
        <v>121.586</v>
      </c>
    </row>
    <row r="1806" spans="1:12" x14ac:dyDescent="0.25">
      <c r="A1806" s="12">
        <v>44217</v>
      </c>
      <c r="B1806">
        <v>303.988</v>
      </c>
      <c r="C1806">
        <v>272.14100000000002</v>
      </c>
      <c r="D1806">
        <f t="shared" si="13"/>
        <v>122.075</v>
      </c>
      <c r="E1806">
        <v>226.97900000000001</v>
      </c>
      <c r="F1806">
        <v>173.67099999999999</v>
      </c>
      <c r="G1806">
        <v>275.87799999999999</v>
      </c>
      <c r="H1806">
        <v>214.458</v>
      </c>
      <c r="I1806">
        <v>262.42</v>
      </c>
      <c r="L1806">
        <v>122.075</v>
      </c>
    </row>
    <row r="1807" spans="1:12" x14ac:dyDescent="0.25">
      <c r="A1807" s="12">
        <v>44218</v>
      </c>
      <c r="B1807">
        <v>304.69099999999997</v>
      </c>
      <c r="C1807">
        <v>272.03100000000001</v>
      </c>
      <c r="D1807">
        <f t="shared" si="13"/>
        <v>122.44499999999999</v>
      </c>
      <c r="E1807">
        <v>226.929</v>
      </c>
      <c r="F1807">
        <v>173.41399999999999</v>
      </c>
      <c r="G1807">
        <v>277.20699999999999</v>
      </c>
      <c r="H1807">
        <v>214.65199999999999</v>
      </c>
      <c r="I1807">
        <v>262.21100000000001</v>
      </c>
      <c r="L1807">
        <v>122.44499999999999</v>
      </c>
    </row>
    <row r="1808" spans="1:12" x14ac:dyDescent="0.25">
      <c r="A1808" s="12">
        <v>44221</v>
      </c>
      <c r="B1808">
        <v>304.49900000000002</v>
      </c>
      <c r="C1808">
        <v>272.01400000000001</v>
      </c>
      <c r="D1808">
        <f t="shared" si="13"/>
        <v>122.09099999999999</v>
      </c>
      <c r="E1808">
        <v>226.10400000000001</v>
      </c>
      <c r="F1808">
        <v>173.315</v>
      </c>
      <c r="G1808">
        <v>277.49099999999999</v>
      </c>
      <c r="H1808">
        <v>214.51599999999999</v>
      </c>
      <c r="I1808">
        <v>261.84399999999999</v>
      </c>
      <c r="L1808">
        <v>122.09099999999999</v>
      </c>
    </row>
    <row r="1809" spans="1:12" x14ac:dyDescent="0.25">
      <c r="A1809" s="12">
        <v>44222</v>
      </c>
      <c r="B1809">
        <v>304.17399999999998</v>
      </c>
      <c r="C1809">
        <v>272.21499999999997</v>
      </c>
      <c r="D1809">
        <f t="shared" si="13"/>
        <v>122</v>
      </c>
      <c r="E1809">
        <v>226.73</v>
      </c>
      <c r="F1809">
        <v>173.70699999999999</v>
      </c>
      <c r="G1809">
        <v>276.62900000000002</v>
      </c>
      <c r="H1809">
        <v>214.327</v>
      </c>
      <c r="I1809">
        <v>262.20999999999998</v>
      </c>
      <c r="L1809">
        <v>122</v>
      </c>
    </row>
    <row r="1810" spans="1:12" x14ac:dyDescent="0.25">
      <c r="A1810" s="12">
        <v>44223</v>
      </c>
      <c r="B1810">
        <v>304.87299999999999</v>
      </c>
      <c r="C1810">
        <v>272.28300000000002</v>
      </c>
      <c r="D1810">
        <f t="shared" si="13"/>
        <v>122.366</v>
      </c>
      <c r="E1810">
        <v>226.334</v>
      </c>
      <c r="F1810">
        <v>173.65299999999999</v>
      </c>
      <c r="G1810">
        <v>276.39</v>
      </c>
      <c r="H1810">
        <v>214.458</v>
      </c>
      <c r="I1810">
        <v>262.27</v>
      </c>
      <c r="L1810">
        <v>122.366</v>
      </c>
    </row>
    <row r="1811" spans="1:12" x14ac:dyDescent="0.25">
      <c r="A1811" s="12">
        <v>44224</v>
      </c>
      <c r="B1811">
        <v>304.06400000000002</v>
      </c>
      <c r="C1811">
        <v>272.34800000000001</v>
      </c>
      <c r="D1811">
        <f t="shared" ref="D1811:D1874" si="14">IF(L1811&gt;1,L1811,L1811*100)</f>
        <v>121.92</v>
      </c>
      <c r="E1811">
        <v>225.21299999999999</v>
      </c>
      <c r="F1811">
        <v>173.71</v>
      </c>
      <c r="G1811">
        <v>276.77199999999999</v>
      </c>
      <c r="H1811">
        <v>214.46899999999999</v>
      </c>
      <c r="I1811">
        <v>261.18799999999999</v>
      </c>
      <c r="L1811">
        <v>121.92</v>
      </c>
    </row>
    <row r="1812" spans="1:12" x14ac:dyDescent="0.25">
      <c r="A1812" s="12">
        <v>44225</v>
      </c>
      <c r="B1812">
        <v>303.13499999999999</v>
      </c>
      <c r="C1812">
        <v>272.22899999999998</v>
      </c>
      <c r="D1812">
        <f t="shared" si="14"/>
        <v>121.33199999999999</v>
      </c>
      <c r="E1812">
        <v>224.71799999999999</v>
      </c>
      <c r="F1812">
        <v>173.58799999999999</v>
      </c>
      <c r="G1812">
        <v>275.49400000000003</v>
      </c>
      <c r="H1812">
        <v>214.39</v>
      </c>
      <c r="I1812">
        <v>261.06</v>
      </c>
      <c r="L1812">
        <v>121.33199999999999</v>
      </c>
    </row>
    <row r="1813" spans="1:12" x14ac:dyDescent="0.25">
      <c r="A1813" s="12">
        <v>44228</v>
      </c>
      <c r="B1813">
        <v>302.58199999999999</v>
      </c>
      <c r="C1813">
        <v>271.80099999999999</v>
      </c>
      <c r="D1813">
        <f t="shared" si="14"/>
        <v>120.977</v>
      </c>
      <c r="E1813">
        <v>223.11799999999999</v>
      </c>
      <c r="F1813">
        <v>173.51900000000001</v>
      </c>
      <c r="G1813">
        <v>275.02</v>
      </c>
      <c r="H1813">
        <v>214.33099999999999</v>
      </c>
      <c r="I1813">
        <v>259.21300000000002</v>
      </c>
      <c r="L1813">
        <v>120.977</v>
      </c>
    </row>
    <row r="1814" spans="1:12" x14ac:dyDescent="0.25">
      <c r="A1814" s="12">
        <v>44229</v>
      </c>
      <c r="B1814">
        <v>301.81900000000002</v>
      </c>
      <c r="C1814">
        <v>271.97300000000001</v>
      </c>
      <c r="D1814">
        <f t="shared" si="14"/>
        <v>120.389</v>
      </c>
      <c r="E1814">
        <v>224.86199999999999</v>
      </c>
      <c r="F1814">
        <v>173.72900000000001</v>
      </c>
      <c r="G1814">
        <v>273.49299999999999</v>
      </c>
      <c r="H1814">
        <v>214.30500000000001</v>
      </c>
      <c r="I1814">
        <v>260.38099999999997</v>
      </c>
      <c r="L1814">
        <v>120.389</v>
      </c>
    </row>
    <row r="1815" spans="1:12" x14ac:dyDescent="0.25">
      <c r="A1815" s="12">
        <v>44230</v>
      </c>
      <c r="B1815">
        <v>303.55099999999999</v>
      </c>
      <c r="C1815">
        <v>272.05399999999997</v>
      </c>
      <c r="D1815">
        <f t="shared" si="14"/>
        <v>121.587</v>
      </c>
      <c r="E1815">
        <v>226.773</v>
      </c>
      <c r="F1815">
        <v>173.82300000000001</v>
      </c>
      <c r="G1815">
        <v>274.77999999999997</v>
      </c>
      <c r="H1815">
        <v>214.43299999999999</v>
      </c>
      <c r="I1815">
        <v>262.3</v>
      </c>
      <c r="L1815">
        <v>121.587</v>
      </c>
    </row>
    <row r="1816" spans="1:12" x14ac:dyDescent="0.25">
      <c r="A1816" s="12">
        <v>44231</v>
      </c>
      <c r="B1816">
        <v>304.69499999999999</v>
      </c>
      <c r="C1816">
        <v>272.06799999999998</v>
      </c>
      <c r="D1816">
        <f t="shared" si="14"/>
        <v>122.21899999999999</v>
      </c>
      <c r="E1816">
        <v>227.21100000000001</v>
      </c>
      <c r="F1816">
        <v>173.858</v>
      </c>
      <c r="G1816">
        <v>277.01400000000001</v>
      </c>
      <c r="H1816">
        <v>214.59700000000001</v>
      </c>
      <c r="I1816">
        <v>262.572</v>
      </c>
      <c r="L1816">
        <v>122.21899999999999</v>
      </c>
    </row>
    <row r="1817" spans="1:12" x14ac:dyDescent="0.25">
      <c r="A1817" s="12">
        <v>44232</v>
      </c>
      <c r="B1817">
        <v>305.09399999999999</v>
      </c>
      <c r="C1817">
        <v>272.108</v>
      </c>
      <c r="D1817">
        <f t="shared" si="14"/>
        <v>122.488</v>
      </c>
      <c r="E1817">
        <v>227.81800000000001</v>
      </c>
      <c r="F1817">
        <v>173.99700000000001</v>
      </c>
      <c r="G1817">
        <v>277.72800000000001</v>
      </c>
      <c r="H1817">
        <v>214.673</v>
      </c>
      <c r="I1817">
        <v>263.20800000000003</v>
      </c>
      <c r="L1817">
        <v>122.488</v>
      </c>
    </row>
    <row r="1818" spans="1:12" x14ac:dyDescent="0.25">
      <c r="A1818" s="12">
        <v>44235</v>
      </c>
      <c r="B1818">
        <v>305.77699999999999</v>
      </c>
      <c r="C1818">
        <v>272.15699999999998</v>
      </c>
      <c r="D1818">
        <f t="shared" si="14"/>
        <v>122.90900000000001</v>
      </c>
      <c r="E1818">
        <v>228.23400000000001</v>
      </c>
      <c r="F1818">
        <v>174.077</v>
      </c>
      <c r="G1818">
        <v>278.3</v>
      </c>
      <c r="H1818">
        <v>214.66499999999999</v>
      </c>
      <c r="I1818">
        <v>263.52699999999999</v>
      </c>
      <c r="L1818">
        <v>122.90900000000001</v>
      </c>
    </row>
    <row r="1819" spans="1:12" x14ac:dyDescent="0.25">
      <c r="A1819" s="12">
        <v>44236</v>
      </c>
      <c r="B1819">
        <v>306.10000000000002</v>
      </c>
      <c r="C1819">
        <v>272.2</v>
      </c>
      <c r="D1819">
        <f t="shared" si="14"/>
        <v>122.994</v>
      </c>
      <c r="E1819">
        <v>228.56899999999999</v>
      </c>
      <c r="F1819">
        <v>173.95</v>
      </c>
      <c r="G1819">
        <v>278.74900000000002</v>
      </c>
      <c r="H1819">
        <v>214.82400000000001</v>
      </c>
      <c r="I1819">
        <v>263.82600000000002</v>
      </c>
      <c r="L1819">
        <v>122.994</v>
      </c>
    </row>
    <row r="1820" spans="1:12" x14ac:dyDescent="0.25">
      <c r="A1820" s="12">
        <v>44237</v>
      </c>
      <c r="B1820">
        <v>306.274</v>
      </c>
      <c r="C1820">
        <v>272.2</v>
      </c>
      <c r="D1820">
        <f t="shared" si="14"/>
        <v>123.187</v>
      </c>
      <c r="E1820">
        <v>228.53700000000001</v>
      </c>
      <c r="F1820">
        <v>173.773</v>
      </c>
      <c r="G1820">
        <v>278.959</v>
      </c>
      <c r="H1820">
        <v>214.82</v>
      </c>
      <c r="I1820">
        <v>263.62299999999999</v>
      </c>
      <c r="L1820">
        <v>123.187</v>
      </c>
    </row>
    <row r="1821" spans="1:12" x14ac:dyDescent="0.25">
      <c r="A1821" s="12">
        <v>44238</v>
      </c>
      <c r="B1821">
        <v>306.14400000000001</v>
      </c>
      <c r="C1821">
        <v>272.28500000000003</v>
      </c>
      <c r="D1821">
        <f t="shared" si="14"/>
        <v>123.068</v>
      </c>
      <c r="E1821">
        <v>228.60900000000001</v>
      </c>
      <c r="F1821">
        <v>173.697</v>
      </c>
      <c r="G1821">
        <v>278.95100000000002</v>
      </c>
      <c r="H1821">
        <v>214.756</v>
      </c>
      <c r="I1821">
        <v>263.50099999999998</v>
      </c>
      <c r="L1821">
        <v>123.068</v>
      </c>
    </row>
    <row r="1822" spans="1:12" x14ac:dyDescent="0.25">
      <c r="A1822" s="12">
        <v>44239</v>
      </c>
      <c r="B1822">
        <v>306.14999999999998</v>
      </c>
      <c r="C1822">
        <v>272.38900000000001</v>
      </c>
      <c r="D1822">
        <f t="shared" si="14"/>
        <v>122.996</v>
      </c>
      <c r="E1822">
        <v>229.095</v>
      </c>
      <c r="F1822">
        <v>173.88</v>
      </c>
      <c r="G1822">
        <v>278.82600000000002</v>
      </c>
      <c r="H1822">
        <v>214.78700000000001</v>
      </c>
      <c r="I1822">
        <v>264.07799999999997</v>
      </c>
      <c r="L1822">
        <v>122.996</v>
      </c>
    </row>
    <row r="1823" spans="1:12" x14ac:dyDescent="0.25">
      <c r="A1823" s="12">
        <v>44242</v>
      </c>
      <c r="B1823">
        <v>306.34800000000001</v>
      </c>
      <c r="C1823">
        <v>272.32</v>
      </c>
      <c r="D1823">
        <f t="shared" si="14"/>
        <v>123.154</v>
      </c>
      <c r="E1823">
        <v>229.27699999999999</v>
      </c>
      <c r="F1823">
        <v>173.61099999999999</v>
      </c>
      <c r="G1823">
        <v>279.37700000000001</v>
      </c>
      <c r="H1823">
        <v>214.941</v>
      </c>
      <c r="I1823">
        <v>264.16800000000001</v>
      </c>
      <c r="L1823">
        <v>123.154</v>
      </c>
    </row>
    <row r="1824" spans="1:12" x14ac:dyDescent="0.25">
      <c r="A1824" s="12">
        <v>44243</v>
      </c>
      <c r="B1824">
        <v>306.69499999999999</v>
      </c>
      <c r="C1824">
        <v>272.00599999999997</v>
      </c>
      <c r="D1824">
        <f t="shared" si="14"/>
        <v>123.325</v>
      </c>
      <c r="E1824">
        <v>229.61099999999999</v>
      </c>
      <c r="F1824">
        <v>173.36500000000001</v>
      </c>
      <c r="G1824">
        <v>279.81599999999997</v>
      </c>
      <c r="H1824">
        <v>214.80199999999999</v>
      </c>
      <c r="I1824">
        <v>264.70499999999998</v>
      </c>
      <c r="L1824">
        <v>123.325</v>
      </c>
    </row>
    <row r="1825" spans="1:12" x14ac:dyDescent="0.25">
      <c r="A1825" s="12">
        <v>44244</v>
      </c>
      <c r="B1825">
        <v>306.26499999999999</v>
      </c>
      <c r="C1825">
        <v>271.71800000000002</v>
      </c>
      <c r="D1825">
        <f t="shared" si="14"/>
        <v>123.30500000000001</v>
      </c>
      <c r="E1825">
        <v>229.27699999999999</v>
      </c>
      <c r="F1825">
        <v>172.899</v>
      </c>
      <c r="G1825">
        <v>280.82400000000001</v>
      </c>
      <c r="H1825">
        <v>214.75899999999999</v>
      </c>
      <c r="I1825">
        <v>264.399</v>
      </c>
      <c r="L1825">
        <v>123.30500000000001</v>
      </c>
    </row>
    <row r="1826" spans="1:12" x14ac:dyDescent="0.25">
      <c r="A1826" s="12">
        <v>44245</v>
      </c>
      <c r="B1826">
        <v>306.262</v>
      </c>
      <c r="C1826">
        <v>271.77699999999999</v>
      </c>
      <c r="D1826">
        <f t="shared" si="14"/>
        <v>123.236</v>
      </c>
      <c r="E1826">
        <v>229.26499999999999</v>
      </c>
      <c r="F1826">
        <v>172.81899999999999</v>
      </c>
      <c r="G1826">
        <v>280.43200000000002</v>
      </c>
      <c r="H1826">
        <v>214.37799999999999</v>
      </c>
      <c r="I1826">
        <v>264.04199999999997</v>
      </c>
      <c r="L1826">
        <v>123.236</v>
      </c>
    </row>
    <row r="1827" spans="1:12" x14ac:dyDescent="0.25">
      <c r="A1827" s="12">
        <v>44246</v>
      </c>
      <c r="B1827">
        <v>306.077</v>
      </c>
      <c r="C1827">
        <v>271.53500000000003</v>
      </c>
      <c r="D1827">
        <f t="shared" si="14"/>
        <v>123.21599999999999</v>
      </c>
      <c r="E1827">
        <v>228.464</v>
      </c>
      <c r="F1827">
        <v>172.684</v>
      </c>
      <c r="G1827">
        <v>280.05</v>
      </c>
      <c r="H1827">
        <v>214.31700000000001</v>
      </c>
      <c r="I1827">
        <v>263.12099999999998</v>
      </c>
      <c r="L1827">
        <v>123.21599999999999</v>
      </c>
    </row>
    <row r="1828" spans="1:12" x14ac:dyDescent="0.25">
      <c r="A1828" s="12">
        <v>44249</v>
      </c>
      <c r="B1828">
        <v>305.50799999999998</v>
      </c>
      <c r="C1828">
        <v>271.32900000000001</v>
      </c>
      <c r="D1828">
        <f t="shared" si="14"/>
        <v>122.85</v>
      </c>
      <c r="E1828">
        <v>228.05</v>
      </c>
      <c r="F1828">
        <v>172.37799999999999</v>
      </c>
      <c r="G1828">
        <v>279.17500000000001</v>
      </c>
      <c r="H1828">
        <v>214.14599999999999</v>
      </c>
      <c r="I1828">
        <v>263.065</v>
      </c>
      <c r="L1828">
        <v>122.85</v>
      </c>
    </row>
    <row r="1829" spans="1:12" x14ac:dyDescent="0.25">
      <c r="A1829" s="12">
        <v>44250</v>
      </c>
      <c r="B1829">
        <v>304.86599999999999</v>
      </c>
      <c r="C1829">
        <v>271.19</v>
      </c>
      <c r="D1829">
        <f t="shared" si="14"/>
        <v>122.389</v>
      </c>
      <c r="E1829">
        <v>226.65799999999999</v>
      </c>
      <c r="F1829">
        <v>172.04900000000001</v>
      </c>
      <c r="G1829">
        <v>279.077</v>
      </c>
      <c r="H1829">
        <v>213.92699999999999</v>
      </c>
      <c r="I1829">
        <v>262.08699999999999</v>
      </c>
      <c r="L1829">
        <v>122.389</v>
      </c>
    </row>
    <row r="1830" spans="1:12" x14ac:dyDescent="0.25">
      <c r="A1830" s="12">
        <v>44251</v>
      </c>
      <c r="B1830">
        <v>303.54300000000001</v>
      </c>
      <c r="C1830">
        <v>270.81599999999997</v>
      </c>
      <c r="D1830">
        <f t="shared" si="14"/>
        <v>121.89400000000001</v>
      </c>
      <c r="E1830">
        <v>225.90100000000001</v>
      </c>
      <c r="F1830">
        <v>171.845</v>
      </c>
      <c r="G1830">
        <v>278.072</v>
      </c>
      <c r="H1830">
        <v>213.62799999999999</v>
      </c>
      <c r="I1830">
        <v>260.93700000000001</v>
      </c>
      <c r="L1830">
        <v>121.89400000000001</v>
      </c>
    </row>
    <row r="1831" spans="1:12" x14ac:dyDescent="0.25">
      <c r="A1831" s="12">
        <v>44252</v>
      </c>
      <c r="B1831">
        <v>303.56799999999998</v>
      </c>
      <c r="C1831">
        <v>270.584</v>
      </c>
      <c r="D1831">
        <f t="shared" si="14"/>
        <v>121.947</v>
      </c>
      <c r="E1831">
        <v>225.886</v>
      </c>
      <c r="F1831">
        <v>171.744</v>
      </c>
      <c r="G1831">
        <v>277.16800000000001</v>
      </c>
      <c r="H1831">
        <v>213.57300000000001</v>
      </c>
      <c r="I1831">
        <v>261.13099999999997</v>
      </c>
      <c r="L1831">
        <v>121.947</v>
      </c>
    </row>
    <row r="1832" spans="1:12" x14ac:dyDescent="0.25">
      <c r="A1832" s="12">
        <v>44253</v>
      </c>
      <c r="B1832">
        <v>302.88099999999997</v>
      </c>
      <c r="C1832">
        <v>269.959</v>
      </c>
      <c r="D1832">
        <f t="shared" si="14"/>
        <v>121.95</v>
      </c>
      <c r="E1832">
        <v>224.387</v>
      </c>
      <c r="F1832">
        <v>170.83600000000001</v>
      </c>
      <c r="G1832">
        <v>277.40699999999998</v>
      </c>
      <c r="H1832">
        <v>213.51400000000001</v>
      </c>
      <c r="I1832">
        <v>260.01400000000001</v>
      </c>
      <c r="L1832">
        <v>121.95</v>
      </c>
    </row>
    <row r="1833" spans="1:12" x14ac:dyDescent="0.25">
      <c r="A1833" s="12">
        <v>44256</v>
      </c>
      <c r="B1833">
        <v>301.16800000000001</v>
      </c>
      <c r="C1833">
        <v>269.59399999999999</v>
      </c>
      <c r="D1833">
        <f t="shared" si="14"/>
        <v>120.738</v>
      </c>
      <c r="E1833">
        <v>223.12</v>
      </c>
      <c r="F1833">
        <v>170.899</v>
      </c>
      <c r="G1833">
        <v>276.49</v>
      </c>
      <c r="H1833">
        <v>212.74</v>
      </c>
      <c r="I1833">
        <v>258.98599999999999</v>
      </c>
      <c r="L1833">
        <v>120.738</v>
      </c>
    </row>
    <row r="1834" spans="1:12" x14ac:dyDescent="0.25">
      <c r="A1834" s="12">
        <v>44257</v>
      </c>
      <c r="B1834">
        <v>302.22000000000003</v>
      </c>
      <c r="C1834">
        <v>269.96100000000001</v>
      </c>
      <c r="D1834">
        <f t="shared" si="14"/>
        <v>121.20099999999999</v>
      </c>
      <c r="E1834">
        <v>225.64400000000001</v>
      </c>
      <c r="F1834">
        <v>171.69</v>
      </c>
      <c r="G1834">
        <v>275.11500000000001</v>
      </c>
      <c r="H1834">
        <v>212.64500000000001</v>
      </c>
      <c r="I1834">
        <v>261.483</v>
      </c>
      <c r="L1834">
        <v>121.20099999999999</v>
      </c>
    </row>
    <row r="1835" spans="1:12" x14ac:dyDescent="0.25">
      <c r="A1835" s="12">
        <v>44258</v>
      </c>
      <c r="B1835">
        <v>304.012</v>
      </c>
      <c r="C1835">
        <v>270.34300000000002</v>
      </c>
      <c r="D1835">
        <f t="shared" si="14"/>
        <v>122.41500000000001</v>
      </c>
      <c r="E1835">
        <v>225.46100000000001</v>
      </c>
      <c r="F1835">
        <v>171.762</v>
      </c>
      <c r="G1835">
        <v>277.108</v>
      </c>
      <c r="H1835">
        <v>213.16800000000001</v>
      </c>
      <c r="I1835">
        <v>261.36399999999998</v>
      </c>
      <c r="L1835">
        <v>122.41500000000001</v>
      </c>
    </row>
    <row r="1836" spans="1:12" x14ac:dyDescent="0.25">
      <c r="A1836" s="12">
        <v>44259</v>
      </c>
      <c r="B1836">
        <v>302.99</v>
      </c>
      <c r="C1836">
        <v>270.20400000000001</v>
      </c>
      <c r="D1836">
        <f t="shared" si="14"/>
        <v>121.94799999999999</v>
      </c>
      <c r="E1836">
        <v>224.863</v>
      </c>
      <c r="F1836">
        <v>171.32300000000001</v>
      </c>
      <c r="G1836">
        <v>277.58499999999998</v>
      </c>
      <c r="H1836">
        <v>213.124</v>
      </c>
      <c r="I1836">
        <v>260.78800000000001</v>
      </c>
      <c r="L1836">
        <v>121.94799999999999</v>
      </c>
    </row>
    <row r="1837" spans="1:12" x14ac:dyDescent="0.25">
      <c r="A1837" s="12">
        <v>44260</v>
      </c>
      <c r="B1837">
        <v>301.88299999999998</v>
      </c>
      <c r="C1837">
        <v>270.096</v>
      </c>
      <c r="D1837">
        <f t="shared" si="14"/>
        <v>121.289</v>
      </c>
      <c r="E1837">
        <v>223.547</v>
      </c>
      <c r="F1837">
        <v>171.18600000000001</v>
      </c>
      <c r="G1837">
        <v>277.31</v>
      </c>
      <c r="H1837">
        <v>212.839</v>
      </c>
      <c r="I1837">
        <v>259.74799999999999</v>
      </c>
      <c r="L1837">
        <v>121.289</v>
      </c>
    </row>
    <row r="1838" spans="1:12" x14ac:dyDescent="0.25">
      <c r="A1838" s="12">
        <v>44263</v>
      </c>
      <c r="B1838">
        <v>300.91699999999997</v>
      </c>
      <c r="C1838">
        <v>269.75099999999998</v>
      </c>
      <c r="D1838">
        <f t="shared" si="14"/>
        <v>120.846</v>
      </c>
      <c r="E1838">
        <v>223.37700000000001</v>
      </c>
      <c r="F1838">
        <v>170.91499999999999</v>
      </c>
      <c r="G1838">
        <v>276.42500000000001</v>
      </c>
      <c r="H1838">
        <v>212.80799999999999</v>
      </c>
      <c r="I1838">
        <v>258.74200000000002</v>
      </c>
      <c r="L1838">
        <v>120.846</v>
      </c>
    </row>
    <row r="1839" spans="1:12" x14ac:dyDescent="0.25">
      <c r="A1839" s="12">
        <v>44264</v>
      </c>
      <c r="B1839">
        <v>302.78100000000001</v>
      </c>
      <c r="C1839">
        <v>269.404</v>
      </c>
      <c r="D1839">
        <f t="shared" si="14"/>
        <v>122.167</v>
      </c>
      <c r="E1839">
        <v>223.798</v>
      </c>
      <c r="F1839">
        <v>170.59800000000001</v>
      </c>
      <c r="G1839">
        <v>275.05799999999999</v>
      </c>
      <c r="H1839">
        <v>212.49</v>
      </c>
      <c r="I1839">
        <v>260.50599999999997</v>
      </c>
      <c r="L1839">
        <v>122.167</v>
      </c>
    </row>
    <row r="1840" spans="1:12" x14ac:dyDescent="0.25">
      <c r="A1840" s="12">
        <v>44265</v>
      </c>
      <c r="B1840">
        <v>302.55599999999998</v>
      </c>
      <c r="C1840">
        <v>269.06200000000001</v>
      </c>
      <c r="D1840">
        <f t="shared" si="14"/>
        <v>122.286</v>
      </c>
      <c r="E1840">
        <v>224.45400000000001</v>
      </c>
      <c r="F1840">
        <v>170.74</v>
      </c>
      <c r="G1840">
        <v>276.88200000000001</v>
      </c>
      <c r="H1840">
        <v>212.10499999999999</v>
      </c>
      <c r="I1840">
        <v>261.096</v>
      </c>
      <c r="L1840">
        <v>122.286</v>
      </c>
    </row>
    <row r="1841" spans="1:12" x14ac:dyDescent="0.25">
      <c r="A1841" s="12">
        <v>44266</v>
      </c>
      <c r="B1841">
        <v>303.66300000000001</v>
      </c>
      <c r="C1841">
        <v>269.22199999999998</v>
      </c>
      <c r="D1841">
        <f t="shared" si="14"/>
        <v>122.886</v>
      </c>
      <c r="E1841">
        <v>224.971</v>
      </c>
      <c r="F1841">
        <v>170.90299999999999</v>
      </c>
      <c r="G1841">
        <v>277.33999999999997</v>
      </c>
      <c r="H1841">
        <v>212.16900000000001</v>
      </c>
      <c r="I1841">
        <v>261.65100000000001</v>
      </c>
      <c r="L1841">
        <v>122.886</v>
      </c>
    </row>
    <row r="1842" spans="1:12" x14ac:dyDescent="0.25">
      <c r="A1842" s="12">
        <v>44267</v>
      </c>
      <c r="B1842">
        <v>304.03399999999999</v>
      </c>
      <c r="C1842">
        <v>269.25599999999997</v>
      </c>
      <c r="D1842">
        <f t="shared" si="14"/>
        <v>123.143</v>
      </c>
      <c r="E1842">
        <v>226.21199999999999</v>
      </c>
      <c r="F1842">
        <v>171.45500000000001</v>
      </c>
      <c r="G1842">
        <v>278.29199999999997</v>
      </c>
      <c r="H1842">
        <v>212.375</v>
      </c>
      <c r="I1842">
        <v>262.59199999999998</v>
      </c>
      <c r="L1842">
        <v>123.143</v>
      </c>
    </row>
    <row r="1843" spans="1:12" x14ac:dyDescent="0.25">
      <c r="A1843" s="12">
        <v>44270</v>
      </c>
      <c r="B1843">
        <v>304.29399999999998</v>
      </c>
      <c r="C1843">
        <v>269.28199999999998</v>
      </c>
      <c r="D1843">
        <f t="shared" si="14"/>
        <v>123.279</v>
      </c>
      <c r="E1843">
        <v>225.66800000000001</v>
      </c>
      <c r="F1843">
        <v>170.97800000000001</v>
      </c>
      <c r="G1843">
        <v>279.33699999999999</v>
      </c>
      <c r="H1843">
        <v>212.797</v>
      </c>
      <c r="I1843">
        <v>262.12200000000001</v>
      </c>
      <c r="L1843">
        <v>123.279</v>
      </c>
    </row>
    <row r="1844" spans="1:12" x14ac:dyDescent="0.25">
      <c r="A1844" s="12">
        <v>44271</v>
      </c>
      <c r="B1844">
        <v>304.24299999999999</v>
      </c>
      <c r="C1844">
        <v>269.101</v>
      </c>
      <c r="D1844">
        <f t="shared" si="14"/>
        <v>123.371</v>
      </c>
      <c r="E1844">
        <v>226.06200000000001</v>
      </c>
      <c r="F1844">
        <v>171.184</v>
      </c>
      <c r="G1844">
        <v>279.04899999999998</v>
      </c>
      <c r="H1844">
        <v>212.464</v>
      </c>
      <c r="I1844">
        <v>262.565</v>
      </c>
      <c r="L1844">
        <v>123.371</v>
      </c>
    </row>
    <row r="1845" spans="1:12" x14ac:dyDescent="0.25">
      <c r="A1845" s="12">
        <v>44272</v>
      </c>
      <c r="B1845">
        <v>304.63200000000001</v>
      </c>
      <c r="C1845">
        <v>269.03100000000001</v>
      </c>
      <c r="D1845">
        <f t="shared" si="14"/>
        <v>123.989</v>
      </c>
      <c r="E1845">
        <v>226.97300000000001</v>
      </c>
      <c r="F1845">
        <v>171.47300000000001</v>
      </c>
      <c r="G1845">
        <v>279.36500000000001</v>
      </c>
      <c r="H1845">
        <v>212.59</v>
      </c>
      <c r="I1845">
        <v>263.46699999999998</v>
      </c>
      <c r="L1845">
        <v>123.989</v>
      </c>
    </row>
    <row r="1846" spans="1:12" x14ac:dyDescent="0.25">
      <c r="A1846" s="12">
        <v>44273</v>
      </c>
      <c r="B1846">
        <v>304.5</v>
      </c>
      <c r="C1846">
        <v>268.88600000000002</v>
      </c>
      <c r="D1846">
        <f t="shared" si="14"/>
        <v>123.84</v>
      </c>
      <c r="E1846">
        <v>226.26499999999999</v>
      </c>
      <c r="F1846">
        <v>171.023</v>
      </c>
      <c r="G1846">
        <v>280.55700000000002</v>
      </c>
      <c r="H1846">
        <v>212.75</v>
      </c>
      <c r="I1846">
        <v>262.45299999999997</v>
      </c>
      <c r="L1846">
        <v>123.84</v>
      </c>
    </row>
    <row r="1847" spans="1:12" x14ac:dyDescent="0.25">
      <c r="A1847" s="12">
        <v>44274</v>
      </c>
      <c r="B1847">
        <v>304.255</v>
      </c>
      <c r="C1847">
        <v>268.52</v>
      </c>
      <c r="D1847">
        <f t="shared" si="14"/>
        <v>123.755</v>
      </c>
      <c r="E1847">
        <v>226.14400000000001</v>
      </c>
      <c r="F1847">
        <v>170.86799999999999</v>
      </c>
      <c r="G1847">
        <v>279.83199999999999</v>
      </c>
      <c r="H1847">
        <v>212.42</v>
      </c>
      <c r="I1847">
        <v>262.59199999999998</v>
      </c>
      <c r="L1847">
        <v>123.755</v>
      </c>
    </row>
    <row r="1848" spans="1:12" x14ac:dyDescent="0.25">
      <c r="A1848" s="12">
        <v>44277</v>
      </c>
      <c r="B1848">
        <v>303.38400000000001</v>
      </c>
      <c r="C1848">
        <v>268.38799999999998</v>
      </c>
      <c r="D1848">
        <f t="shared" si="14"/>
        <v>123.17</v>
      </c>
      <c r="E1848">
        <v>225.65700000000001</v>
      </c>
      <c r="F1848">
        <v>171.018</v>
      </c>
      <c r="G1848">
        <v>280.01799999999997</v>
      </c>
      <c r="H1848">
        <v>212.22800000000001</v>
      </c>
      <c r="I1848">
        <v>262.19900000000001</v>
      </c>
      <c r="L1848">
        <v>123.17</v>
      </c>
    </row>
    <row r="1849" spans="1:12" x14ac:dyDescent="0.25">
      <c r="A1849" s="12">
        <v>44278</v>
      </c>
      <c r="B1849">
        <v>303.57600000000002</v>
      </c>
      <c r="C1849">
        <v>268.49599999999998</v>
      </c>
      <c r="D1849">
        <f t="shared" si="14"/>
        <v>123.245</v>
      </c>
      <c r="E1849">
        <v>225.74100000000001</v>
      </c>
      <c r="F1849">
        <v>171.06</v>
      </c>
      <c r="G1849">
        <v>279.15600000000001</v>
      </c>
      <c r="H1849">
        <v>212.37100000000001</v>
      </c>
      <c r="I1849">
        <v>262.29000000000002</v>
      </c>
      <c r="L1849">
        <v>123.245</v>
      </c>
    </row>
    <row r="1850" spans="1:12" x14ac:dyDescent="0.25">
      <c r="A1850" s="12">
        <v>44279</v>
      </c>
      <c r="B1850">
        <v>304.04500000000002</v>
      </c>
      <c r="C1850">
        <v>268.79199999999997</v>
      </c>
      <c r="D1850">
        <f t="shared" si="14"/>
        <v>123.53700000000001</v>
      </c>
      <c r="E1850">
        <v>225.84399999999999</v>
      </c>
      <c r="F1850">
        <v>171.399</v>
      </c>
      <c r="G1850">
        <v>279.31900000000002</v>
      </c>
      <c r="H1850">
        <v>212.298</v>
      </c>
      <c r="I1850">
        <v>262.76</v>
      </c>
      <c r="L1850">
        <v>123.53700000000001</v>
      </c>
    </row>
    <row r="1851" spans="1:12" x14ac:dyDescent="0.25">
      <c r="A1851" s="12">
        <v>44280</v>
      </c>
      <c r="B1851">
        <v>304.00700000000001</v>
      </c>
      <c r="C1851">
        <v>269.17</v>
      </c>
      <c r="D1851">
        <f t="shared" si="14"/>
        <v>123.574</v>
      </c>
      <c r="E1851">
        <v>225.62299999999999</v>
      </c>
      <c r="F1851">
        <v>171.595</v>
      </c>
      <c r="G1851">
        <v>279.58100000000002</v>
      </c>
      <c r="H1851">
        <v>212.49199999999999</v>
      </c>
      <c r="I1851">
        <v>262.77300000000002</v>
      </c>
      <c r="L1851">
        <v>123.574</v>
      </c>
    </row>
    <row r="1852" spans="1:12" x14ac:dyDescent="0.25">
      <c r="A1852" s="12">
        <v>44281</v>
      </c>
      <c r="B1852">
        <v>303.99900000000002</v>
      </c>
      <c r="C1852">
        <v>269.43900000000002</v>
      </c>
      <c r="D1852">
        <f t="shared" si="14"/>
        <v>123.35599999999999</v>
      </c>
      <c r="E1852">
        <v>225.68899999999999</v>
      </c>
      <c r="F1852">
        <v>171.69800000000001</v>
      </c>
      <c r="G1852">
        <v>279.2</v>
      </c>
      <c r="H1852">
        <v>212.44800000000001</v>
      </c>
      <c r="I1852">
        <v>262.358</v>
      </c>
      <c r="L1852">
        <v>123.35599999999999</v>
      </c>
    </row>
    <row r="1853" spans="1:12" x14ac:dyDescent="0.25">
      <c r="A1853" s="12">
        <v>44284</v>
      </c>
      <c r="B1853">
        <v>304.77699999999999</v>
      </c>
      <c r="C1853">
        <v>269.41800000000001</v>
      </c>
      <c r="D1853">
        <f t="shared" si="14"/>
        <v>123.97</v>
      </c>
      <c r="E1853">
        <v>226.65199999999999</v>
      </c>
      <c r="F1853">
        <v>171.547</v>
      </c>
      <c r="G1853">
        <v>278.87200000000001</v>
      </c>
      <c r="H1853">
        <v>212.49299999999999</v>
      </c>
      <c r="I1853">
        <v>263.23700000000002</v>
      </c>
      <c r="L1853">
        <v>123.97</v>
      </c>
    </row>
    <row r="1854" spans="1:12" x14ac:dyDescent="0.25">
      <c r="A1854" s="12">
        <v>44285</v>
      </c>
      <c r="B1854">
        <v>305.75099999999998</v>
      </c>
      <c r="C1854">
        <v>269.12700000000001</v>
      </c>
      <c r="D1854">
        <f t="shared" si="14"/>
        <v>124.474</v>
      </c>
      <c r="E1854">
        <v>226.76900000000001</v>
      </c>
      <c r="F1854">
        <v>171.37200000000001</v>
      </c>
      <c r="G1854">
        <v>279.959</v>
      </c>
      <c r="H1854">
        <v>212.40600000000001</v>
      </c>
      <c r="I1854">
        <v>263.49200000000002</v>
      </c>
      <c r="L1854">
        <v>124.474</v>
      </c>
    </row>
    <row r="1855" spans="1:12" x14ac:dyDescent="0.25">
      <c r="A1855" s="12">
        <v>44286</v>
      </c>
      <c r="B1855">
        <v>305.77999999999997</v>
      </c>
      <c r="C1855">
        <v>268.94499999999999</v>
      </c>
      <c r="D1855">
        <f t="shared" si="14"/>
        <v>124.545</v>
      </c>
      <c r="E1855">
        <v>227.017</v>
      </c>
      <c r="F1855">
        <v>171.167</v>
      </c>
      <c r="G1855">
        <v>280.64400000000001</v>
      </c>
      <c r="H1855">
        <v>212.227</v>
      </c>
      <c r="I1855">
        <v>263.72899999999998</v>
      </c>
      <c r="L1855">
        <v>124.545</v>
      </c>
    </row>
    <row r="1856" spans="1:12" x14ac:dyDescent="0.25">
      <c r="A1856" s="12">
        <v>44287</v>
      </c>
      <c r="B1856">
        <v>306.12700000000001</v>
      </c>
      <c r="C1856">
        <v>269.00700000000001</v>
      </c>
      <c r="D1856">
        <f t="shared" si="14"/>
        <v>124.571</v>
      </c>
      <c r="E1856">
        <v>227.21899999999999</v>
      </c>
      <c r="F1856">
        <v>171.36199999999999</v>
      </c>
      <c r="G1856">
        <v>280.94200000000001</v>
      </c>
      <c r="H1856">
        <v>212.03399999999999</v>
      </c>
      <c r="I1856">
        <v>264.16699999999997</v>
      </c>
      <c r="L1856">
        <v>124.571</v>
      </c>
    </row>
    <row r="1857" spans="1:12" x14ac:dyDescent="0.25">
      <c r="A1857" s="12">
        <v>44292</v>
      </c>
      <c r="B1857">
        <v>306.67099999999999</v>
      </c>
      <c r="C1857">
        <v>269.38200000000001</v>
      </c>
      <c r="D1857">
        <f t="shared" si="14"/>
        <v>124.78</v>
      </c>
      <c r="E1857">
        <v>228.191</v>
      </c>
      <c r="F1857">
        <v>171.66800000000001</v>
      </c>
      <c r="G1857">
        <v>281.29300000000001</v>
      </c>
      <c r="H1857">
        <v>212.27099999999999</v>
      </c>
      <c r="I1857">
        <v>265.03500000000003</v>
      </c>
      <c r="L1857">
        <v>124.78</v>
      </c>
    </row>
    <row r="1858" spans="1:12" x14ac:dyDescent="0.25">
      <c r="A1858" s="12">
        <v>44293</v>
      </c>
      <c r="B1858">
        <v>308.483</v>
      </c>
      <c r="C1858">
        <v>269.76299999999998</v>
      </c>
      <c r="D1858">
        <f t="shared" si="14"/>
        <v>125.4</v>
      </c>
      <c r="E1858">
        <v>228.84399999999999</v>
      </c>
      <c r="F1858">
        <v>171.71</v>
      </c>
      <c r="G1858">
        <v>282.21100000000001</v>
      </c>
      <c r="H1858">
        <v>212.57499999999999</v>
      </c>
      <c r="I1858">
        <v>265.48899999999998</v>
      </c>
      <c r="L1858">
        <v>125.4</v>
      </c>
    </row>
    <row r="1859" spans="1:12" x14ac:dyDescent="0.25">
      <c r="A1859" s="12">
        <v>44294</v>
      </c>
      <c r="B1859">
        <v>308.77800000000002</v>
      </c>
      <c r="C1859">
        <v>270.05399999999997</v>
      </c>
      <c r="D1859">
        <f t="shared" si="14"/>
        <v>125.438</v>
      </c>
      <c r="E1859">
        <v>228.41399999999999</v>
      </c>
      <c r="F1859">
        <v>171.72499999999999</v>
      </c>
      <c r="G1859">
        <v>283.52600000000001</v>
      </c>
      <c r="H1859">
        <v>212.73400000000001</v>
      </c>
      <c r="I1859">
        <v>264.96899999999999</v>
      </c>
      <c r="L1859">
        <v>125.438</v>
      </c>
    </row>
    <row r="1860" spans="1:12" x14ac:dyDescent="0.25">
      <c r="A1860" s="12">
        <v>44295</v>
      </c>
      <c r="B1860">
        <v>308.93299999999999</v>
      </c>
      <c r="C1860">
        <v>270.17</v>
      </c>
      <c r="D1860">
        <f t="shared" si="14"/>
        <v>125.465</v>
      </c>
      <c r="E1860">
        <v>228.84899999999999</v>
      </c>
      <c r="F1860">
        <v>171.84700000000001</v>
      </c>
      <c r="G1860">
        <v>283.13600000000002</v>
      </c>
      <c r="H1860">
        <v>212.84800000000001</v>
      </c>
      <c r="I1860">
        <v>265.36500000000001</v>
      </c>
      <c r="L1860">
        <v>125.465</v>
      </c>
    </row>
    <row r="1861" spans="1:12" x14ac:dyDescent="0.25">
      <c r="A1861" s="12">
        <v>44298</v>
      </c>
      <c r="B1861">
        <v>309.45999999999998</v>
      </c>
      <c r="C1861">
        <v>270.23200000000003</v>
      </c>
      <c r="D1861">
        <f t="shared" si="14"/>
        <v>125.688</v>
      </c>
      <c r="E1861">
        <v>228.821</v>
      </c>
      <c r="F1861">
        <v>171.68700000000001</v>
      </c>
      <c r="G1861">
        <v>283.75700000000001</v>
      </c>
      <c r="H1861">
        <v>212.999</v>
      </c>
      <c r="I1861">
        <v>265.34800000000001</v>
      </c>
      <c r="L1861">
        <v>125.688</v>
      </c>
    </row>
    <row r="1862" spans="1:12" x14ac:dyDescent="0.25">
      <c r="A1862" s="12">
        <v>44299</v>
      </c>
      <c r="B1862">
        <v>309.72899999999998</v>
      </c>
      <c r="C1862">
        <v>270.09800000000001</v>
      </c>
      <c r="D1862">
        <f t="shared" si="14"/>
        <v>125.79900000000001</v>
      </c>
      <c r="E1862">
        <v>228.60300000000001</v>
      </c>
      <c r="F1862">
        <v>171.755</v>
      </c>
      <c r="G1862">
        <v>283.81599999999997</v>
      </c>
      <c r="H1862">
        <v>212.779</v>
      </c>
      <c r="I1862">
        <v>265.125</v>
      </c>
      <c r="L1862">
        <v>125.79900000000001</v>
      </c>
    </row>
    <row r="1863" spans="1:12" x14ac:dyDescent="0.25">
      <c r="A1863" s="12">
        <v>44300</v>
      </c>
      <c r="B1863">
        <v>309.601</v>
      </c>
      <c r="C1863">
        <v>270.12400000000002</v>
      </c>
      <c r="D1863">
        <f t="shared" si="14"/>
        <v>125.724</v>
      </c>
      <c r="E1863">
        <v>228.69499999999999</v>
      </c>
      <c r="F1863">
        <v>171.71</v>
      </c>
      <c r="G1863">
        <v>283.601</v>
      </c>
      <c r="H1863">
        <v>212.80799999999999</v>
      </c>
      <c r="I1863">
        <v>265.23500000000001</v>
      </c>
      <c r="L1863">
        <v>125.724</v>
      </c>
    </row>
    <row r="1864" spans="1:12" x14ac:dyDescent="0.25">
      <c r="A1864" s="12">
        <v>44301</v>
      </c>
      <c r="B1864">
        <v>309.59800000000001</v>
      </c>
      <c r="C1864">
        <v>270.08100000000002</v>
      </c>
      <c r="D1864">
        <f t="shared" si="14"/>
        <v>125.77500000000001</v>
      </c>
      <c r="E1864">
        <v>228.648</v>
      </c>
      <c r="F1864">
        <v>171.66300000000001</v>
      </c>
      <c r="G1864">
        <v>283.70499999999998</v>
      </c>
      <c r="H1864">
        <v>212.732</v>
      </c>
      <c r="I1864">
        <v>265.363</v>
      </c>
      <c r="L1864">
        <v>125.77500000000001</v>
      </c>
    </row>
    <row r="1865" spans="1:12" x14ac:dyDescent="0.25">
      <c r="A1865" s="12">
        <v>44302</v>
      </c>
      <c r="B1865">
        <v>310.13400000000001</v>
      </c>
      <c r="C1865">
        <v>270.51499999999999</v>
      </c>
      <c r="D1865">
        <f t="shared" si="14"/>
        <v>125.607</v>
      </c>
      <c r="E1865">
        <v>229.465</v>
      </c>
      <c r="F1865">
        <v>172.126</v>
      </c>
      <c r="G1865">
        <v>283.88499999999999</v>
      </c>
      <c r="H1865">
        <v>212.77500000000001</v>
      </c>
      <c r="I1865">
        <v>265.89999999999998</v>
      </c>
      <c r="L1865">
        <v>125.607</v>
      </c>
    </row>
    <row r="1866" spans="1:12" x14ac:dyDescent="0.25">
      <c r="A1866" s="12">
        <v>44305</v>
      </c>
      <c r="B1866">
        <v>311.26900000000001</v>
      </c>
      <c r="C1866">
        <v>270.72399999999999</v>
      </c>
      <c r="D1866">
        <f t="shared" si="14"/>
        <v>126.155</v>
      </c>
      <c r="E1866">
        <v>229.93100000000001</v>
      </c>
      <c r="F1866">
        <v>172.12899999999999</v>
      </c>
      <c r="G1866">
        <v>284.58600000000001</v>
      </c>
      <c r="H1866">
        <v>213.12100000000001</v>
      </c>
      <c r="I1866">
        <v>266.226</v>
      </c>
      <c r="L1866">
        <v>126.155</v>
      </c>
    </row>
    <row r="1867" spans="1:12" x14ac:dyDescent="0.25">
      <c r="A1867" s="12">
        <v>44306</v>
      </c>
      <c r="B1867">
        <v>311.22899999999998</v>
      </c>
      <c r="C1867">
        <v>270.67399999999998</v>
      </c>
      <c r="D1867">
        <f t="shared" si="14"/>
        <v>126.024</v>
      </c>
      <c r="E1867">
        <v>229.32300000000001</v>
      </c>
      <c r="F1867">
        <v>171.946</v>
      </c>
      <c r="G1867">
        <v>285.43599999999998</v>
      </c>
      <c r="H1867">
        <v>213.166</v>
      </c>
      <c r="I1867">
        <v>265.68299999999999</v>
      </c>
      <c r="L1867">
        <v>126.024</v>
      </c>
    </row>
    <row r="1868" spans="1:12" x14ac:dyDescent="0.25">
      <c r="A1868" s="12">
        <v>44307</v>
      </c>
      <c r="B1868">
        <v>310.16000000000003</v>
      </c>
      <c r="C1868">
        <v>270.57299999999998</v>
      </c>
      <c r="D1868">
        <f t="shared" si="14"/>
        <v>125.447</v>
      </c>
      <c r="E1868">
        <v>228.22900000000001</v>
      </c>
      <c r="F1868">
        <v>171.804</v>
      </c>
      <c r="G1868">
        <v>285.142</v>
      </c>
      <c r="H1868">
        <v>213.09100000000001</v>
      </c>
      <c r="I1868">
        <v>264.59899999999999</v>
      </c>
      <c r="L1868">
        <v>125.447</v>
      </c>
    </row>
    <row r="1869" spans="1:12" x14ac:dyDescent="0.25">
      <c r="A1869" s="12">
        <v>44308</v>
      </c>
      <c r="B1869">
        <v>310.11200000000002</v>
      </c>
      <c r="C1869">
        <v>270.572</v>
      </c>
      <c r="D1869">
        <f t="shared" si="14"/>
        <v>125.227</v>
      </c>
      <c r="E1869">
        <v>228.45599999999999</v>
      </c>
      <c r="F1869">
        <v>171.87799999999999</v>
      </c>
      <c r="G1869">
        <v>283.36900000000003</v>
      </c>
      <c r="H1869">
        <v>212.99600000000001</v>
      </c>
      <c r="I1869">
        <v>265.005</v>
      </c>
      <c r="L1869">
        <v>125.227</v>
      </c>
    </row>
    <row r="1870" spans="1:12" x14ac:dyDescent="0.25">
      <c r="A1870" s="12">
        <v>44309</v>
      </c>
      <c r="B1870">
        <v>310.589</v>
      </c>
      <c r="C1870">
        <v>270.62400000000002</v>
      </c>
      <c r="D1870">
        <f t="shared" si="14"/>
        <v>125.624</v>
      </c>
      <c r="E1870">
        <v>229.035</v>
      </c>
      <c r="F1870">
        <v>171.98500000000001</v>
      </c>
      <c r="G1870">
        <v>283.72199999999998</v>
      </c>
      <c r="H1870">
        <v>212.99</v>
      </c>
      <c r="I1870">
        <v>265.863</v>
      </c>
      <c r="L1870">
        <v>125.624</v>
      </c>
    </row>
    <row r="1871" spans="1:12" x14ac:dyDescent="0.25">
      <c r="A1871" s="12">
        <v>44312</v>
      </c>
      <c r="B1871">
        <v>310.52300000000002</v>
      </c>
      <c r="C1871">
        <v>270.68900000000002</v>
      </c>
      <c r="D1871">
        <f t="shared" si="14"/>
        <v>125.389</v>
      </c>
      <c r="E1871">
        <v>229.12899999999999</v>
      </c>
      <c r="F1871">
        <v>171.946</v>
      </c>
      <c r="G1871">
        <v>284.70400000000001</v>
      </c>
      <c r="H1871">
        <v>213.06700000000001</v>
      </c>
      <c r="I1871">
        <v>265.56599999999997</v>
      </c>
      <c r="L1871">
        <v>125.389</v>
      </c>
    </row>
    <row r="1872" spans="1:12" x14ac:dyDescent="0.25">
      <c r="A1872" s="12">
        <v>44313</v>
      </c>
      <c r="B1872">
        <v>311.166</v>
      </c>
      <c r="C1872">
        <v>270.72699999999998</v>
      </c>
      <c r="D1872">
        <f t="shared" si="14"/>
        <v>125.648</v>
      </c>
      <c r="E1872">
        <v>229.333</v>
      </c>
      <c r="F1872">
        <v>171.83600000000001</v>
      </c>
      <c r="G1872">
        <v>284.42599999999999</v>
      </c>
      <c r="H1872">
        <v>213.03100000000001</v>
      </c>
      <c r="I1872">
        <v>265.93200000000002</v>
      </c>
      <c r="L1872">
        <v>125.648</v>
      </c>
    </row>
    <row r="1873" spans="1:12" x14ac:dyDescent="0.25">
      <c r="A1873" s="12">
        <v>44314</v>
      </c>
      <c r="B1873">
        <v>311.01400000000001</v>
      </c>
      <c r="C1873">
        <v>270.66199999999998</v>
      </c>
      <c r="D1873">
        <f t="shared" si="14"/>
        <v>125.577</v>
      </c>
      <c r="E1873">
        <v>229.154</v>
      </c>
      <c r="F1873">
        <v>171.63</v>
      </c>
      <c r="G1873">
        <v>284.92899999999997</v>
      </c>
      <c r="H1873">
        <v>213.02099999999999</v>
      </c>
      <c r="I1873">
        <v>265.71899999999999</v>
      </c>
      <c r="L1873">
        <v>125.577</v>
      </c>
    </row>
    <row r="1874" spans="1:12" x14ac:dyDescent="0.25">
      <c r="A1874" s="12">
        <v>44315</v>
      </c>
      <c r="B1874">
        <v>310.71100000000001</v>
      </c>
      <c r="C1874">
        <v>270.43</v>
      </c>
      <c r="D1874">
        <f t="shared" si="14"/>
        <v>125.50700000000001</v>
      </c>
      <c r="E1874">
        <v>228.99600000000001</v>
      </c>
      <c r="F1874">
        <v>171.429</v>
      </c>
      <c r="G1874">
        <v>284.84500000000003</v>
      </c>
      <c r="H1874">
        <v>212.91399999999999</v>
      </c>
      <c r="I1874">
        <v>265.459</v>
      </c>
      <c r="L1874">
        <v>125.50700000000001</v>
      </c>
    </row>
    <row r="1875" spans="1:12" x14ac:dyDescent="0.25">
      <c r="A1875" s="12">
        <v>44316</v>
      </c>
      <c r="B1875">
        <v>310.36599999999999</v>
      </c>
      <c r="C1875">
        <v>270.13799999999998</v>
      </c>
      <c r="D1875">
        <f t="shared" ref="D1875:D1938" si="15">IF(L1875&gt;1,L1875,L1875*100)</f>
        <v>125.289</v>
      </c>
      <c r="E1875">
        <v>228.874</v>
      </c>
      <c r="F1875">
        <v>171.29499999999999</v>
      </c>
      <c r="G1875">
        <v>284.69900000000001</v>
      </c>
      <c r="H1875">
        <v>212.82900000000001</v>
      </c>
      <c r="I1875">
        <v>265.02100000000002</v>
      </c>
      <c r="L1875">
        <v>125.289</v>
      </c>
    </row>
    <row r="1876" spans="1:12" x14ac:dyDescent="0.25">
      <c r="A1876" s="12">
        <v>44321</v>
      </c>
      <c r="B1876">
        <v>310.80599999999998</v>
      </c>
      <c r="C1876">
        <v>270.327</v>
      </c>
      <c r="D1876">
        <f t="shared" si="15"/>
        <v>125.354</v>
      </c>
      <c r="E1876">
        <v>228.87899999999999</v>
      </c>
      <c r="F1876">
        <v>171.53299999999999</v>
      </c>
      <c r="G1876">
        <v>284.30799999999999</v>
      </c>
      <c r="H1876">
        <v>212.76400000000001</v>
      </c>
      <c r="I1876">
        <v>265.05500000000001</v>
      </c>
      <c r="L1876">
        <v>125.354</v>
      </c>
    </row>
    <row r="1877" spans="1:12" x14ac:dyDescent="0.25">
      <c r="A1877" s="12">
        <v>44322</v>
      </c>
      <c r="B1877">
        <v>310.85000000000002</v>
      </c>
      <c r="C1877">
        <v>271.00599999999997</v>
      </c>
      <c r="D1877">
        <f t="shared" si="15"/>
        <v>125.468</v>
      </c>
      <c r="E1877">
        <v>228.898</v>
      </c>
      <c r="F1877">
        <v>171.79400000000001</v>
      </c>
      <c r="G1877">
        <v>283.35199999999998</v>
      </c>
      <c r="H1877">
        <v>212.92599999999999</v>
      </c>
      <c r="I1877">
        <v>265.36700000000002</v>
      </c>
      <c r="L1877">
        <v>125.468</v>
      </c>
    </row>
    <row r="1878" spans="1:12" x14ac:dyDescent="0.25">
      <c r="A1878" s="12">
        <v>44323</v>
      </c>
      <c r="B1878">
        <v>310.75099999999998</v>
      </c>
      <c r="C1878">
        <v>271.05599999999998</v>
      </c>
      <c r="D1878">
        <f t="shared" si="15"/>
        <v>125.39100000000001</v>
      </c>
      <c r="E1878">
        <v>228.881</v>
      </c>
      <c r="F1878">
        <v>171.80199999999999</v>
      </c>
      <c r="G1878">
        <v>284.77</v>
      </c>
      <c r="H1878">
        <v>213.02</v>
      </c>
      <c r="I1878">
        <v>264.72699999999998</v>
      </c>
      <c r="L1878">
        <v>125.39100000000001</v>
      </c>
    </row>
    <row r="1879" spans="1:12" x14ac:dyDescent="0.25">
      <c r="A1879" s="12">
        <v>44326</v>
      </c>
      <c r="B1879">
        <v>311.85899999999998</v>
      </c>
      <c r="C1879">
        <v>271.11700000000002</v>
      </c>
      <c r="D1879">
        <f t="shared" si="15"/>
        <v>125.69</v>
      </c>
      <c r="E1879">
        <v>229.35499999999999</v>
      </c>
      <c r="F1879">
        <v>171.77799999999999</v>
      </c>
      <c r="G1879">
        <v>284.697</v>
      </c>
      <c r="H1879">
        <v>213.14599999999999</v>
      </c>
      <c r="I1879">
        <v>265.24700000000001</v>
      </c>
      <c r="L1879">
        <v>125.69</v>
      </c>
    </row>
    <row r="1880" spans="1:12" x14ac:dyDescent="0.25">
      <c r="A1880" s="12">
        <v>44327</v>
      </c>
      <c r="B1880">
        <v>311.81400000000002</v>
      </c>
      <c r="C1880">
        <v>271.017</v>
      </c>
      <c r="D1880">
        <f t="shared" si="15"/>
        <v>125.59699999999999</v>
      </c>
      <c r="E1880">
        <v>229</v>
      </c>
      <c r="F1880">
        <v>171.697</v>
      </c>
      <c r="G1880">
        <v>285.57</v>
      </c>
      <c r="H1880">
        <v>213.24799999999999</v>
      </c>
      <c r="I1880">
        <v>265.22699999999998</v>
      </c>
      <c r="L1880">
        <v>125.59699999999999</v>
      </c>
    </row>
    <row r="1881" spans="1:12" x14ac:dyDescent="0.25">
      <c r="A1881" s="12">
        <v>44328</v>
      </c>
      <c r="B1881">
        <v>310.13</v>
      </c>
      <c r="C1881">
        <v>270.52199999999999</v>
      </c>
      <c r="D1881">
        <f t="shared" si="15"/>
        <v>124.815</v>
      </c>
      <c r="E1881">
        <v>227.09200000000001</v>
      </c>
      <c r="F1881">
        <v>171.27799999999999</v>
      </c>
      <c r="G1881">
        <v>285.65600000000001</v>
      </c>
      <c r="H1881">
        <v>213.25800000000001</v>
      </c>
      <c r="I1881">
        <v>262.94499999999999</v>
      </c>
      <c r="L1881">
        <v>124.815</v>
      </c>
    </row>
    <row r="1882" spans="1:12" x14ac:dyDescent="0.25">
      <c r="A1882" s="12">
        <v>44329</v>
      </c>
      <c r="B1882">
        <v>308.90800000000002</v>
      </c>
      <c r="C1882">
        <v>270.07100000000003</v>
      </c>
      <c r="D1882">
        <f t="shared" si="15"/>
        <v>124.256</v>
      </c>
      <c r="E1882">
        <v>226.52199999999999</v>
      </c>
      <c r="F1882">
        <v>170.99700000000001</v>
      </c>
      <c r="G1882">
        <v>282.88299999999998</v>
      </c>
      <c r="H1882">
        <v>212.95500000000001</v>
      </c>
      <c r="I1882">
        <v>262.54000000000002</v>
      </c>
      <c r="L1882">
        <v>124.256</v>
      </c>
    </row>
    <row r="1883" spans="1:12" x14ac:dyDescent="0.25">
      <c r="A1883" s="12">
        <v>44330</v>
      </c>
      <c r="B1883">
        <v>308.43700000000001</v>
      </c>
      <c r="C1883">
        <v>269.80599999999998</v>
      </c>
      <c r="D1883">
        <f t="shared" si="15"/>
        <v>123.754</v>
      </c>
      <c r="E1883">
        <v>226.27099999999999</v>
      </c>
      <c r="F1883">
        <v>170.929</v>
      </c>
      <c r="G1883">
        <v>282.56200000000001</v>
      </c>
      <c r="H1883">
        <v>212.71799999999999</v>
      </c>
      <c r="I1883">
        <v>262.37799999999999</v>
      </c>
      <c r="L1883">
        <v>123.754</v>
      </c>
    </row>
    <row r="1884" spans="1:12" x14ac:dyDescent="0.25">
      <c r="A1884" s="12">
        <v>44333</v>
      </c>
      <c r="B1884">
        <v>308.90899999999999</v>
      </c>
      <c r="C1884">
        <v>269.75200000000001</v>
      </c>
      <c r="D1884">
        <f t="shared" si="15"/>
        <v>124.06699999999999</v>
      </c>
      <c r="E1884">
        <v>227.08799999999999</v>
      </c>
      <c r="F1884">
        <v>170.97300000000001</v>
      </c>
      <c r="G1884">
        <v>282.09800000000001</v>
      </c>
      <c r="H1884">
        <v>212.63499999999999</v>
      </c>
      <c r="I1884">
        <v>262.97000000000003</v>
      </c>
      <c r="L1884">
        <v>124.06699999999999</v>
      </c>
    </row>
    <row r="1885" spans="1:12" x14ac:dyDescent="0.25">
      <c r="A1885" s="12">
        <v>44334</v>
      </c>
      <c r="B1885">
        <v>309.82799999999997</v>
      </c>
      <c r="C1885">
        <v>269.81799999999998</v>
      </c>
      <c r="D1885">
        <f t="shared" si="15"/>
        <v>124.39</v>
      </c>
      <c r="E1885">
        <v>227.03700000000001</v>
      </c>
      <c r="F1885">
        <v>170.96299999999999</v>
      </c>
      <c r="G1885">
        <v>283.315</v>
      </c>
      <c r="H1885">
        <v>212.76400000000001</v>
      </c>
      <c r="I1885">
        <v>262.68299999999999</v>
      </c>
      <c r="L1885">
        <v>124.39</v>
      </c>
    </row>
    <row r="1886" spans="1:12" x14ac:dyDescent="0.25">
      <c r="A1886" s="12">
        <v>44335</v>
      </c>
      <c r="B1886">
        <v>309.35599999999999</v>
      </c>
      <c r="C1886">
        <v>269.69900000000001</v>
      </c>
      <c r="D1886">
        <f t="shared" si="15"/>
        <v>124.182</v>
      </c>
      <c r="E1886">
        <v>227.126</v>
      </c>
      <c r="F1886">
        <v>170.911</v>
      </c>
      <c r="G1886">
        <v>283.43299999999999</v>
      </c>
      <c r="H1886">
        <v>212.69499999999999</v>
      </c>
      <c r="I1886">
        <v>262.65100000000001</v>
      </c>
      <c r="L1886">
        <v>124.182</v>
      </c>
    </row>
    <row r="1887" spans="1:12" x14ac:dyDescent="0.25">
      <c r="A1887" s="12">
        <v>44336</v>
      </c>
      <c r="B1887">
        <v>308.452</v>
      </c>
      <c r="C1887">
        <v>269.70100000000002</v>
      </c>
      <c r="D1887">
        <f t="shared" si="15"/>
        <v>123.432</v>
      </c>
      <c r="E1887">
        <v>225.983</v>
      </c>
      <c r="F1887">
        <v>170.649</v>
      </c>
      <c r="G1887">
        <v>283.55500000000001</v>
      </c>
      <c r="H1887">
        <v>212.65299999999999</v>
      </c>
      <c r="I1887">
        <v>260.94600000000003</v>
      </c>
      <c r="L1887">
        <v>123.432</v>
      </c>
    </row>
    <row r="1888" spans="1:12" x14ac:dyDescent="0.25">
      <c r="A1888" s="12">
        <v>44337</v>
      </c>
      <c r="B1888">
        <v>308.71699999999998</v>
      </c>
      <c r="C1888">
        <v>269.57499999999999</v>
      </c>
      <c r="D1888">
        <f t="shared" si="15"/>
        <v>123.67</v>
      </c>
      <c r="E1888">
        <v>227.06</v>
      </c>
      <c r="F1888">
        <v>170.84299999999999</v>
      </c>
      <c r="G1888">
        <v>281.69200000000001</v>
      </c>
      <c r="H1888">
        <v>212.44399999999999</v>
      </c>
      <c r="I1888">
        <v>262.47399999999999</v>
      </c>
      <c r="L1888">
        <v>123.67</v>
      </c>
    </row>
    <row r="1889" spans="1:12" x14ac:dyDescent="0.25">
      <c r="A1889" s="12">
        <v>44340</v>
      </c>
      <c r="B1889">
        <v>309.73500000000001</v>
      </c>
      <c r="C1889">
        <v>269.82499999999999</v>
      </c>
      <c r="D1889">
        <f t="shared" si="15"/>
        <v>124.274</v>
      </c>
      <c r="E1889">
        <v>227.39699999999999</v>
      </c>
      <c r="F1889">
        <v>170.96</v>
      </c>
      <c r="G1889">
        <v>283.14800000000002</v>
      </c>
      <c r="H1889">
        <v>212.50899999999999</v>
      </c>
      <c r="I1889">
        <v>263.42599999999999</v>
      </c>
      <c r="L1889">
        <v>124.274</v>
      </c>
    </row>
    <row r="1890" spans="1:12" x14ac:dyDescent="0.25">
      <c r="A1890" s="12">
        <v>44341</v>
      </c>
      <c r="B1890">
        <v>310.12799999999999</v>
      </c>
      <c r="C1890">
        <v>270.053</v>
      </c>
      <c r="D1890">
        <f t="shared" si="15"/>
        <v>124.45699999999999</v>
      </c>
      <c r="E1890">
        <v>227.72</v>
      </c>
      <c r="F1890">
        <v>171.041</v>
      </c>
      <c r="G1890">
        <v>283.87400000000002</v>
      </c>
      <c r="H1890">
        <v>212.66300000000001</v>
      </c>
      <c r="I1890">
        <v>263.315</v>
      </c>
      <c r="L1890">
        <v>124.45699999999999</v>
      </c>
    </row>
    <row r="1891" spans="1:12" x14ac:dyDescent="0.25">
      <c r="A1891" s="12">
        <v>44342</v>
      </c>
      <c r="B1891">
        <v>310.57100000000003</v>
      </c>
      <c r="C1891">
        <v>270.32400000000001</v>
      </c>
      <c r="D1891">
        <f t="shared" si="15"/>
        <v>124.545</v>
      </c>
      <c r="E1891">
        <v>228.1</v>
      </c>
      <c r="F1891">
        <v>171.24700000000001</v>
      </c>
      <c r="G1891">
        <v>284.26100000000002</v>
      </c>
      <c r="H1891">
        <v>212.71799999999999</v>
      </c>
      <c r="I1891">
        <v>263.73899999999998</v>
      </c>
      <c r="L1891">
        <v>124.545</v>
      </c>
    </row>
    <row r="1892" spans="1:12" x14ac:dyDescent="0.25">
      <c r="A1892" s="12">
        <v>44343</v>
      </c>
      <c r="B1892">
        <v>311.53199999999998</v>
      </c>
      <c r="C1892">
        <v>270.85300000000001</v>
      </c>
      <c r="D1892">
        <f t="shared" si="15"/>
        <v>124.729</v>
      </c>
      <c r="E1892">
        <v>228.73099999999999</v>
      </c>
      <c r="F1892">
        <v>171.59800000000001</v>
      </c>
      <c r="G1892">
        <v>284.78899999999999</v>
      </c>
      <c r="H1892">
        <v>212.91200000000001</v>
      </c>
      <c r="I1892">
        <v>264.26299999999998</v>
      </c>
      <c r="L1892">
        <v>124.729</v>
      </c>
    </row>
    <row r="1893" spans="1:12" x14ac:dyDescent="0.25">
      <c r="A1893" s="12">
        <v>44344</v>
      </c>
      <c r="B1893">
        <v>311.71899999999999</v>
      </c>
      <c r="C1893">
        <v>270.76600000000002</v>
      </c>
      <c r="D1893">
        <f t="shared" si="15"/>
        <v>125.04600000000001</v>
      </c>
      <c r="E1893">
        <v>228.85</v>
      </c>
      <c r="F1893">
        <v>171.51599999999999</v>
      </c>
      <c r="G1893">
        <v>285.20699999999999</v>
      </c>
      <c r="H1893">
        <v>213.12799999999999</v>
      </c>
      <c r="I1893">
        <v>264.49200000000002</v>
      </c>
      <c r="L1893">
        <v>125.04600000000001</v>
      </c>
    </row>
    <row r="1894" spans="1:12" x14ac:dyDescent="0.25">
      <c r="A1894" s="12">
        <v>44347</v>
      </c>
      <c r="B1894">
        <v>312.11900000000003</v>
      </c>
      <c r="C1894">
        <v>270.85300000000001</v>
      </c>
      <c r="D1894">
        <f t="shared" si="15"/>
        <v>125.181</v>
      </c>
      <c r="E1894">
        <v>229.452</v>
      </c>
      <c r="F1894">
        <v>171.703</v>
      </c>
      <c r="G1894">
        <v>285.46199999999999</v>
      </c>
      <c r="H1894">
        <v>213.096</v>
      </c>
      <c r="I1894">
        <v>265.06799999999998</v>
      </c>
      <c r="L1894">
        <v>125.181</v>
      </c>
    </row>
    <row r="1895" spans="1:12" x14ac:dyDescent="0.25">
      <c r="A1895" s="12">
        <v>44348</v>
      </c>
      <c r="B1895">
        <v>312.10599999999999</v>
      </c>
      <c r="C1895">
        <v>270.82900000000001</v>
      </c>
      <c r="D1895">
        <f t="shared" si="15"/>
        <v>125.04900000000001</v>
      </c>
      <c r="E1895">
        <v>229.203</v>
      </c>
      <c r="F1895">
        <v>171.65199999999999</v>
      </c>
      <c r="G1895">
        <v>286.27300000000002</v>
      </c>
      <c r="H1895">
        <v>213.23400000000001</v>
      </c>
      <c r="I1895">
        <v>264.56400000000002</v>
      </c>
      <c r="L1895">
        <v>125.04900000000001</v>
      </c>
    </row>
    <row r="1896" spans="1:12" x14ac:dyDescent="0.25">
      <c r="A1896" s="12">
        <v>44349</v>
      </c>
      <c r="B1896">
        <v>312.05500000000001</v>
      </c>
      <c r="C1896">
        <v>270.815</v>
      </c>
      <c r="D1896">
        <f t="shared" si="15"/>
        <v>125.21299999999999</v>
      </c>
      <c r="E1896">
        <v>229.55099999999999</v>
      </c>
      <c r="F1896">
        <v>171.631</v>
      </c>
      <c r="G1896">
        <v>285.916</v>
      </c>
      <c r="H1896">
        <v>213.21100000000001</v>
      </c>
      <c r="I1896">
        <v>264.80700000000002</v>
      </c>
      <c r="L1896">
        <v>125.21299999999999</v>
      </c>
    </row>
    <row r="1897" spans="1:12" x14ac:dyDescent="0.25">
      <c r="A1897" s="12">
        <v>44350</v>
      </c>
      <c r="B1897">
        <v>312.12700000000001</v>
      </c>
      <c r="C1897">
        <v>270.99599999999998</v>
      </c>
      <c r="D1897">
        <f t="shared" si="15"/>
        <v>125.143</v>
      </c>
      <c r="E1897">
        <v>229.91300000000001</v>
      </c>
      <c r="F1897">
        <v>171.87700000000001</v>
      </c>
      <c r="G1897">
        <v>286.60000000000002</v>
      </c>
      <c r="H1897">
        <v>213.22200000000001</v>
      </c>
      <c r="I1897">
        <v>265.18099999999998</v>
      </c>
      <c r="L1897">
        <v>125.143</v>
      </c>
    </row>
    <row r="1898" spans="1:12" x14ac:dyDescent="0.25">
      <c r="A1898" s="12">
        <v>44351</v>
      </c>
      <c r="B1898">
        <v>312.23</v>
      </c>
      <c r="C1898">
        <v>271.02100000000002</v>
      </c>
      <c r="D1898">
        <f t="shared" si="15"/>
        <v>125.389</v>
      </c>
      <c r="E1898">
        <v>229.983</v>
      </c>
      <c r="F1898">
        <v>171.86600000000001</v>
      </c>
      <c r="G1898">
        <v>286.995</v>
      </c>
      <c r="H1898">
        <v>213.45099999999999</v>
      </c>
      <c r="I1898">
        <v>265.38299999999998</v>
      </c>
      <c r="L1898">
        <v>125.389</v>
      </c>
    </row>
    <row r="1899" spans="1:12" x14ac:dyDescent="0.25">
      <c r="A1899" s="12">
        <v>44354</v>
      </c>
      <c r="B1899">
        <v>312.74200000000002</v>
      </c>
      <c r="C1899">
        <v>271.25200000000001</v>
      </c>
      <c r="D1899">
        <f t="shared" si="15"/>
        <v>125.569</v>
      </c>
      <c r="E1899">
        <v>230.535</v>
      </c>
      <c r="F1899">
        <v>172.08199999999999</v>
      </c>
      <c r="G1899">
        <v>286.89299999999997</v>
      </c>
      <c r="H1899">
        <v>213.40100000000001</v>
      </c>
      <c r="I1899">
        <v>265.56700000000001</v>
      </c>
      <c r="L1899">
        <v>125.569</v>
      </c>
    </row>
    <row r="1900" spans="1:12" x14ac:dyDescent="0.25">
      <c r="A1900" s="12">
        <v>44355</v>
      </c>
      <c r="B1900">
        <v>313.226</v>
      </c>
      <c r="C1900">
        <v>271.274</v>
      </c>
      <c r="D1900">
        <f t="shared" si="15"/>
        <v>125.872</v>
      </c>
      <c r="E1900">
        <v>230.43700000000001</v>
      </c>
      <c r="F1900">
        <v>171.99299999999999</v>
      </c>
      <c r="G1900">
        <v>287.45400000000001</v>
      </c>
      <c r="H1900">
        <v>213.625</v>
      </c>
      <c r="I1900">
        <v>265.66300000000001</v>
      </c>
      <c r="L1900">
        <v>125.872</v>
      </c>
    </row>
    <row r="1901" spans="1:12" x14ac:dyDescent="0.25">
      <c r="A1901" s="12">
        <v>44356</v>
      </c>
      <c r="B1901">
        <v>313.39499999999998</v>
      </c>
      <c r="C1901">
        <v>271.56299999999999</v>
      </c>
      <c r="D1901">
        <f t="shared" si="15"/>
        <v>125.809</v>
      </c>
      <c r="E1901">
        <v>230.64699999999999</v>
      </c>
      <c r="F1901">
        <v>172.292</v>
      </c>
      <c r="G1901">
        <v>287.51299999999998</v>
      </c>
      <c r="H1901">
        <v>213.571</v>
      </c>
      <c r="I1901">
        <v>266.05099999999999</v>
      </c>
      <c r="L1901">
        <v>125.809</v>
      </c>
    </row>
    <row r="1902" spans="1:12" x14ac:dyDescent="0.25">
      <c r="A1902" s="12">
        <v>44357</v>
      </c>
      <c r="B1902">
        <v>313.529</v>
      </c>
      <c r="C1902">
        <v>271.911</v>
      </c>
      <c r="D1902">
        <f t="shared" si="15"/>
        <v>125.946</v>
      </c>
      <c r="E1902">
        <v>230.85599999999999</v>
      </c>
      <c r="F1902">
        <v>172.63300000000001</v>
      </c>
      <c r="G1902">
        <v>287.88299999999998</v>
      </c>
      <c r="H1902">
        <v>213.774</v>
      </c>
      <c r="I1902">
        <v>266.53500000000003</v>
      </c>
      <c r="L1902">
        <v>125.946</v>
      </c>
    </row>
    <row r="1903" spans="1:12" x14ac:dyDescent="0.25">
      <c r="A1903" s="12">
        <v>44358</v>
      </c>
      <c r="B1903">
        <v>313.84800000000001</v>
      </c>
      <c r="C1903">
        <v>272.14499999999998</v>
      </c>
      <c r="D1903">
        <f t="shared" si="15"/>
        <v>126.044</v>
      </c>
      <c r="E1903">
        <v>231.13399999999999</v>
      </c>
      <c r="F1903">
        <v>172.65899999999999</v>
      </c>
      <c r="G1903">
        <v>288.18700000000001</v>
      </c>
      <c r="H1903">
        <v>213.99</v>
      </c>
      <c r="I1903">
        <v>266.65899999999999</v>
      </c>
      <c r="L1903">
        <v>126.044</v>
      </c>
    </row>
    <row r="1904" spans="1:12" x14ac:dyDescent="0.25">
      <c r="A1904" s="12">
        <v>44361</v>
      </c>
      <c r="B1904">
        <v>314.745</v>
      </c>
      <c r="C1904">
        <v>272.49099999999999</v>
      </c>
      <c r="D1904">
        <f t="shared" si="15"/>
        <v>126.473</v>
      </c>
      <c r="E1904">
        <v>231.917</v>
      </c>
      <c r="F1904">
        <v>173.02699999999999</v>
      </c>
      <c r="G1904">
        <v>288.36099999999999</v>
      </c>
      <c r="H1904">
        <v>214.06</v>
      </c>
      <c r="I1904">
        <v>267.654</v>
      </c>
      <c r="L1904">
        <v>126.473</v>
      </c>
    </row>
    <row r="1905" spans="1:12" x14ac:dyDescent="0.25">
      <c r="A1905" s="12">
        <v>44362</v>
      </c>
      <c r="B1905">
        <v>315.05700000000002</v>
      </c>
      <c r="C1905">
        <v>272.48500000000001</v>
      </c>
      <c r="D1905">
        <f t="shared" si="15"/>
        <v>126.75700000000001</v>
      </c>
      <c r="E1905">
        <v>231.91</v>
      </c>
      <c r="F1905">
        <v>172.84399999999999</v>
      </c>
      <c r="G1905">
        <v>289.34300000000002</v>
      </c>
      <c r="H1905">
        <v>214.23</v>
      </c>
      <c r="I1905">
        <v>267.37700000000001</v>
      </c>
      <c r="L1905">
        <v>126.75700000000001</v>
      </c>
    </row>
    <row r="1906" spans="1:12" x14ac:dyDescent="0.25">
      <c r="A1906" s="12">
        <v>44363</v>
      </c>
      <c r="B1906">
        <v>315.24299999999999</v>
      </c>
      <c r="C1906">
        <v>272.36099999999999</v>
      </c>
      <c r="D1906">
        <f t="shared" si="15"/>
        <v>126.76300000000001</v>
      </c>
      <c r="E1906">
        <v>231.71899999999999</v>
      </c>
      <c r="F1906">
        <v>172.577</v>
      </c>
      <c r="G1906">
        <v>289.51799999999997</v>
      </c>
      <c r="H1906">
        <v>214.066</v>
      </c>
      <c r="I1906">
        <v>267.255</v>
      </c>
      <c r="L1906">
        <v>126.76300000000001</v>
      </c>
    </row>
    <row r="1907" spans="1:12" x14ac:dyDescent="0.25">
      <c r="A1907" s="12">
        <v>44364</v>
      </c>
      <c r="B1907">
        <v>314.77600000000001</v>
      </c>
      <c r="C1907">
        <v>272.30200000000002</v>
      </c>
      <c r="D1907">
        <f t="shared" si="15"/>
        <v>126.718</v>
      </c>
      <c r="E1907">
        <v>231.696</v>
      </c>
      <c r="F1907">
        <v>172.65100000000001</v>
      </c>
      <c r="G1907">
        <v>289.38200000000001</v>
      </c>
      <c r="H1907">
        <v>213.84100000000001</v>
      </c>
      <c r="I1907">
        <v>267.34500000000003</v>
      </c>
      <c r="L1907">
        <v>126.718</v>
      </c>
    </row>
    <row r="1908" spans="1:12" x14ac:dyDescent="0.25">
      <c r="A1908" s="12">
        <v>44365</v>
      </c>
      <c r="B1908">
        <v>314.94299999999998</v>
      </c>
      <c r="C1908">
        <v>272.32400000000001</v>
      </c>
      <c r="D1908">
        <f t="shared" si="15"/>
        <v>126.94499999999999</v>
      </c>
      <c r="E1908">
        <v>232.35599999999999</v>
      </c>
      <c r="F1908">
        <v>172.83</v>
      </c>
      <c r="G1908">
        <v>289.51799999999997</v>
      </c>
      <c r="H1908">
        <v>213.851</v>
      </c>
      <c r="I1908">
        <v>267.875</v>
      </c>
      <c r="L1908">
        <v>126.94499999999999</v>
      </c>
    </row>
    <row r="1909" spans="1:12" x14ac:dyDescent="0.25">
      <c r="A1909" s="12">
        <v>44368</v>
      </c>
      <c r="B1909">
        <v>315.16699999999997</v>
      </c>
      <c r="C1909">
        <v>272.45499999999998</v>
      </c>
      <c r="D1909">
        <f t="shared" si="15"/>
        <v>127.259</v>
      </c>
      <c r="E1909">
        <v>231.90700000000001</v>
      </c>
      <c r="F1909">
        <v>173.06100000000001</v>
      </c>
      <c r="G1909">
        <v>289.76100000000002</v>
      </c>
      <c r="H1909">
        <v>213.77600000000001</v>
      </c>
      <c r="I1909">
        <v>267.47800000000001</v>
      </c>
      <c r="L1909">
        <v>127.259</v>
      </c>
    </row>
    <row r="1910" spans="1:12" x14ac:dyDescent="0.25">
      <c r="A1910" s="12">
        <v>44369</v>
      </c>
      <c r="B1910">
        <v>315.24099999999999</v>
      </c>
      <c r="C1910">
        <v>272.52</v>
      </c>
      <c r="D1910">
        <f t="shared" si="15"/>
        <v>127.095</v>
      </c>
      <c r="E1910">
        <v>231.97200000000001</v>
      </c>
      <c r="F1910">
        <v>172.82900000000001</v>
      </c>
      <c r="G1910">
        <v>288.887</v>
      </c>
      <c r="H1910">
        <v>213.827</v>
      </c>
      <c r="I1910">
        <v>267.39</v>
      </c>
      <c r="L1910">
        <v>127.095</v>
      </c>
    </row>
    <row r="1911" spans="1:12" x14ac:dyDescent="0.25">
      <c r="A1911" s="12">
        <v>44375</v>
      </c>
      <c r="B1911">
        <v>315.68700000000001</v>
      </c>
      <c r="C1911">
        <v>272.327</v>
      </c>
      <c r="D1911">
        <f t="shared" si="15"/>
        <v>127.27</v>
      </c>
      <c r="E1911">
        <v>232.23699999999999</v>
      </c>
      <c r="F1911">
        <v>172.679</v>
      </c>
      <c r="G1911">
        <v>288.86700000000002</v>
      </c>
      <c r="H1911">
        <v>213.61600000000001</v>
      </c>
      <c r="I1911">
        <v>267.88400000000001</v>
      </c>
      <c r="L1911">
        <v>127.27</v>
      </c>
    </row>
    <row r="1912" spans="1:12" x14ac:dyDescent="0.25">
      <c r="A1912" s="12">
        <v>44376</v>
      </c>
      <c r="B1912">
        <v>316.76600000000002</v>
      </c>
      <c r="C1912">
        <v>272.39400000000001</v>
      </c>
      <c r="D1912">
        <f t="shared" si="15"/>
        <v>127.761</v>
      </c>
      <c r="E1912">
        <v>233.02199999999999</v>
      </c>
      <c r="F1912">
        <v>172.69499999999999</v>
      </c>
      <c r="G1912">
        <v>290.13200000000001</v>
      </c>
      <c r="H1912">
        <v>213.67599999999999</v>
      </c>
      <c r="I1912">
        <v>268.69200000000001</v>
      </c>
      <c r="L1912">
        <v>127.761</v>
      </c>
    </row>
    <row r="1913" spans="1:12" x14ac:dyDescent="0.25">
      <c r="A1913" s="12">
        <v>44377</v>
      </c>
      <c r="B1913">
        <v>317.27999999999997</v>
      </c>
      <c r="C1913">
        <v>272.49</v>
      </c>
      <c r="D1913">
        <f t="shared" si="15"/>
        <v>128.12</v>
      </c>
      <c r="E1913">
        <v>233.32300000000001</v>
      </c>
      <c r="F1913">
        <v>172.73</v>
      </c>
      <c r="G1913">
        <v>290.01600000000002</v>
      </c>
      <c r="H1913">
        <v>213.79499999999999</v>
      </c>
      <c r="I1913">
        <v>268.97800000000001</v>
      </c>
      <c r="L1913">
        <v>128.12</v>
      </c>
    </row>
    <row r="1914" spans="1:12" x14ac:dyDescent="0.25">
      <c r="A1914" s="12">
        <v>44378</v>
      </c>
      <c r="B1914">
        <v>317.43</v>
      </c>
      <c r="C1914">
        <v>272.82499999999999</v>
      </c>
      <c r="D1914">
        <f t="shared" si="15"/>
        <v>128.17099999999999</v>
      </c>
      <c r="E1914">
        <v>233.405</v>
      </c>
      <c r="F1914">
        <v>172.995</v>
      </c>
      <c r="G1914">
        <v>290.49700000000001</v>
      </c>
      <c r="H1914">
        <v>213.774</v>
      </c>
      <c r="I1914">
        <v>269.59399999999999</v>
      </c>
      <c r="L1914">
        <v>128.17099999999999</v>
      </c>
    </row>
    <row r="1915" spans="1:12" x14ac:dyDescent="0.25">
      <c r="A1915" s="12">
        <v>44379</v>
      </c>
      <c r="B1915">
        <v>317.70800000000003</v>
      </c>
      <c r="C1915">
        <v>272.89</v>
      </c>
      <c r="D1915">
        <f t="shared" si="15"/>
        <v>128.453</v>
      </c>
      <c r="E1915">
        <v>233.68700000000001</v>
      </c>
      <c r="F1915">
        <v>172.964</v>
      </c>
      <c r="G1915">
        <v>290.34399999999999</v>
      </c>
      <c r="H1915">
        <v>213.941</v>
      </c>
      <c r="I1915">
        <v>269.77499999999998</v>
      </c>
      <c r="L1915">
        <v>128.453</v>
      </c>
    </row>
    <row r="1916" spans="1:12" x14ac:dyDescent="0.25">
      <c r="A1916" s="12">
        <v>44382</v>
      </c>
      <c r="B1916">
        <v>318.548</v>
      </c>
      <c r="C1916">
        <v>273.21199999999999</v>
      </c>
      <c r="D1916">
        <f t="shared" si="15"/>
        <v>128.74199999999999</v>
      </c>
      <c r="E1916">
        <v>234.15100000000001</v>
      </c>
      <c r="F1916">
        <v>173.11500000000001</v>
      </c>
      <c r="G1916">
        <v>290.67399999999998</v>
      </c>
      <c r="H1916">
        <v>213.85</v>
      </c>
      <c r="I1916">
        <v>270.46899999999999</v>
      </c>
      <c r="L1916">
        <v>128.74199999999999</v>
      </c>
    </row>
    <row r="1917" spans="1:12" x14ac:dyDescent="0.25">
      <c r="A1917" s="12">
        <v>44383</v>
      </c>
      <c r="B1917">
        <v>318.93599999999998</v>
      </c>
      <c r="C1917">
        <v>273.10199999999998</v>
      </c>
      <c r="D1917">
        <f t="shared" si="15"/>
        <v>129.19499999999999</v>
      </c>
      <c r="E1917">
        <v>234.244</v>
      </c>
      <c r="F1917">
        <v>173.04</v>
      </c>
      <c r="G1917">
        <v>291.27100000000002</v>
      </c>
      <c r="H1917">
        <v>214.00299999999999</v>
      </c>
      <c r="I1917">
        <v>270.66800000000001</v>
      </c>
      <c r="L1917">
        <v>129.19499999999999</v>
      </c>
    </row>
    <row r="1918" spans="1:12" x14ac:dyDescent="0.25">
      <c r="A1918" s="12">
        <v>44384</v>
      </c>
      <c r="B1918">
        <v>319.19200000000001</v>
      </c>
      <c r="C1918">
        <v>273.608</v>
      </c>
      <c r="D1918">
        <f t="shared" si="15"/>
        <v>129.23699999999999</v>
      </c>
      <c r="E1918">
        <v>234.36500000000001</v>
      </c>
      <c r="F1918">
        <v>173.29</v>
      </c>
      <c r="G1918">
        <v>291.43400000000003</v>
      </c>
      <c r="H1918">
        <v>213.95500000000001</v>
      </c>
      <c r="I1918">
        <v>270.60399999999998</v>
      </c>
      <c r="L1918">
        <v>129.23699999999999</v>
      </c>
    </row>
    <row r="1919" spans="1:12" x14ac:dyDescent="0.25">
      <c r="A1919" s="12">
        <v>44385</v>
      </c>
      <c r="B1919">
        <v>319.83199999999999</v>
      </c>
      <c r="C1919">
        <v>273.97500000000002</v>
      </c>
      <c r="D1919">
        <f t="shared" si="15"/>
        <v>129.61600000000001</v>
      </c>
      <c r="E1919">
        <v>235.03800000000001</v>
      </c>
      <c r="F1919">
        <v>173.62200000000001</v>
      </c>
      <c r="G1919">
        <v>291.42599999999999</v>
      </c>
      <c r="H1919">
        <v>214.04900000000001</v>
      </c>
      <c r="I1919">
        <v>271.447</v>
      </c>
      <c r="L1919">
        <v>129.61600000000001</v>
      </c>
    </row>
    <row r="1920" spans="1:12" x14ac:dyDescent="0.25">
      <c r="A1920" s="12">
        <v>44386</v>
      </c>
      <c r="B1920">
        <v>319.81400000000002</v>
      </c>
      <c r="C1920">
        <v>274.24599999999998</v>
      </c>
      <c r="D1920">
        <f t="shared" si="15"/>
        <v>129.50299999999999</v>
      </c>
      <c r="E1920">
        <v>233.685</v>
      </c>
      <c r="F1920">
        <v>173.54</v>
      </c>
      <c r="G1920">
        <v>292.23200000000003</v>
      </c>
      <c r="H1920">
        <v>214.20699999999999</v>
      </c>
      <c r="I1920">
        <v>269.80500000000001</v>
      </c>
      <c r="L1920">
        <v>129.50299999999999</v>
      </c>
    </row>
    <row r="1921" spans="1:12" x14ac:dyDescent="0.25">
      <c r="A1921" s="12">
        <v>44389</v>
      </c>
      <c r="B1921">
        <v>319.34699999999998</v>
      </c>
      <c r="C1921">
        <v>274.01900000000001</v>
      </c>
      <c r="D1921">
        <f t="shared" si="15"/>
        <v>129.19999999999999</v>
      </c>
      <c r="E1921">
        <v>234.197</v>
      </c>
      <c r="F1921">
        <v>173.41800000000001</v>
      </c>
      <c r="G1921">
        <v>290.572</v>
      </c>
      <c r="H1921">
        <v>214.1</v>
      </c>
      <c r="I1921">
        <v>270.52699999999999</v>
      </c>
      <c r="L1921">
        <v>129.19999999999999</v>
      </c>
    </row>
    <row r="1922" spans="1:12" x14ac:dyDescent="0.25">
      <c r="A1922" s="12">
        <v>44390</v>
      </c>
      <c r="B1922">
        <v>320</v>
      </c>
      <c r="C1922">
        <v>273.94400000000002</v>
      </c>
      <c r="D1922">
        <f t="shared" si="15"/>
        <v>129.56200000000001</v>
      </c>
      <c r="E1922">
        <v>234.864</v>
      </c>
      <c r="F1922">
        <v>173.44300000000001</v>
      </c>
      <c r="G1922">
        <v>291.33699999999999</v>
      </c>
      <c r="H1922">
        <v>214.10400000000001</v>
      </c>
      <c r="I1922">
        <v>271.18299999999999</v>
      </c>
      <c r="L1922">
        <v>129.56200000000001</v>
      </c>
    </row>
    <row r="1923" spans="1:12" x14ac:dyDescent="0.25">
      <c r="A1923" s="12">
        <v>44391</v>
      </c>
      <c r="B1923">
        <v>320.38</v>
      </c>
      <c r="C1923">
        <v>274.02999999999997</v>
      </c>
      <c r="D1923">
        <f t="shared" si="15"/>
        <v>129.935</v>
      </c>
      <c r="E1923">
        <v>235.26</v>
      </c>
      <c r="F1923">
        <v>173.54499999999999</v>
      </c>
      <c r="G1923">
        <v>292.291</v>
      </c>
      <c r="H1923">
        <v>214.14500000000001</v>
      </c>
      <c r="I1923">
        <v>271.73</v>
      </c>
      <c r="L1923">
        <v>129.935</v>
      </c>
    </row>
    <row r="1924" spans="1:12" x14ac:dyDescent="0.25">
      <c r="A1924" s="12">
        <v>44392</v>
      </c>
      <c r="B1924">
        <v>320.57600000000002</v>
      </c>
      <c r="C1924">
        <v>274.00799999999998</v>
      </c>
      <c r="D1924">
        <f t="shared" si="15"/>
        <v>129.953</v>
      </c>
      <c r="E1924">
        <v>235.27699999999999</v>
      </c>
      <c r="F1924">
        <v>173.63499999999999</v>
      </c>
      <c r="G1924">
        <v>292.71300000000002</v>
      </c>
      <c r="H1924">
        <v>214.14099999999999</v>
      </c>
      <c r="I1924">
        <v>271.43099999999998</v>
      </c>
      <c r="L1924">
        <v>129.953</v>
      </c>
    </row>
    <row r="1925" spans="1:12" x14ac:dyDescent="0.25">
      <c r="A1925" s="12">
        <v>44393</v>
      </c>
      <c r="B1925">
        <v>320.67500000000001</v>
      </c>
      <c r="C1925">
        <v>274.166</v>
      </c>
      <c r="D1925">
        <f t="shared" si="15"/>
        <v>129.94200000000001</v>
      </c>
      <c r="E1925">
        <v>235.12899999999999</v>
      </c>
      <c r="F1925">
        <v>173.822</v>
      </c>
      <c r="G1925">
        <v>292.73</v>
      </c>
      <c r="H1925">
        <v>214.29</v>
      </c>
      <c r="I1925">
        <v>271.346</v>
      </c>
      <c r="L1925">
        <v>129.94200000000001</v>
      </c>
    </row>
    <row r="1926" spans="1:12" x14ac:dyDescent="0.25">
      <c r="A1926" s="12">
        <v>44396</v>
      </c>
      <c r="B1926">
        <v>320.661</v>
      </c>
      <c r="C1926">
        <v>274.44200000000001</v>
      </c>
      <c r="D1926">
        <f t="shared" si="15"/>
        <v>129.786</v>
      </c>
      <c r="E1926">
        <v>234.857</v>
      </c>
      <c r="F1926">
        <v>173.934</v>
      </c>
      <c r="G1926">
        <v>292.22899999999998</v>
      </c>
      <c r="H1926">
        <v>214.37700000000001</v>
      </c>
      <c r="I1926">
        <v>271.13600000000002</v>
      </c>
      <c r="L1926">
        <v>129.786</v>
      </c>
    </row>
    <row r="1927" spans="1:12" x14ac:dyDescent="0.25">
      <c r="A1927" s="12">
        <v>44397</v>
      </c>
      <c r="B1927">
        <v>319.601</v>
      </c>
      <c r="C1927">
        <v>274.822</v>
      </c>
      <c r="D1927">
        <f t="shared" si="15"/>
        <v>129.13499999999999</v>
      </c>
      <c r="E1927">
        <v>233.309</v>
      </c>
      <c r="F1927">
        <v>174.04400000000001</v>
      </c>
      <c r="G1927">
        <v>291.95100000000002</v>
      </c>
      <c r="H1927">
        <v>214.45</v>
      </c>
      <c r="I1927">
        <v>269.64400000000001</v>
      </c>
      <c r="L1927">
        <v>129.13499999999999</v>
      </c>
    </row>
    <row r="1928" spans="1:12" x14ac:dyDescent="0.25">
      <c r="A1928" s="12">
        <v>44398</v>
      </c>
      <c r="B1928">
        <v>319.46199999999999</v>
      </c>
      <c r="C1928">
        <v>275.04000000000002</v>
      </c>
      <c r="D1928">
        <f t="shared" si="15"/>
        <v>128.988</v>
      </c>
      <c r="E1928">
        <v>233.98</v>
      </c>
      <c r="F1928">
        <v>174.209</v>
      </c>
      <c r="G1928">
        <v>289.72500000000002</v>
      </c>
      <c r="H1928">
        <v>214.37200000000001</v>
      </c>
      <c r="I1928">
        <v>270.73</v>
      </c>
      <c r="L1928">
        <v>128.988</v>
      </c>
    </row>
    <row r="1929" spans="1:12" x14ac:dyDescent="0.25">
      <c r="A1929" s="12">
        <v>44399</v>
      </c>
      <c r="B1929">
        <v>320.28500000000003</v>
      </c>
      <c r="C1929">
        <v>274.87799999999999</v>
      </c>
      <c r="D1929">
        <f t="shared" si="15"/>
        <v>129.749</v>
      </c>
      <c r="E1929">
        <v>234.82</v>
      </c>
      <c r="F1929">
        <v>174.03399999999999</v>
      </c>
      <c r="G1929">
        <v>290.04599999999999</v>
      </c>
      <c r="H1929">
        <v>214.52</v>
      </c>
      <c r="I1929">
        <v>271.47899999999998</v>
      </c>
      <c r="L1929">
        <v>129.749</v>
      </c>
    </row>
    <row r="1930" spans="1:12" x14ac:dyDescent="0.25">
      <c r="A1930" s="12">
        <v>44400</v>
      </c>
      <c r="B1930">
        <v>320.96499999999997</v>
      </c>
      <c r="C1930">
        <v>274.87400000000002</v>
      </c>
      <c r="D1930">
        <f t="shared" si="15"/>
        <v>130</v>
      </c>
      <c r="E1930">
        <v>235.51900000000001</v>
      </c>
      <c r="F1930">
        <v>174.221</v>
      </c>
      <c r="G1930">
        <v>291.64400000000001</v>
      </c>
      <c r="H1930">
        <v>214.45500000000001</v>
      </c>
      <c r="I1930">
        <v>272.13099999999997</v>
      </c>
      <c r="L1930">
        <v>130</v>
      </c>
    </row>
    <row r="1931" spans="1:12" x14ac:dyDescent="0.25">
      <c r="A1931" s="12">
        <v>44403</v>
      </c>
      <c r="B1931">
        <v>321.666</v>
      </c>
      <c r="C1931">
        <v>274.923</v>
      </c>
      <c r="D1931">
        <f t="shared" si="15"/>
        <v>130.50200000000001</v>
      </c>
      <c r="E1931">
        <v>236.25299999999999</v>
      </c>
      <c r="F1931">
        <v>174.33</v>
      </c>
      <c r="G1931">
        <v>292.661</v>
      </c>
      <c r="H1931">
        <v>214.63800000000001</v>
      </c>
      <c r="I1931">
        <v>273.029</v>
      </c>
      <c r="L1931">
        <v>130.50200000000001</v>
      </c>
    </row>
    <row r="1932" spans="1:12" x14ac:dyDescent="0.25">
      <c r="A1932" s="12">
        <v>44404</v>
      </c>
      <c r="B1932">
        <v>322.38499999999999</v>
      </c>
      <c r="C1932">
        <v>274.971</v>
      </c>
      <c r="D1932">
        <f t="shared" si="15"/>
        <v>130.87700000000001</v>
      </c>
      <c r="E1932">
        <v>235.84200000000001</v>
      </c>
      <c r="F1932">
        <v>174.18</v>
      </c>
      <c r="G1932">
        <v>293.68799999999999</v>
      </c>
      <c r="H1932">
        <v>214.67</v>
      </c>
      <c r="I1932">
        <v>272.81299999999999</v>
      </c>
      <c r="L1932">
        <v>130.87700000000001</v>
      </c>
    </row>
    <row r="1933" spans="1:12" x14ac:dyDescent="0.25">
      <c r="A1933" s="12">
        <v>44405</v>
      </c>
      <c r="B1933">
        <v>321.87</v>
      </c>
      <c r="C1933">
        <v>275.05599999999998</v>
      </c>
      <c r="D1933">
        <f t="shared" si="15"/>
        <v>130.697</v>
      </c>
      <c r="E1933">
        <v>235.06</v>
      </c>
      <c r="F1933">
        <v>174.096</v>
      </c>
      <c r="G1933">
        <v>293.57100000000003</v>
      </c>
      <c r="H1933">
        <v>214.62299999999999</v>
      </c>
      <c r="I1933">
        <v>272.12700000000001</v>
      </c>
      <c r="L1933">
        <v>130.697</v>
      </c>
    </row>
    <row r="1934" spans="1:12" x14ac:dyDescent="0.25">
      <c r="A1934" s="12">
        <v>44406</v>
      </c>
      <c r="B1934">
        <v>321.55399999999997</v>
      </c>
      <c r="C1934">
        <v>275.108</v>
      </c>
      <c r="D1934">
        <f t="shared" si="15"/>
        <v>130.70400000000001</v>
      </c>
      <c r="E1934">
        <v>235.48500000000001</v>
      </c>
      <c r="F1934">
        <v>174.08799999999999</v>
      </c>
      <c r="G1934">
        <v>292.76299999999998</v>
      </c>
      <c r="H1934">
        <v>214.64099999999999</v>
      </c>
      <c r="I1934">
        <v>272.51600000000002</v>
      </c>
      <c r="L1934">
        <v>130.70400000000001</v>
      </c>
    </row>
    <row r="1935" spans="1:12" x14ac:dyDescent="0.25">
      <c r="A1935" s="12">
        <v>44407</v>
      </c>
      <c r="B1935">
        <v>321.62099999999998</v>
      </c>
      <c r="C1935">
        <v>274.99900000000002</v>
      </c>
      <c r="D1935">
        <f t="shared" si="15"/>
        <v>130.69800000000001</v>
      </c>
      <c r="E1935">
        <v>235.94200000000001</v>
      </c>
      <c r="F1935">
        <v>174.11699999999999</v>
      </c>
      <c r="G1935">
        <v>293.09899999999999</v>
      </c>
      <c r="H1935">
        <v>214.68600000000001</v>
      </c>
      <c r="I1935">
        <v>272.779</v>
      </c>
      <c r="L1935">
        <v>130.69800000000001</v>
      </c>
    </row>
    <row r="1936" spans="1:12" x14ac:dyDescent="0.25">
      <c r="A1936" s="12">
        <v>44410</v>
      </c>
      <c r="B1936">
        <v>321.74200000000002</v>
      </c>
      <c r="C1936">
        <v>275.03100000000001</v>
      </c>
      <c r="D1936">
        <f t="shared" si="15"/>
        <v>130.55600000000001</v>
      </c>
      <c r="E1936">
        <v>235.58199999999999</v>
      </c>
      <c r="F1936">
        <v>174.251</v>
      </c>
      <c r="G1936">
        <v>293.755</v>
      </c>
      <c r="H1936">
        <v>214.80099999999999</v>
      </c>
      <c r="I1936">
        <v>272.51400000000001</v>
      </c>
      <c r="L1936">
        <v>130.55600000000001</v>
      </c>
    </row>
    <row r="1937" spans="1:12" x14ac:dyDescent="0.25">
      <c r="A1937" s="12">
        <v>44411</v>
      </c>
      <c r="B1937">
        <v>321.62200000000001</v>
      </c>
      <c r="C1937">
        <v>275.30700000000002</v>
      </c>
      <c r="D1937">
        <f t="shared" si="15"/>
        <v>130.53</v>
      </c>
      <c r="E1937">
        <v>236.00299999999999</v>
      </c>
      <c r="F1937">
        <v>174.44800000000001</v>
      </c>
      <c r="G1937">
        <v>293.41699999999997</v>
      </c>
      <c r="H1937">
        <v>214.79900000000001</v>
      </c>
      <c r="I1937">
        <v>273.29300000000001</v>
      </c>
      <c r="L1937">
        <v>130.53</v>
      </c>
    </row>
    <row r="1938" spans="1:12" x14ac:dyDescent="0.25">
      <c r="A1938" s="12">
        <v>44412</v>
      </c>
      <c r="B1938">
        <v>321.96800000000002</v>
      </c>
      <c r="C1938">
        <v>275.517</v>
      </c>
      <c r="D1938">
        <f t="shared" si="15"/>
        <v>130.66399999999999</v>
      </c>
      <c r="E1938">
        <v>236.27</v>
      </c>
      <c r="F1938">
        <v>174.54900000000001</v>
      </c>
      <c r="G1938">
        <v>293.94</v>
      </c>
      <c r="H1938">
        <v>214.952</v>
      </c>
      <c r="I1938">
        <v>273.267</v>
      </c>
      <c r="L1938">
        <v>130.66399999999999</v>
      </c>
    </row>
    <row r="1939" spans="1:12" x14ac:dyDescent="0.25">
      <c r="A1939" s="12">
        <v>44413</v>
      </c>
      <c r="B1939">
        <v>322.66000000000003</v>
      </c>
      <c r="C1939">
        <v>275.57299999999998</v>
      </c>
      <c r="D1939">
        <f t="shared" ref="D1939:D2002" si="16">IF(L1939&gt;1,L1939,L1939*100)</f>
        <v>131.096</v>
      </c>
      <c r="E1939">
        <v>236.77199999999999</v>
      </c>
      <c r="F1939">
        <v>174.66300000000001</v>
      </c>
      <c r="G1939">
        <v>294.28500000000003</v>
      </c>
      <c r="H1939">
        <v>214.946</v>
      </c>
      <c r="I1939">
        <v>273.95400000000001</v>
      </c>
      <c r="L1939">
        <v>131.096</v>
      </c>
    </row>
    <row r="1940" spans="1:12" x14ac:dyDescent="0.25">
      <c r="A1940" s="12">
        <v>44414</v>
      </c>
      <c r="B1940">
        <v>322.57100000000003</v>
      </c>
      <c r="C1940">
        <v>275.70299999999997</v>
      </c>
      <c r="D1940">
        <f t="shared" si="16"/>
        <v>131.14500000000001</v>
      </c>
      <c r="E1940">
        <v>237.018</v>
      </c>
      <c r="F1940">
        <v>174.68700000000001</v>
      </c>
      <c r="G1940">
        <v>295.16699999999997</v>
      </c>
      <c r="H1940">
        <v>215.03700000000001</v>
      </c>
      <c r="I1940">
        <v>274.46800000000002</v>
      </c>
      <c r="L1940">
        <v>131.14500000000001</v>
      </c>
    </row>
    <row r="1941" spans="1:12" x14ac:dyDescent="0.25">
      <c r="A1941" s="12">
        <v>44417</v>
      </c>
      <c r="B1941">
        <v>322.73399999999998</v>
      </c>
      <c r="C1941">
        <v>275.334</v>
      </c>
      <c r="D1941">
        <f t="shared" si="16"/>
        <v>131.53399999999999</v>
      </c>
      <c r="E1941">
        <v>237.17599999999999</v>
      </c>
      <c r="F1941">
        <v>174.53899999999999</v>
      </c>
      <c r="G1941">
        <v>295.63900000000001</v>
      </c>
      <c r="H1941">
        <v>215.078</v>
      </c>
      <c r="I1941">
        <v>275.08800000000002</v>
      </c>
      <c r="L1941">
        <v>131.53399999999999</v>
      </c>
    </row>
    <row r="1942" spans="1:12" x14ac:dyDescent="0.25">
      <c r="A1942" s="12">
        <v>44418</v>
      </c>
      <c r="B1942">
        <v>322.76100000000002</v>
      </c>
      <c r="C1942">
        <v>275.017</v>
      </c>
      <c r="D1942">
        <f t="shared" si="16"/>
        <v>131.68899999999999</v>
      </c>
      <c r="E1942">
        <v>237.352</v>
      </c>
      <c r="F1942">
        <v>174.45500000000001</v>
      </c>
      <c r="G1942">
        <v>295.577</v>
      </c>
      <c r="H1942">
        <v>214.76</v>
      </c>
      <c r="I1942">
        <v>275.315</v>
      </c>
      <c r="L1942">
        <v>131.68899999999999</v>
      </c>
    </row>
    <row r="1943" spans="1:12" x14ac:dyDescent="0.25">
      <c r="A1943" s="12">
        <v>44419</v>
      </c>
      <c r="B1943">
        <v>322.57</v>
      </c>
      <c r="C1943">
        <v>274.83100000000002</v>
      </c>
      <c r="D1943">
        <f t="shared" si="16"/>
        <v>131.86500000000001</v>
      </c>
      <c r="E1943">
        <v>237.72200000000001</v>
      </c>
      <c r="F1943">
        <v>174.45500000000001</v>
      </c>
      <c r="G1943">
        <v>295.738</v>
      </c>
      <c r="H1943">
        <v>214.62899999999999</v>
      </c>
      <c r="I1943">
        <v>275.83999999999997</v>
      </c>
      <c r="L1943">
        <v>131.86500000000001</v>
      </c>
    </row>
    <row r="1944" spans="1:12" x14ac:dyDescent="0.25">
      <c r="A1944" s="12">
        <v>44420</v>
      </c>
      <c r="B1944">
        <v>322.68700000000001</v>
      </c>
      <c r="C1944">
        <v>274.63900000000001</v>
      </c>
      <c r="D1944">
        <f t="shared" si="16"/>
        <v>131.98699999999999</v>
      </c>
      <c r="E1944">
        <v>237.79599999999999</v>
      </c>
      <c r="F1944">
        <v>174.30099999999999</v>
      </c>
      <c r="G1944">
        <v>296.12599999999998</v>
      </c>
      <c r="H1944">
        <v>214.655</v>
      </c>
      <c r="I1944">
        <v>275.84100000000001</v>
      </c>
      <c r="L1944">
        <v>131.98699999999999</v>
      </c>
    </row>
    <row r="1945" spans="1:12" x14ac:dyDescent="0.25">
      <c r="A1945" s="12">
        <v>44421</v>
      </c>
      <c r="B1945">
        <v>322.79599999999999</v>
      </c>
      <c r="C1945">
        <v>274.52600000000001</v>
      </c>
      <c r="D1945">
        <f t="shared" si="16"/>
        <v>132.05099999999999</v>
      </c>
      <c r="E1945">
        <v>237.92</v>
      </c>
      <c r="F1945">
        <v>174.40799999999999</v>
      </c>
      <c r="G1945">
        <v>296.33600000000001</v>
      </c>
      <c r="H1945">
        <v>214.631</v>
      </c>
      <c r="I1945">
        <v>276.06799999999998</v>
      </c>
      <c r="L1945">
        <v>132.05099999999999</v>
      </c>
    </row>
    <row r="1946" spans="1:12" x14ac:dyDescent="0.25">
      <c r="A1946" s="12">
        <v>44424</v>
      </c>
      <c r="B1946">
        <v>323.26400000000001</v>
      </c>
      <c r="C1946">
        <v>274.596</v>
      </c>
      <c r="D1946">
        <f t="shared" si="16"/>
        <v>132.19800000000001</v>
      </c>
      <c r="E1946">
        <v>237.74799999999999</v>
      </c>
      <c r="F1946">
        <v>174.44200000000001</v>
      </c>
      <c r="G1946">
        <v>296.49799999999999</v>
      </c>
      <c r="H1946">
        <v>214.67500000000001</v>
      </c>
      <c r="I1946">
        <v>276.00099999999998</v>
      </c>
      <c r="L1946">
        <v>132.19800000000001</v>
      </c>
    </row>
    <row r="1947" spans="1:12" x14ac:dyDescent="0.25">
      <c r="A1947" s="12">
        <v>44425</v>
      </c>
      <c r="B1947">
        <v>323.887</v>
      </c>
      <c r="C1947">
        <v>274.976</v>
      </c>
      <c r="D1947">
        <f t="shared" si="16"/>
        <v>131.99799999999999</v>
      </c>
      <c r="E1947">
        <v>237.58500000000001</v>
      </c>
      <c r="F1947">
        <v>174.54900000000001</v>
      </c>
      <c r="G1947">
        <v>296.84300000000002</v>
      </c>
      <c r="H1947">
        <v>214.72200000000001</v>
      </c>
      <c r="I1947">
        <v>275.77600000000001</v>
      </c>
      <c r="L1947">
        <v>131.99799999999999</v>
      </c>
    </row>
    <row r="1948" spans="1:12" x14ac:dyDescent="0.25">
      <c r="A1948" s="12">
        <v>44426</v>
      </c>
      <c r="B1948">
        <v>323.93400000000003</v>
      </c>
      <c r="C1948">
        <v>275.13600000000002</v>
      </c>
      <c r="D1948">
        <f t="shared" si="16"/>
        <v>132.083</v>
      </c>
      <c r="E1948">
        <v>237.43199999999999</v>
      </c>
      <c r="F1948">
        <v>174.59399999999999</v>
      </c>
      <c r="G1948">
        <v>296.42399999999998</v>
      </c>
      <c r="H1948">
        <v>214.79900000000001</v>
      </c>
      <c r="I1948">
        <v>275.80200000000002</v>
      </c>
      <c r="L1948">
        <v>132.083</v>
      </c>
    </row>
    <row r="1949" spans="1:12" x14ac:dyDescent="0.25">
      <c r="A1949" s="12">
        <v>44427</v>
      </c>
      <c r="B1949">
        <v>323.72899999999998</v>
      </c>
      <c r="C1949">
        <v>275.14</v>
      </c>
      <c r="D1949">
        <f t="shared" si="16"/>
        <v>132.12200000000001</v>
      </c>
      <c r="E1949">
        <v>237.46700000000001</v>
      </c>
      <c r="F1949">
        <v>174.68799999999999</v>
      </c>
      <c r="G1949">
        <v>296.43299999999999</v>
      </c>
      <c r="H1949">
        <v>214.79</v>
      </c>
      <c r="I1949">
        <v>276.15499999999997</v>
      </c>
      <c r="L1949">
        <v>132.12200000000001</v>
      </c>
    </row>
    <row r="1950" spans="1:12" x14ac:dyDescent="0.25">
      <c r="A1950" s="12">
        <v>44428</v>
      </c>
      <c r="B1950">
        <v>323.00900000000001</v>
      </c>
      <c r="C1950">
        <v>275.25900000000001</v>
      </c>
      <c r="D1950">
        <f t="shared" si="16"/>
        <v>131.58199999999999</v>
      </c>
      <c r="E1950">
        <v>236.71899999999999</v>
      </c>
      <c r="F1950">
        <v>174.708</v>
      </c>
      <c r="G1950">
        <v>296.47500000000002</v>
      </c>
      <c r="H1950">
        <v>214.80699999999999</v>
      </c>
      <c r="I1950">
        <v>275.108</v>
      </c>
      <c r="L1950">
        <v>131.58199999999999</v>
      </c>
    </row>
    <row r="1951" spans="1:12" x14ac:dyDescent="0.25">
      <c r="A1951" s="12">
        <v>44431</v>
      </c>
      <c r="B1951">
        <v>323.25700000000001</v>
      </c>
      <c r="C1951">
        <v>275.32</v>
      </c>
      <c r="D1951">
        <f t="shared" si="16"/>
        <v>131.75399999999999</v>
      </c>
      <c r="E1951">
        <v>237.02699999999999</v>
      </c>
      <c r="F1951">
        <v>174.80699999999999</v>
      </c>
      <c r="G1951">
        <v>294.71499999999997</v>
      </c>
      <c r="H1951">
        <v>214.69499999999999</v>
      </c>
      <c r="I1951">
        <v>275.77199999999999</v>
      </c>
      <c r="L1951">
        <v>131.75399999999999</v>
      </c>
    </row>
    <row r="1952" spans="1:12" x14ac:dyDescent="0.25">
      <c r="A1952" s="12">
        <v>44432</v>
      </c>
      <c r="B1952">
        <v>323.70299999999997</v>
      </c>
      <c r="C1952">
        <v>275.23200000000003</v>
      </c>
      <c r="D1952">
        <f t="shared" si="16"/>
        <v>132.102</v>
      </c>
      <c r="E1952">
        <v>237.6</v>
      </c>
      <c r="F1952">
        <v>174.71</v>
      </c>
      <c r="G1952">
        <v>295.29599999999999</v>
      </c>
      <c r="H1952">
        <v>214.721</v>
      </c>
      <c r="I1952">
        <v>276.47699999999998</v>
      </c>
      <c r="L1952">
        <v>132.102</v>
      </c>
    </row>
    <row r="1953" spans="1:12" x14ac:dyDescent="0.25">
      <c r="A1953" s="12">
        <v>44433</v>
      </c>
      <c r="B1953">
        <v>324.01499999999999</v>
      </c>
      <c r="C1953">
        <v>275.18299999999999</v>
      </c>
      <c r="D1953">
        <f t="shared" si="16"/>
        <v>132.262</v>
      </c>
      <c r="E1953">
        <v>238.08</v>
      </c>
      <c r="F1953">
        <v>174.77</v>
      </c>
      <c r="G1953">
        <v>296.11</v>
      </c>
      <c r="H1953">
        <v>214.73500000000001</v>
      </c>
      <c r="I1953">
        <v>276.80200000000002</v>
      </c>
      <c r="L1953">
        <v>132.262</v>
      </c>
    </row>
    <row r="1954" spans="1:12" x14ac:dyDescent="0.25">
      <c r="A1954" s="12">
        <v>44434</v>
      </c>
      <c r="B1954">
        <v>324.41699999999997</v>
      </c>
      <c r="C1954">
        <v>275.01299999999998</v>
      </c>
      <c r="D1954">
        <f t="shared" si="16"/>
        <v>132.23699999999999</v>
      </c>
      <c r="E1954">
        <v>237.93600000000001</v>
      </c>
      <c r="F1954">
        <v>174.55199999999999</v>
      </c>
      <c r="G1954">
        <v>296.75200000000001</v>
      </c>
      <c r="H1954">
        <v>214.869</v>
      </c>
      <c r="I1954">
        <v>276.86200000000002</v>
      </c>
      <c r="L1954">
        <v>132.23699999999999</v>
      </c>
    </row>
    <row r="1955" spans="1:12" x14ac:dyDescent="0.25">
      <c r="A1955" s="12">
        <v>44435</v>
      </c>
      <c r="B1955">
        <v>324.29899999999998</v>
      </c>
      <c r="C1955">
        <v>274.85599999999999</v>
      </c>
      <c r="D1955">
        <f t="shared" si="16"/>
        <v>132.06200000000001</v>
      </c>
      <c r="E1955">
        <v>237.44200000000001</v>
      </c>
      <c r="F1955">
        <v>174.39</v>
      </c>
      <c r="G1955">
        <v>296.71100000000001</v>
      </c>
      <c r="H1955">
        <v>214.71</v>
      </c>
      <c r="I1955">
        <v>276.28699999999998</v>
      </c>
      <c r="L1955">
        <v>132.06200000000001</v>
      </c>
    </row>
    <row r="1956" spans="1:12" x14ac:dyDescent="0.25">
      <c r="A1956" s="12">
        <v>44438</v>
      </c>
      <c r="B1956">
        <v>324.24</v>
      </c>
      <c r="C1956">
        <v>274.83300000000003</v>
      </c>
      <c r="D1956">
        <f t="shared" si="16"/>
        <v>131.86600000000001</v>
      </c>
      <c r="E1956">
        <v>237.761</v>
      </c>
      <c r="F1956">
        <v>174.51</v>
      </c>
      <c r="G1956">
        <v>296.36399999999998</v>
      </c>
      <c r="H1956">
        <v>214.655</v>
      </c>
      <c r="I1956">
        <v>276.45</v>
      </c>
      <c r="L1956">
        <v>131.86600000000001</v>
      </c>
    </row>
    <row r="1957" spans="1:12" x14ac:dyDescent="0.25">
      <c r="A1957" s="12">
        <v>44439</v>
      </c>
      <c r="B1957">
        <v>325.10300000000001</v>
      </c>
      <c r="C1957">
        <v>275.089</v>
      </c>
      <c r="D1957">
        <f t="shared" si="16"/>
        <v>132</v>
      </c>
      <c r="E1957">
        <v>238.10900000000001</v>
      </c>
      <c r="F1957">
        <v>174.648</v>
      </c>
      <c r="G1957">
        <v>296.71899999999999</v>
      </c>
      <c r="H1957">
        <v>214.82499999999999</v>
      </c>
      <c r="I1957">
        <v>277.02100000000002</v>
      </c>
      <c r="L1957">
        <v>132</v>
      </c>
    </row>
    <row r="1958" spans="1:12" x14ac:dyDescent="0.25">
      <c r="A1958" s="12">
        <v>44440</v>
      </c>
      <c r="B1958">
        <v>324.96899999999999</v>
      </c>
      <c r="C1958">
        <v>274.96899999999999</v>
      </c>
      <c r="D1958">
        <f t="shared" si="16"/>
        <v>132.06399999999999</v>
      </c>
      <c r="E1958">
        <v>238.10599999999999</v>
      </c>
      <c r="F1958">
        <v>174.614</v>
      </c>
      <c r="G1958">
        <v>297.11</v>
      </c>
      <c r="H1958">
        <v>214.922</v>
      </c>
      <c r="I1958">
        <v>276.79199999999997</v>
      </c>
      <c r="L1958">
        <v>132.06399999999999</v>
      </c>
    </row>
    <row r="1959" spans="1:12" x14ac:dyDescent="0.25">
      <c r="A1959" s="12">
        <v>44441</v>
      </c>
      <c r="B1959">
        <v>325.13900000000001</v>
      </c>
      <c r="C1959">
        <v>275.02300000000002</v>
      </c>
      <c r="D1959">
        <f t="shared" si="16"/>
        <v>132.01499999999999</v>
      </c>
      <c r="E1959">
        <v>238.298</v>
      </c>
      <c r="F1959">
        <v>174.59399999999999</v>
      </c>
      <c r="G1959">
        <v>297.26</v>
      </c>
      <c r="H1959">
        <v>215.041</v>
      </c>
      <c r="I1959">
        <v>276.78699999999998</v>
      </c>
      <c r="L1959">
        <v>132.01499999999999</v>
      </c>
    </row>
    <row r="1960" spans="1:12" x14ac:dyDescent="0.25">
      <c r="A1960" s="12">
        <v>44442</v>
      </c>
      <c r="B1960">
        <v>325.00200000000001</v>
      </c>
      <c r="C1960">
        <v>275.06900000000002</v>
      </c>
      <c r="D1960">
        <f t="shared" si="16"/>
        <v>131.94300000000001</v>
      </c>
      <c r="E1960">
        <v>238.44</v>
      </c>
      <c r="F1960">
        <v>174.68199999999999</v>
      </c>
      <c r="G1960">
        <v>297.48700000000002</v>
      </c>
      <c r="H1960">
        <v>214.971</v>
      </c>
      <c r="I1960">
        <v>277.137</v>
      </c>
      <c r="L1960">
        <v>131.94300000000001</v>
      </c>
    </row>
    <row r="1961" spans="1:12" x14ac:dyDescent="0.25">
      <c r="A1961" s="12">
        <v>44445</v>
      </c>
      <c r="B1961">
        <v>325.08699999999999</v>
      </c>
      <c r="C1961">
        <v>274.97800000000001</v>
      </c>
      <c r="D1961">
        <f t="shared" si="16"/>
        <v>131.91900000000001</v>
      </c>
      <c r="E1961">
        <v>238.19</v>
      </c>
      <c r="F1961">
        <v>174.55099999999999</v>
      </c>
      <c r="G1961">
        <v>297.85899999999998</v>
      </c>
      <c r="H1961">
        <v>214.99</v>
      </c>
      <c r="I1961">
        <v>276.80700000000002</v>
      </c>
      <c r="L1961">
        <v>131.91900000000001</v>
      </c>
    </row>
    <row r="1962" spans="1:12" x14ac:dyDescent="0.25">
      <c r="A1962" s="12">
        <v>44446</v>
      </c>
      <c r="B1962">
        <v>325.15899999999999</v>
      </c>
      <c r="C1962">
        <v>274.928</v>
      </c>
      <c r="D1962">
        <f t="shared" si="16"/>
        <v>131.958</v>
      </c>
      <c r="E1962">
        <v>238.7</v>
      </c>
      <c r="F1962">
        <v>174.61099999999999</v>
      </c>
      <c r="G1962">
        <v>297.476</v>
      </c>
      <c r="H1962">
        <v>214.94499999999999</v>
      </c>
      <c r="I1962">
        <v>277.423</v>
      </c>
      <c r="L1962">
        <v>131.958</v>
      </c>
    </row>
    <row r="1963" spans="1:12" x14ac:dyDescent="0.25">
      <c r="A1963" s="12">
        <v>44447</v>
      </c>
      <c r="B1963">
        <v>324.8</v>
      </c>
      <c r="C1963">
        <v>274.56599999999997</v>
      </c>
      <c r="D1963">
        <f t="shared" si="16"/>
        <v>131.94900000000001</v>
      </c>
      <c r="E1963">
        <v>238.23400000000001</v>
      </c>
      <c r="F1963">
        <v>174.35300000000001</v>
      </c>
      <c r="G1963">
        <v>298.10000000000002</v>
      </c>
      <c r="H1963">
        <v>214.929</v>
      </c>
      <c r="I1963">
        <v>276.63200000000001</v>
      </c>
      <c r="L1963">
        <v>131.94900000000001</v>
      </c>
    </row>
    <row r="1964" spans="1:12" x14ac:dyDescent="0.25">
      <c r="A1964" s="12">
        <v>44448</v>
      </c>
      <c r="B1964">
        <v>324.411</v>
      </c>
      <c r="C1964">
        <v>274.52199999999999</v>
      </c>
      <c r="D1964">
        <f t="shared" si="16"/>
        <v>131.81</v>
      </c>
      <c r="E1964">
        <v>237.88399999999999</v>
      </c>
      <c r="F1964">
        <v>174.37299999999999</v>
      </c>
      <c r="G1964">
        <v>297.47199999999998</v>
      </c>
      <c r="H1964">
        <v>214.71100000000001</v>
      </c>
      <c r="I1964">
        <v>276.15899999999999</v>
      </c>
      <c r="L1964">
        <v>131.81</v>
      </c>
    </row>
    <row r="1965" spans="1:12" x14ac:dyDescent="0.25">
      <c r="A1965" s="12">
        <v>44449</v>
      </c>
      <c r="B1965">
        <v>324.43099999999998</v>
      </c>
      <c r="C1965">
        <v>274.84100000000001</v>
      </c>
      <c r="D1965">
        <f t="shared" si="16"/>
        <v>131.94</v>
      </c>
      <c r="E1965">
        <v>237.88</v>
      </c>
      <c r="F1965">
        <v>174.59299999999999</v>
      </c>
      <c r="G1965">
        <v>296.69499999999999</v>
      </c>
      <c r="H1965">
        <v>214.65899999999999</v>
      </c>
      <c r="I1965">
        <v>276.56799999999998</v>
      </c>
      <c r="L1965">
        <v>131.94</v>
      </c>
    </row>
    <row r="1966" spans="1:12" x14ac:dyDescent="0.25">
      <c r="A1966" s="12">
        <v>44452</v>
      </c>
      <c r="B1966">
        <v>324.23399999999998</v>
      </c>
      <c r="C1966">
        <v>274.839</v>
      </c>
      <c r="D1966">
        <f t="shared" si="16"/>
        <v>131.76900000000001</v>
      </c>
      <c r="E1966">
        <v>237.572</v>
      </c>
      <c r="F1966">
        <v>174.51</v>
      </c>
      <c r="G1966">
        <v>296.58100000000002</v>
      </c>
      <c r="H1966">
        <v>214.779</v>
      </c>
      <c r="I1966">
        <v>276.10000000000002</v>
      </c>
      <c r="L1966">
        <v>131.76900000000001</v>
      </c>
    </row>
    <row r="1967" spans="1:12" x14ac:dyDescent="0.25">
      <c r="A1967" s="12">
        <v>44453</v>
      </c>
      <c r="B1967">
        <v>323.827</v>
      </c>
      <c r="C1967">
        <v>275.00900000000001</v>
      </c>
      <c r="D1967">
        <f t="shared" si="16"/>
        <v>131.44499999999999</v>
      </c>
      <c r="E1967">
        <v>237.6</v>
      </c>
      <c r="F1967">
        <v>174.63300000000001</v>
      </c>
      <c r="G1967">
        <v>296.36399999999998</v>
      </c>
      <c r="H1967">
        <v>214.76</v>
      </c>
      <c r="I1967">
        <v>275.97500000000002</v>
      </c>
      <c r="L1967">
        <v>131.44499999999999</v>
      </c>
    </row>
    <row r="1968" spans="1:12" x14ac:dyDescent="0.25">
      <c r="A1968" s="12">
        <v>44454</v>
      </c>
      <c r="B1968">
        <v>324.125</v>
      </c>
      <c r="C1968">
        <v>275.15899999999999</v>
      </c>
      <c r="D1968">
        <f t="shared" si="16"/>
        <v>131.589</v>
      </c>
      <c r="E1968">
        <v>237.62</v>
      </c>
      <c r="F1968">
        <v>174.76499999999999</v>
      </c>
      <c r="G1968">
        <v>296.471</v>
      </c>
      <c r="H1968">
        <v>214.77199999999999</v>
      </c>
      <c r="I1968">
        <v>275.964</v>
      </c>
      <c r="L1968">
        <v>131.589</v>
      </c>
    </row>
    <row r="1969" spans="1:12" x14ac:dyDescent="0.25">
      <c r="A1969" s="12">
        <v>44455</v>
      </c>
      <c r="B1969">
        <v>323.90699999999998</v>
      </c>
      <c r="C1969">
        <v>275.15100000000001</v>
      </c>
      <c r="D1969">
        <f t="shared" si="16"/>
        <v>131.36000000000001</v>
      </c>
      <c r="E1969">
        <v>237.161</v>
      </c>
      <c r="F1969">
        <v>174.64599999999999</v>
      </c>
      <c r="G1969">
        <v>296.46899999999999</v>
      </c>
      <c r="H1969">
        <v>214.79300000000001</v>
      </c>
      <c r="I1969">
        <v>275.45499999999998</v>
      </c>
      <c r="L1969">
        <v>131.36000000000001</v>
      </c>
    </row>
    <row r="1970" spans="1:12" x14ac:dyDescent="0.25">
      <c r="A1970" s="12">
        <v>44456</v>
      </c>
      <c r="B1970">
        <v>324.31</v>
      </c>
      <c r="C1970">
        <v>275.197</v>
      </c>
      <c r="D1970">
        <f t="shared" si="16"/>
        <v>131.595</v>
      </c>
      <c r="E1970">
        <v>237.435</v>
      </c>
      <c r="F1970">
        <v>174.643</v>
      </c>
      <c r="G1970">
        <v>295.63799999999998</v>
      </c>
      <c r="H1970">
        <v>214.803</v>
      </c>
      <c r="I1970">
        <v>275.86500000000001</v>
      </c>
      <c r="L1970">
        <v>131.595</v>
      </c>
    </row>
    <row r="1971" spans="1:12" x14ac:dyDescent="0.25">
      <c r="A1971" s="12">
        <v>44459</v>
      </c>
      <c r="B1971">
        <v>323.48500000000001</v>
      </c>
      <c r="C1971">
        <v>274.84899999999999</v>
      </c>
      <c r="D1971">
        <f t="shared" si="16"/>
        <v>131.60400000000001</v>
      </c>
      <c r="E1971">
        <v>236.93600000000001</v>
      </c>
      <c r="F1971">
        <v>174.46899999999999</v>
      </c>
      <c r="G1971">
        <v>296.02300000000002</v>
      </c>
      <c r="H1971">
        <v>214.68600000000001</v>
      </c>
      <c r="I1971">
        <v>275.59100000000001</v>
      </c>
      <c r="L1971">
        <v>131.60400000000001</v>
      </c>
    </row>
    <row r="1972" spans="1:12" x14ac:dyDescent="0.25">
      <c r="A1972" s="12">
        <v>44460</v>
      </c>
      <c r="B1972">
        <v>322.13600000000002</v>
      </c>
      <c r="C1972">
        <v>275.01100000000002</v>
      </c>
      <c r="D1972">
        <f t="shared" si="16"/>
        <v>130.96799999999999</v>
      </c>
      <c r="E1972">
        <v>235.53800000000001</v>
      </c>
      <c r="F1972">
        <v>174.328</v>
      </c>
      <c r="G1972">
        <v>295.28699999999998</v>
      </c>
      <c r="H1972">
        <v>214.542</v>
      </c>
      <c r="I1972">
        <v>273.63299999999998</v>
      </c>
      <c r="L1972">
        <v>130.96799999999999</v>
      </c>
    </row>
    <row r="1973" spans="1:12" x14ac:dyDescent="0.25">
      <c r="A1973" s="12">
        <v>44461</v>
      </c>
      <c r="B1973">
        <v>321.88099999999997</v>
      </c>
      <c r="C1973">
        <v>275.02300000000002</v>
      </c>
      <c r="D1973">
        <f t="shared" si="16"/>
        <v>130.65899999999999</v>
      </c>
      <c r="E1973">
        <v>235.83199999999999</v>
      </c>
      <c r="F1973">
        <v>174.39500000000001</v>
      </c>
      <c r="G1973">
        <v>293.274</v>
      </c>
      <c r="H1973">
        <v>214.38399999999999</v>
      </c>
      <c r="I1973">
        <v>274.31099999999998</v>
      </c>
      <c r="L1973">
        <v>130.65899999999999</v>
      </c>
    </row>
    <row r="1974" spans="1:12" x14ac:dyDescent="0.25">
      <c r="A1974" s="12">
        <v>44462</v>
      </c>
      <c r="B1974">
        <v>322.37299999999999</v>
      </c>
      <c r="C1974">
        <v>275.10199999999998</v>
      </c>
      <c r="D1974">
        <f t="shared" si="16"/>
        <v>130.80799999999999</v>
      </c>
      <c r="E1974">
        <v>236.459</v>
      </c>
      <c r="F1974">
        <v>174.41300000000001</v>
      </c>
      <c r="G1974">
        <v>293.726</v>
      </c>
      <c r="H1974">
        <v>214.38</v>
      </c>
      <c r="I1974">
        <v>274.78399999999999</v>
      </c>
      <c r="L1974">
        <v>130.80799999999999</v>
      </c>
    </row>
    <row r="1975" spans="1:12" x14ac:dyDescent="0.25">
      <c r="A1975" s="12">
        <v>44463</v>
      </c>
      <c r="B1975">
        <v>323.16000000000003</v>
      </c>
      <c r="C1975">
        <v>274.74099999999999</v>
      </c>
      <c r="D1975">
        <f t="shared" si="16"/>
        <v>131.25899999999999</v>
      </c>
      <c r="E1975">
        <v>236.87</v>
      </c>
      <c r="F1975">
        <v>174</v>
      </c>
      <c r="G1975">
        <v>294.45</v>
      </c>
      <c r="H1975">
        <v>214.42</v>
      </c>
      <c r="I1975">
        <v>275.637</v>
      </c>
      <c r="L1975">
        <v>131.25899999999999</v>
      </c>
    </row>
    <row r="1976" spans="1:12" x14ac:dyDescent="0.25">
      <c r="A1976" s="12">
        <v>44466</v>
      </c>
      <c r="B1976">
        <v>322.95800000000003</v>
      </c>
      <c r="C1976">
        <v>274.274</v>
      </c>
      <c r="D1976">
        <f t="shared" si="16"/>
        <v>131.26900000000001</v>
      </c>
      <c r="E1976">
        <v>236.34399999999999</v>
      </c>
      <c r="F1976">
        <v>173.49299999999999</v>
      </c>
      <c r="G1976">
        <v>295.25700000000001</v>
      </c>
      <c r="H1976">
        <v>214.15299999999999</v>
      </c>
      <c r="I1976">
        <v>275.08499999999998</v>
      </c>
      <c r="L1976">
        <v>131.26900000000001</v>
      </c>
    </row>
    <row r="1977" spans="1:12" x14ac:dyDescent="0.25">
      <c r="A1977" s="12">
        <v>44467</v>
      </c>
      <c r="B1977">
        <v>322.55799999999999</v>
      </c>
      <c r="C1977">
        <v>273.93200000000002</v>
      </c>
      <c r="D1977">
        <f t="shared" si="16"/>
        <v>131.327</v>
      </c>
      <c r="E1977">
        <v>236.16499999999999</v>
      </c>
      <c r="F1977">
        <v>173.251</v>
      </c>
      <c r="G1977">
        <v>294.50599999999997</v>
      </c>
      <c r="H1977">
        <v>213.81800000000001</v>
      </c>
      <c r="I1977">
        <v>274.96899999999999</v>
      </c>
      <c r="L1977">
        <v>131.327</v>
      </c>
    </row>
    <row r="1978" spans="1:12" x14ac:dyDescent="0.25">
      <c r="A1978" s="12">
        <v>44468</v>
      </c>
      <c r="B1978">
        <v>320.54700000000003</v>
      </c>
      <c r="C1978">
        <v>273.51499999999999</v>
      </c>
      <c r="D1978">
        <f t="shared" si="16"/>
        <v>130.79300000000001</v>
      </c>
      <c r="E1978">
        <v>234.405</v>
      </c>
      <c r="F1978">
        <v>172.84200000000001</v>
      </c>
      <c r="G1978">
        <v>294.339</v>
      </c>
      <c r="H1978">
        <v>213.68100000000001</v>
      </c>
      <c r="I1978">
        <v>272.82499999999999</v>
      </c>
      <c r="L1978">
        <v>130.79300000000001</v>
      </c>
    </row>
    <row r="1979" spans="1:12" x14ac:dyDescent="0.25">
      <c r="A1979" s="12">
        <v>44469</v>
      </c>
      <c r="B1979">
        <v>319.46100000000001</v>
      </c>
      <c r="C1979">
        <v>273.24200000000002</v>
      </c>
      <c r="D1979">
        <f t="shared" si="16"/>
        <v>130.22300000000001</v>
      </c>
      <c r="E1979">
        <v>234.65899999999999</v>
      </c>
      <c r="F1979">
        <v>173.08199999999999</v>
      </c>
      <c r="G1979">
        <v>292.08699999999999</v>
      </c>
      <c r="H1979">
        <v>213.345</v>
      </c>
      <c r="I1979">
        <v>273.33499999999998</v>
      </c>
      <c r="L1979">
        <v>130.22300000000001</v>
      </c>
    </row>
    <row r="1980" spans="1:12" x14ac:dyDescent="0.25">
      <c r="A1980" s="12">
        <v>44470</v>
      </c>
      <c r="B1980">
        <v>319.47800000000001</v>
      </c>
      <c r="C1980">
        <v>273.226</v>
      </c>
      <c r="D1980">
        <f t="shared" si="16"/>
        <v>130.429</v>
      </c>
      <c r="E1980">
        <v>234.51599999999999</v>
      </c>
      <c r="F1980">
        <v>173.07400000000001</v>
      </c>
      <c r="G1980">
        <v>292.03300000000002</v>
      </c>
      <c r="H1980">
        <v>213.49100000000001</v>
      </c>
      <c r="I1980">
        <v>273.18200000000002</v>
      </c>
      <c r="L1980">
        <v>130.429</v>
      </c>
    </row>
    <row r="1981" spans="1:12" x14ac:dyDescent="0.25">
      <c r="A1981" s="12">
        <v>44473</v>
      </c>
      <c r="B1981">
        <v>318.738</v>
      </c>
      <c r="C1981">
        <v>273.28699999999998</v>
      </c>
      <c r="D1981">
        <f t="shared" si="16"/>
        <v>130.03299999999999</v>
      </c>
      <c r="E1981">
        <v>234.321</v>
      </c>
      <c r="F1981">
        <v>172.965</v>
      </c>
      <c r="G1981">
        <v>292.029</v>
      </c>
      <c r="H1981">
        <v>213.41200000000001</v>
      </c>
      <c r="I1981">
        <v>272.471</v>
      </c>
      <c r="L1981">
        <v>130.03299999999999</v>
      </c>
    </row>
    <row r="1982" spans="1:12" x14ac:dyDescent="0.25">
      <c r="A1982" s="12">
        <v>44474</v>
      </c>
      <c r="B1982">
        <v>318.60700000000003</v>
      </c>
      <c r="C1982">
        <v>273.28100000000001</v>
      </c>
      <c r="D1982">
        <f t="shared" si="16"/>
        <v>130.16999999999999</v>
      </c>
      <c r="E1982">
        <v>233.46199999999999</v>
      </c>
      <c r="F1982">
        <v>172.804</v>
      </c>
      <c r="G1982">
        <v>291.572</v>
      </c>
      <c r="H1982">
        <v>213.57300000000001</v>
      </c>
      <c r="I1982">
        <v>271.33999999999997</v>
      </c>
      <c r="L1982">
        <v>130.16999999999999</v>
      </c>
    </row>
    <row r="1983" spans="1:12" x14ac:dyDescent="0.25">
      <c r="A1983" s="12">
        <v>44475</v>
      </c>
      <c r="B1983">
        <v>318.10700000000003</v>
      </c>
      <c r="C1983">
        <v>273.05799999999999</v>
      </c>
      <c r="D1983">
        <f t="shared" si="16"/>
        <v>129.87100000000001</v>
      </c>
      <c r="E1983">
        <v>233.94800000000001</v>
      </c>
      <c r="F1983">
        <v>172.59700000000001</v>
      </c>
      <c r="G1983">
        <v>290.90800000000002</v>
      </c>
      <c r="H1983">
        <v>213.244</v>
      </c>
      <c r="I1983">
        <v>272.476</v>
      </c>
      <c r="L1983">
        <v>129.87100000000001</v>
      </c>
    </row>
    <row r="1984" spans="1:12" x14ac:dyDescent="0.25">
      <c r="A1984" s="12">
        <v>44476</v>
      </c>
      <c r="B1984">
        <v>318.52600000000001</v>
      </c>
      <c r="C1984">
        <v>272.96499999999997</v>
      </c>
      <c r="D1984">
        <f t="shared" si="16"/>
        <v>130.03200000000001</v>
      </c>
      <c r="E1984">
        <v>233.749</v>
      </c>
      <c r="F1984">
        <v>172.47800000000001</v>
      </c>
      <c r="G1984">
        <v>291.29199999999997</v>
      </c>
      <c r="H1984">
        <v>213.142</v>
      </c>
      <c r="I1984">
        <v>271.733</v>
      </c>
      <c r="L1984">
        <v>130.03200000000001</v>
      </c>
    </row>
    <row r="1985" spans="1:12" x14ac:dyDescent="0.25">
      <c r="A1985" s="12">
        <v>44477</v>
      </c>
      <c r="B1985">
        <v>319.24</v>
      </c>
      <c r="C1985">
        <v>272.745</v>
      </c>
      <c r="D1985">
        <f t="shared" si="16"/>
        <v>130.727</v>
      </c>
      <c r="E1985">
        <v>235.25299999999999</v>
      </c>
      <c r="F1985">
        <v>172.602</v>
      </c>
      <c r="G1985">
        <v>290.56</v>
      </c>
      <c r="H1985">
        <v>213.04300000000001</v>
      </c>
      <c r="I1985">
        <v>273.90100000000001</v>
      </c>
      <c r="L1985">
        <v>130.727</v>
      </c>
    </row>
    <row r="1986" spans="1:12" x14ac:dyDescent="0.25">
      <c r="A1986" s="12">
        <v>44480</v>
      </c>
      <c r="B1986">
        <v>319.59199999999998</v>
      </c>
      <c r="C1986">
        <v>272.36599999999999</v>
      </c>
      <c r="D1986">
        <f t="shared" si="16"/>
        <v>130.785</v>
      </c>
      <c r="E1986">
        <v>234.96199999999999</v>
      </c>
      <c r="F1986">
        <v>172.33699999999999</v>
      </c>
      <c r="G1986">
        <v>292.35599999999999</v>
      </c>
      <c r="H1986">
        <v>213.07300000000001</v>
      </c>
      <c r="I1986">
        <v>273.32100000000003</v>
      </c>
      <c r="L1986">
        <v>130.785</v>
      </c>
    </row>
    <row r="1987" spans="1:12" x14ac:dyDescent="0.25">
      <c r="A1987" s="12">
        <v>44481</v>
      </c>
      <c r="B1987">
        <v>318.96899999999999</v>
      </c>
      <c r="C1987">
        <v>271.92099999999999</v>
      </c>
      <c r="D1987">
        <f t="shared" si="16"/>
        <v>130.62700000000001</v>
      </c>
      <c r="E1987">
        <v>234.673</v>
      </c>
      <c r="F1987">
        <v>172.02799999999999</v>
      </c>
      <c r="G1987">
        <v>292.13</v>
      </c>
      <c r="H1987">
        <v>212.905</v>
      </c>
      <c r="I1987">
        <v>273.37599999999998</v>
      </c>
      <c r="L1987">
        <v>130.62700000000001</v>
      </c>
    </row>
    <row r="1988" spans="1:12" x14ac:dyDescent="0.25">
      <c r="A1988" s="12">
        <v>44482</v>
      </c>
      <c r="B1988">
        <v>318.375</v>
      </c>
      <c r="C1988">
        <v>271.68099999999998</v>
      </c>
      <c r="D1988">
        <f t="shared" si="16"/>
        <v>130.334</v>
      </c>
      <c r="E1988">
        <v>234.25399999999999</v>
      </c>
      <c r="F1988">
        <v>171.84899999999999</v>
      </c>
      <c r="G1988">
        <v>291.80200000000002</v>
      </c>
      <c r="H1988">
        <v>212.81200000000001</v>
      </c>
      <c r="I1988">
        <v>272.83800000000002</v>
      </c>
      <c r="L1988">
        <v>130.334</v>
      </c>
    </row>
    <row r="1989" spans="1:12" x14ac:dyDescent="0.25">
      <c r="A1989" s="12">
        <v>44483</v>
      </c>
      <c r="B1989">
        <v>318.572</v>
      </c>
      <c r="C1989">
        <v>271.92899999999997</v>
      </c>
      <c r="D1989">
        <f t="shared" si="16"/>
        <v>130.26300000000001</v>
      </c>
      <c r="E1989">
        <v>234.67599999999999</v>
      </c>
      <c r="F1989">
        <v>172.07599999999999</v>
      </c>
      <c r="G1989">
        <v>291.47300000000001</v>
      </c>
      <c r="H1989">
        <v>212.685</v>
      </c>
      <c r="I1989">
        <v>272.74900000000002</v>
      </c>
      <c r="L1989">
        <v>130.26300000000001</v>
      </c>
    </row>
    <row r="1990" spans="1:12" x14ac:dyDescent="0.25">
      <c r="A1990" s="12">
        <v>44484</v>
      </c>
      <c r="B1990">
        <v>319.77600000000001</v>
      </c>
      <c r="C1990">
        <v>272.30099999999999</v>
      </c>
      <c r="D1990">
        <f t="shared" si="16"/>
        <v>130.809</v>
      </c>
      <c r="E1990">
        <v>236.20099999999999</v>
      </c>
      <c r="F1990">
        <v>172.62</v>
      </c>
      <c r="G1990">
        <v>292.09800000000001</v>
      </c>
      <c r="H1990">
        <v>212.82</v>
      </c>
      <c r="I1990">
        <v>274.51299999999998</v>
      </c>
      <c r="L1990">
        <v>130.809</v>
      </c>
    </row>
    <row r="1991" spans="1:12" x14ac:dyDescent="0.25">
      <c r="A1991" s="12">
        <v>44487</v>
      </c>
      <c r="B1991">
        <v>321.12799999999999</v>
      </c>
      <c r="C1991">
        <v>272.45100000000002</v>
      </c>
      <c r="D1991">
        <f t="shared" si="16"/>
        <v>131.64099999999999</v>
      </c>
      <c r="E1991">
        <v>237.06299999999999</v>
      </c>
      <c r="F1991">
        <v>172.58799999999999</v>
      </c>
      <c r="G1991">
        <v>293.68799999999999</v>
      </c>
      <c r="H1991">
        <v>213.09700000000001</v>
      </c>
      <c r="I1991">
        <v>275.33</v>
      </c>
      <c r="L1991">
        <v>131.64099999999999</v>
      </c>
    </row>
    <row r="1992" spans="1:12" x14ac:dyDescent="0.25">
      <c r="A1992" s="12">
        <v>44488</v>
      </c>
      <c r="B1992">
        <v>321.44600000000003</v>
      </c>
      <c r="C1992">
        <v>272.25299999999999</v>
      </c>
      <c r="D1992">
        <f t="shared" si="16"/>
        <v>131.84399999999999</v>
      </c>
      <c r="E1992">
        <v>236.88</v>
      </c>
      <c r="F1992">
        <v>172.36099999999999</v>
      </c>
      <c r="G1992">
        <v>294.80200000000002</v>
      </c>
      <c r="H1992">
        <v>213.08099999999999</v>
      </c>
      <c r="I1992">
        <v>275.17099999999999</v>
      </c>
      <c r="L1992">
        <v>131.84399999999999</v>
      </c>
    </row>
    <row r="1993" spans="1:12" x14ac:dyDescent="0.25">
      <c r="A1993" s="12">
        <v>44489</v>
      </c>
      <c r="B1993">
        <v>321.65300000000002</v>
      </c>
      <c r="C1993">
        <v>271.85300000000001</v>
      </c>
      <c r="D1993">
        <f t="shared" si="16"/>
        <v>131.964</v>
      </c>
      <c r="E1993">
        <v>237.06899999999999</v>
      </c>
      <c r="F1993">
        <v>172.14099999999999</v>
      </c>
      <c r="G1993">
        <v>294.47399999999999</v>
      </c>
      <c r="H1993">
        <v>212.85499999999999</v>
      </c>
      <c r="I1993">
        <v>275.28500000000003</v>
      </c>
      <c r="L1993">
        <v>131.964</v>
      </c>
    </row>
    <row r="1994" spans="1:12" x14ac:dyDescent="0.25">
      <c r="A1994" s="12">
        <v>44490</v>
      </c>
      <c r="B1994">
        <v>322.01799999999997</v>
      </c>
      <c r="C1994">
        <v>271.83699999999999</v>
      </c>
      <c r="D1994">
        <f t="shared" si="16"/>
        <v>132.03100000000001</v>
      </c>
      <c r="E1994">
        <v>237.33099999999999</v>
      </c>
      <c r="F1994">
        <v>172.11500000000001</v>
      </c>
      <c r="G1994">
        <v>294.72800000000001</v>
      </c>
      <c r="H1994">
        <v>212.72399999999999</v>
      </c>
      <c r="I1994">
        <v>275.572</v>
      </c>
      <c r="L1994">
        <v>132.03100000000001</v>
      </c>
    </row>
    <row r="1995" spans="1:12" x14ac:dyDescent="0.25">
      <c r="A1995" s="12">
        <v>44491</v>
      </c>
      <c r="B1995">
        <v>322.03500000000003</v>
      </c>
      <c r="C1995">
        <v>271.54500000000002</v>
      </c>
      <c r="D1995">
        <f t="shared" si="16"/>
        <v>132.14400000000001</v>
      </c>
      <c r="E1995">
        <v>237.18899999999999</v>
      </c>
      <c r="F1995">
        <v>171.875</v>
      </c>
      <c r="G1995">
        <v>295.33100000000002</v>
      </c>
      <c r="H1995">
        <v>212.77500000000001</v>
      </c>
      <c r="I1995">
        <v>275.29300000000001</v>
      </c>
      <c r="L1995">
        <v>132.14400000000001</v>
      </c>
    </row>
    <row r="1996" spans="1:12" x14ac:dyDescent="0.25">
      <c r="A1996" s="12">
        <v>44494</v>
      </c>
      <c r="B1996">
        <v>322.43700000000001</v>
      </c>
      <c r="C1996">
        <v>271.43</v>
      </c>
      <c r="D1996">
        <f t="shared" si="16"/>
        <v>132.251</v>
      </c>
      <c r="E1996">
        <v>237.4</v>
      </c>
      <c r="F1996">
        <v>171.846</v>
      </c>
      <c r="G1996">
        <v>294.99599999999998</v>
      </c>
      <c r="H1996">
        <v>212.49199999999999</v>
      </c>
      <c r="I1996">
        <v>275.86399999999998</v>
      </c>
      <c r="L1996">
        <v>132.251</v>
      </c>
    </row>
    <row r="1997" spans="1:12" x14ac:dyDescent="0.25">
      <c r="A1997" s="12">
        <v>44495</v>
      </c>
      <c r="B1997">
        <v>322.78100000000001</v>
      </c>
      <c r="C1997">
        <v>271.59399999999999</v>
      </c>
      <c r="D1997">
        <f t="shared" si="16"/>
        <v>132.405</v>
      </c>
      <c r="E1997">
        <v>237.83500000000001</v>
      </c>
      <c r="F1997">
        <v>172.03899999999999</v>
      </c>
      <c r="G1997">
        <v>295.46800000000002</v>
      </c>
      <c r="H1997">
        <v>212.482</v>
      </c>
      <c r="I1997">
        <v>276.46100000000001</v>
      </c>
      <c r="L1997">
        <v>132.405</v>
      </c>
    </row>
    <row r="1998" spans="1:12" x14ac:dyDescent="0.25">
      <c r="A1998" s="12">
        <v>44496</v>
      </c>
      <c r="B1998">
        <v>323.221</v>
      </c>
      <c r="C1998">
        <v>271.58499999999998</v>
      </c>
      <c r="D1998">
        <f t="shared" si="16"/>
        <v>132.93100000000001</v>
      </c>
      <c r="E1998">
        <v>238.46199999999999</v>
      </c>
      <c r="F1998">
        <v>172.226</v>
      </c>
      <c r="G1998">
        <v>295.72699999999998</v>
      </c>
      <c r="H1998">
        <v>212.565</v>
      </c>
      <c r="I1998">
        <v>277.27999999999997</v>
      </c>
      <c r="L1998">
        <v>132.93100000000001</v>
      </c>
    </row>
    <row r="1999" spans="1:12" x14ac:dyDescent="0.25">
      <c r="A1999" s="12">
        <v>44497</v>
      </c>
      <c r="B1999">
        <v>323.64499999999998</v>
      </c>
      <c r="C1999">
        <v>272.14100000000002</v>
      </c>
      <c r="D1999">
        <f t="shared" si="16"/>
        <v>133.11000000000001</v>
      </c>
      <c r="E1999">
        <v>238.42599999999999</v>
      </c>
      <c r="F1999">
        <v>172.64699999999999</v>
      </c>
      <c r="G1999">
        <v>296.65600000000001</v>
      </c>
      <c r="H1999">
        <v>212.64</v>
      </c>
      <c r="I1999">
        <v>277.27499999999998</v>
      </c>
      <c r="L1999">
        <v>133.11000000000001</v>
      </c>
    </row>
    <row r="2000" spans="1:12" x14ac:dyDescent="0.25">
      <c r="A2000" s="12">
        <v>44498</v>
      </c>
      <c r="B2000">
        <v>323.37799999999999</v>
      </c>
      <c r="C2000">
        <v>272.26499999999999</v>
      </c>
      <c r="D2000">
        <f t="shared" si="16"/>
        <v>132.98599999999999</v>
      </c>
      <c r="E2000">
        <v>238.09299999999999</v>
      </c>
      <c r="F2000">
        <v>172.483</v>
      </c>
      <c r="G2000">
        <v>296.66399999999999</v>
      </c>
      <c r="H2000">
        <v>212.86600000000001</v>
      </c>
      <c r="I2000">
        <v>276.82799999999997</v>
      </c>
      <c r="L2000">
        <v>132.98599999999999</v>
      </c>
    </row>
    <row r="2001" spans="1:12" x14ac:dyDescent="0.25">
      <c r="A2001" s="12">
        <v>44501</v>
      </c>
      <c r="B2001">
        <v>323.488</v>
      </c>
      <c r="C2001">
        <v>271.75</v>
      </c>
      <c r="D2001">
        <f t="shared" si="16"/>
        <v>132.91900000000001</v>
      </c>
      <c r="E2001">
        <v>238.21</v>
      </c>
      <c r="F2001">
        <v>172.261</v>
      </c>
      <c r="G2001">
        <v>296.30500000000001</v>
      </c>
      <c r="H2001">
        <v>212.57300000000001</v>
      </c>
      <c r="I2001">
        <v>277.35899999999998</v>
      </c>
      <c r="L2001">
        <v>132.91900000000001</v>
      </c>
    </row>
    <row r="2002" spans="1:12" x14ac:dyDescent="0.25">
      <c r="A2002" s="12">
        <v>44502</v>
      </c>
      <c r="B2002">
        <v>323.74599999999998</v>
      </c>
      <c r="C2002">
        <v>271.65300000000002</v>
      </c>
      <c r="D2002">
        <f t="shared" si="16"/>
        <v>133.12299999999999</v>
      </c>
      <c r="E2002">
        <v>238.35300000000001</v>
      </c>
      <c r="F2002">
        <v>171.93199999999999</v>
      </c>
      <c r="G2002">
        <v>296.42700000000002</v>
      </c>
      <c r="H2002">
        <v>212.416</v>
      </c>
      <c r="I2002">
        <v>277.75</v>
      </c>
      <c r="L2002">
        <v>133.12299999999999</v>
      </c>
    </row>
    <row r="2003" spans="1:12" x14ac:dyDescent="0.25">
      <c r="A2003" s="12">
        <v>44503</v>
      </c>
      <c r="B2003">
        <v>324.36900000000003</v>
      </c>
      <c r="C2003">
        <v>272.101</v>
      </c>
      <c r="D2003">
        <f t="shared" ref="D2003:D2066" si="17">IF(L2003&gt;1,L2003,L2003*100)</f>
        <v>133.40899999999999</v>
      </c>
      <c r="E2003">
        <v>238.96</v>
      </c>
      <c r="F2003">
        <v>172.25299999999999</v>
      </c>
      <c r="G2003">
        <v>297.07</v>
      </c>
      <c r="H2003">
        <v>212.154</v>
      </c>
      <c r="I2003">
        <v>278.536</v>
      </c>
      <c r="L2003">
        <v>133.40899999999999</v>
      </c>
    </row>
    <row r="2004" spans="1:12" x14ac:dyDescent="0.25">
      <c r="A2004" s="12">
        <v>44504</v>
      </c>
      <c r="B2004">
        <v>324.94799999999998</v>
      </c>
      <c r="C2004">
        <v>272.25700000000001</v>
      </c>
      <c r="D2004">
        <f t="shared" si="17"/>
        <v>133.745</v>
      </c>
      <c r="E2004">
        <v>239.292</v>
      </c>
      <c r="F2004">
        <v>172.33799999999999</v>
      </c>
      <c r="G2004">
        <v>297.69799999999998</v>
      </c>
      <c r="H2004">
        <v>212.43899999999999</v>
      </c>
      <c r="I2004">
        <v>278.673</v>
      </c>
      <c r="L2004">
        <v>133.745</v>
      </c>
    </row>
    <row r="2005" spans="1:12" x14ac:dyDescent="0.25">
      <c r="A2005" s="12">
        <v>44505</v>
      </c>
      <c r="B2005">
        <v>325.93599999999998</v>
      </c>
      <c r="C2005">
        <v>272.57400000000001</v>
      </c>
      <c r="D2005">
        <f t="shared" si="17"/>
        <v>134.221</v>
      </c>
      <c r="E2005">
        <v>240.45599999999999</v>
      </c>
      <c r="F2005">
        <v>172.84700000000001</v>
      </c>
      <c r="G2005">
        <v>298.05599999999998</v>
      </c>
      <c r="H2005">
        <v>212.41800000000001</v>
      </c>
      <c r="I2005">
        <v>279.93700000000001</v>
      </c>
      <c r="L2005">
        <v>134.221</v>
      </c>
    </row>
    <row r="2006" spans="1:12" x14ac:dyDescent="0.25">
      <c r="A2006" s="12">
        <v>44508</v>
      </c>
      <c r="B2006">
        <v>327.18799999999999</v>
      </c>
      <c r="C2006">
        <v>273.2</v>
      </c>
      <c r="D2006">
        <f t="shared" si="17"/>
        <v>134.91800000000001</v>
      </c>
      <c r="E2006">
        <v>241.11600000000001</v>
      </c>
      <c r="F2006">
        <v>173.46299999999999</v>
      </c>
      <c r="G2006">
        <v>299.267</v>
      </c>
      <c r="H2006">
        <v>212.91300000000001</v>
      </c>
      <c r="I2006">
        <v>280.87599999999998</v>
      </c>
      <c r="L2006">
        <v>134.91800000000001</v>
      </c>
    </row>
    <row r="2007" spans="1:12" x14ac:dyDescent="0.25">
      <c r="A2007" s="12">
        <v>44509</v>
      </c>
      <c r="B2007">
        <v>327.64800000000002</v>
      </c>
      <c r="C2007">
        <v>273.45499999999998</v>
      </c>
      <c r="D2007">
        <f t="shared" si="17"/>
        <v>135.102</v>
      </c>
      <c r="E2007">
        <v>241.03800000000001</v>
      </c>
      <c r="F2007">
        <v>173.428</v>
      </c>
      <c r="G2007">
        <v>300.17399999999998</v>
      </c>
      <c r="H2007">
        <v>213.411</v>
      </c>
      <c r="I2007">
        <v>280.322</v>
      </c>
      <c r="L2007">
        <v>135.102</v>
      </c>
    </row>
    <row r="2008" spans="1:12" x14ac:dyDescent="0.25">
      <c r="A2008" s="12">
        <v>44510</v>
      </c>
      <c r="B2008">
        <v>327.88499999999999</v>
      </c>
      <c r="C2008">
        <v>273.71800000000002</v>
      </c>
      <c r="D2008">
        <f t="shared" si="17"/>
        <v>134.94900000000001</v>
      </c>
      <c r="E2008">
        <v>241.1</v>
      </c>
      <c r="F2008">
        <v>173.709</v>
      </c>
      <c r="G2008">
        <v>300.00599999999997</v>
      </c>
      <c r="H2008">
        <v>213.37</v>
      </c>
      <c r="I2008">
        <v>280.423</v>
      </c>
      <c r="L2008">
        <v>134.94900000000001</v>
      </c>
    </row>
    <row r="2009" spans="1:12" x14ac:dyDescent="0.25">
      <c r="A2009" s="12">
        <v>44511</v>
      </c>
      <c r="B2009">
        <v>327.23399999999998</v>
      </c>
      <c r="C2009">
        <v>273.52999999999997</v>
      </c>
      <c r="D2009">
        <f t="shared" si="17"/>
        <v>134.97</v>
      </c>
      <c r="E2009">
        <v>240.78800000000001</v>
      </c>
      <c r="F2009">
        <v>173.286</v>
      </c>
      <c r="G2009">
        <v>300.25400000000002</v>
      </c>
      <c r="H2009">
        <v>213.63300000000001</v>
      </c>
      <c r="I2009">
        <v>280.19299999999998</v>
      </c>
      <c r="L2009">
        <v>134.97</v>
      </c>
    </row>
    <row r="2010" spans="1:12" x14ac:dyDescent="0.25">
      <c r="A2010" s="12">
        <v>44512</v>
      </c>
      <c r="B2010">
        <v>326.72500000000002</v>
      </c>
      <c r="C2010">
        <v>273.08999999999997</v>
      </c>
      <c r="D2010">
        <f t="shared" si="17"/>
        <v>134.78800000000001</v>
      </c>
      <c r="E2010">
        <v>240.93700000000001</v>
      </c>
      <c r="F2010">
        <v>173.041</v>
      </c>
      <c r="G2010">
        <v>299.92700000000002</v>
      </c>
      <c r="H2010">
        <v>213.21600000000001</v>
      </c>
      <c r="I2010">
        <v>280.214</v>
      </c>
      <c r="L2010">
        <v>134.78800000000001</v>
      </c>
    </row>
    <row r="2011" spans="1:12" x14ac:dyDescent="0.25">
      <c r="A2011" s="12">
        <v>44515</v>
      </c>
      <c r="B2011">
        <v>327.18</v>
      </c>
      <c r="C2011">
        <v>273.00200000000001</v>
      </c>
      <c r="D2011">
        <f t="shared" si="17"/>
        <v>135.05099999999999</v>
      </c>
      <c r="E2011">
        <v>241.554</v>
      </c>
      <c r="F2011">
        <v>173.06800000000001</v>
      </c>
      <c r="G2011">
        <v>300.21100000000001</v>
      </c>
      <c r="H2011">
        <v>213.107</v>
      </c>
      <c r="I2011">
        <v>280.61200000000002</v>
      </c>
      <c r="L2011">
        <v>135.05099999999999</v>
      </c>
    </row>
    <row r="2012" spans="1:12" x14ac:dyDescent="0.25">
      <c r="A2012" s="12">
        <v>44516</v>
      </c>
      <c r="B2012">
        <v>327.48899999999998</v>
      </c>
      <c r="C2012">
        <v>272.60599999999999</v>
      </c>
      <c r="D2012">
        <f t="shared" si="17"/>
        <v>135.59200000000001</v>
      </c>
      <c r="E2012">
        <v>242.02500000000001</v>
      </c>
      <c r="F2012">
        <v>172.93299999999999</v>
      </c>
      <c r="G2012">
        <v>300.733</v>
      </c>
      <c r="H2012">
        <v>213.095</v>
      </c>
      <c r="I2012">
        <v>280.97199999999998</v>
      </c>
      <c r="L2012">
        <v>135.59200000000001</v>
      </c>
    </row>
    <row r="2013" spans="1:12" x14ac:dyDescent="0.25">
      <c r="A2013" s="12">
        <v>44517</v>
      </c>
      <c r="B2013">
        <v>328.09</v>
      </c>
      <c r="C2013">
        <v>272.39400000000001</v>
      </c>
      <c r="D2013">
        <f t="shared" si="17"/>
        <v>135.73500000000001</v>
      </c>
      <c r="E2013">
        <v>242.65700000000001</v>
      </c>
      <c r="F2013">
        <v>172.90899999999999</v>
      </c>
      <c r="G2013">
        <v>301.29399999999998</v>
      </c>
      <c r="H2013">
        <v>212.90299999999999</v>
      </c>
      <c r="I2013">
        <v>281.80500000000001</v>
      </c>
      <c r="L2013">
        <v>135.73500000000001</v>
      </c>
    </row>
    <row r="2014" spans="1:12" x14ac:dyDescent="0.25">
      <c r="A2014" s="12">
        <v>44522</v>
      </c>
      <c r="B2014">
        <v>328.25700000000001</v>
      </c>
      <c r="C2014">
        <v>272.12700000000001</v>
      </c>
      <c r="D2014">
        <f t="shared" si="17"/>
        <v>136.065</v>
      </c>
      <c r="E2014">
        <v>242.66200000000001</v>
      </c>
      <c r="F2014">
        <v>172.779</v>
      </c>
      <c r="G2014">
        <v>301.70400000000001</v>
      </c>
      <c r="H2014">
        <v>212.74799999999999</v>
      </c>
      <c r="I2014">
        <v>281.37099999999998</v>
      </c>
      <c r="L2014">
        <v>136.065</v>
      </c>
    </row>
    <row r="2015" spans="1:12" x14ac:dyDescent="0.25">
      <c r="A2015" s="12">
        <v>44523</v>
      </c>
      <c r="B2015">
        <v>328.31900000000002</v>
      </c>
      <c r="C2015">
        <v>272.702</v>
      </c>
      <c r="D2015">
        <f t="shared" si="17"/>
        <v>136.566</v>
      </c>
      <c r="E2015">
        <v>242.584</v>
      </c>
      <c r="F2015">
        <v>173.006</v>
      </c>
      <c r="G2015">
        <v>301.83699999999999</v>
      </c>
      <c r="H2015">
        <v>212.96</v>
      </c>
      <c r="I2015">
        <v>281.93799999999999</v>
      </c>
      <c r="L2015">
        <v>136.566</v>
      </c>
    </row>
    <row r="2016" spans="1:12" x14ac:dyDescent="0.25">
      <c r="A2016" s="12">
        <v>44524</v>
      </c>
      <c r="B2016">
        <v>326.73599999999999</v>
      </c>
      <c r="C2016">
        <v>272.012</v>
      </c>
      <c r="D2016">
        <f t="shared" si="17"/>
        <v>136.161</v>
      </c>
      <c r="E2016">
        <v>241.124</v>
      </c>
      <c r="F2016">
        <v>172.19900000000001</v>
      </c>
      <c r="G2016">
        <v>301.63</v>
      </c>
      <c r="H2016">
        <v>212.66499999999999</v>
      </c>
      <c r="I2016">
        <v>280.06200000000001</v>
      </c>
      <c r="L2016">
        <v>136.161</v>
      </c>
    </row>
    <row r="2017" spans="1:12" x14ac:dyDescent="0.25">
      <c r="A2017" s="12">
        <v>44525</v>
      </c>
      <c r="B2017">
        <v>326.19</v>
      </c>
      <c r="C2017">
        <v>271.21600000000001</v>
      </c>
      <c r="D2017">
        <f t="shared" si="17"/>
        <v>135.94200000000001</v>
      </c>
      <c r="E2017">
        <v>241.38499999999999</v>
      </c>
      <c r="F2017">
        <v>172.035</v>
      </c>
      <c r="G2017">
        <v>299.59399999999999</v>
      </c>
      <c r="H2017">
        <v>211.929</v>
      </c>
      <c r="I2017">
        <v>280.15100000000001</v>
      </c>
      <c r="L2017">
        <v>135.94200000000001</v>
      </c>
    </row>
    <row r="2018" spans="1:12" x14ac:dyDescent="0.25">
      <c r="A2018" s="12">
        <v>44526</v>
      </c>
      <c r="B2018">
        <v>326.77600000000001</v>
      </c>
      <c r="C2018">
        <v>271.20499999999998</v>
      </c>
      <c r="D2018">
        <f t="shared" si="17"/>
        <v>136.214</v>
      </c>
      <c r="E2018">
        <v>241.66900000000001</v>
      </c>
      <c r="F2018">
        <v>172.02699999999999</v>
      </c>
      <c r="G2018">
        <v>299.41000000000003</v>
      </c>
      <c r="H2018">
        <v>211.851</v>
      </c>
      <c r="I2018">
        <v>280.512</v>
      </c>
      <c r="L2018">
        <v>136.214</v>
      </c>
    </row>
    <row r="2019" spans="1:12" x14ac:dyDescent="0.25">
      <c r="A2019" s="12">
        <v>44529</v>
      </c>
      <c r="B2019">
        <v>325.39400000000001</v>
      </c>
      <c r="C2019">
        <v>271.22199999999998</v>
      </c>
      <c r="D2019">
        <f t="shared" si="17"/>
        <v>135.57</v>
      </c>
      <c r="E2019">
        <v>238.63200000000001</v>
      </c>
      <c r="F2019">
        <v>171.49700000000001</v>
      </c>
      <c r="G2019">
        <v>300.01499999999999</v>
      </c>
      <c r="H2019">
        <v>211.87200000000001</v>
      </c>
      <c r="I2019">
        <v>277.42899999999997</v>
      </c>
      <c r="L2019">
        <v>135.57</v>
      </c>
    </row>
    <row r="2020" spans="1:12" x14ac:dyDescent="0.25">
      <c r="A2020" s="12">
        <v>44530</v>
      </c>
      <c r="B2020">
        <v>324.46699999999998</v>
      </c>
      <c r="C2020">
        <v>271.274</v>
      </c>
      <c r="D2020">
        <f t="shared" si="17"/>
        <v>134.52799999999999</v>
      </c>
      <c r="E2020">
        <v>239.04599999999999</v>
      </c>
      <c r="F2020">
        <v>171.708</v>
      </c>
      <c r="G2020">
        <v>296.78100000000001</v>
      </c>
      <c r="H2020">
        <v>211.64099999999999</v>
      </c>
      <c r="I2020">
        <v>277.93799999999999</v>
      </c>
      <c r="L2020">
        <v>134.52799999999999</v>
      </c>
    </row>
    <row r="2021" spans="1:12" x14ac:dyDescent="0.25">
      <c r="A2021" s="12">
        <v>44531</v>
      </c>
      <c r="B2021">
        <v>324.584</v>
      </c>
      <c r="C2021">
        <v>271.221</v>
      </c>
      <c r="D2021">
        <f t="shared" si="17"/>
        <v>134.74799999999999</v>
      </c>
      <c r="E2021">
        <v>238.19800000000001</v>
      </c>
      <c r="F2021">
        <v>171.79400000000001</v>
      </c>
      <c r="G2021">
        <v>296.702</v>
      </c>
      <c r="H2021">
        <v>211.53700000000001</v>
      </c>
      <c r="I2021">
        <v>276.88799999999998</v>
      </c>
      <c r="L2021">
        <v>134.74799999999999</v>
      </c>
    </row>
    <row r="2022" spans="1:12" x14ac:dyDescent="0.25">
      <c r="A2022" s="12">
        <v>44532</v>
      </c>
      <c r="B2022">
        <v>323.64699999999999</v>
      </c>
      <c r="C2022">
        <v>271.572</v>
      </c>
      <c r="D2022">
        <f t="shared" si="17"/>
        <v>134.458</v>
      </c>
      <c r="E2022">
        <v>238.57599999999999</v>
      </c>
      <c r="F2022">
        <v>172.08799999999999</v>
      </c>
      <c r="G2022">
        <v>296.41899999999998</v>
      </c>
      <c r="H2022">
        <v>211.81299999999999</v>
      </c>
      <c r="I2022">
        <v>277.96499999999997</v>
      </c>
      <c r="L2022">
        <v>134.458</v>
      </c>
    </row>
    <row r="2023" spans="1:12" x14ac:dyDescent="0.25">
      <c r="A2023" s="12">
        <v>44533</v>
      </c>
      <c r="B2023">
        <v>323.04399999999998</v>
      </c>
      <c r="C2023">
        <v>271.87799999999999</v>
      </c>
      <c r="D2023">
        <f t="shared" si="17"/>
        <v>133.52099999999999</v>
      </c>
      <c r="E2023">
        <v>238.488</v>
      </c>
      <c r="F2023">
        <v>172.37799999999999</v>
      </c>
      <c r="G2023">
        <v>297.327</v>
      </c>
      <c r="H2023">
        <v>211.93899999999999</v>
      </c>
      <c r="I2023">
        <v>276.73200000000003</v>
      </c>
      <c r="L2023">
        <v>133.52099999999999</v>
      </c>
    </row>
    <row r="2024" spans="1:12" x14ac:dyDescent="0.25">
      <c r="A2024" s="12">
        <v>44536</v>
      </c>
      <c r="B2024">
        <v>323.46199999999999</v>
      </c>
      <c r="C2024">
        <v>272.202</v>
      </c>
      <c r="D2024">
        <f t="shared" si="17"/>
        <v>134.035</v>
      </c>
      <c r="E2024">
        <v>238.44</v>
      </c>
      <c r="F2024">
        <v>172.68700000000001</v>
      </c>
      <c r="G2024">
        <v>296.17500000000001</v>
      </c>
      <c r="H2024">
        <v>212.173</v>
      </c>
      <c r="I2024">
        <v>277.00299999999999</v>
      </c>
      <c r="L2024">
        <v>134.035</v>
      </c>
    </row>
    <row r="2025" spans="1:12" x14ac:dyDescent="0.25">
      <c r="A2025" s="12">
        <v>44537</v>
      </c>
      <c r="B2025">
        <v>323.94600000000003</v>
      </c>
      <c r="C2025">
        <v>272.47300000000001</v>
      </c>
      <c r="D2025">
        <f t="shared" si="17"/>
        <v>134.28899999999999</v>
      </c>
      <c r="E2025">
        <v>239.19300000000001</v>
      </c>
      <c r="F2025">
        <v>172.965</v>
      </c>
      <c r="G2025">
        <v>296.45499999999998</v>
      </c>
      <c r="H2025">
        <v>212.38800000000001</v>
      </c>
      <c r="I2025">
        <v>277.77800000000002</v>
      </c>
      <c r="L2025">
        <v>134.28899999999999</v>
      </c>
    </row>
    <row r="2026" spans="1:12" x14ac:dyDescent="0.25">
      <c r="A2026" s="12">
        <v>44538</v>
      </c>
      <c r="B2026">
        <v>325.72899999999998</v>
      </c>
      <c r="C2026">
        <v>272.726</v>
      </c>
      <c r="D2026">
        <f t="shared" si="17"/>
        <v>135.42500000000001</v>
      </c>
      <c r="E2026">
        <v>241.554</v>
      </c>
      <c r="F2026">
        <v>173.297</v>
      </c>
      <c r="G2026">
        <v>297.16800000000001</v>
      </c>
      <c r="H2026">
        <v>212.53100000000001</v>
      </c>
      <c r="I2026">
        <v>280.64999999999998</v>
      </c>
      <c r="L2026">
        <v>135.42500000000001</v>
      </c>
    </row>
    <row r="2027" spans="1:12" x14ac:dyDescent="0.25">
      <c r="A2027" s="12">
        <v>44539</v>
      </c>
      <c r="B2027">
        <v>326.988</v>
      </c>
      <c r="C2027">
        <v>272.358</v>
      </c>
      <c r="D2027">
        <f t="shared" si="17"/>
        <v>136.09299999999999</v>
      </c>
      <c r="E2027">
        <v>241.12100000000001</v>
      </c>
      <c r="F2027">
        <v>172.89500000000001</v>
      </c>
      <c r="G2027">
        <v>299.87099999999998</v>
      </c>
      <c r="H2027">
        <v>212.74199999999999</v>
      </c>
      <c r="I2027">
        <v>279.66899999999998</v>
      </c>
      <c r="L2027">
        <v>136.09299999999999</v>
      </c>
    </row>
    <row r="2028" spans="1:12" x14ac:dyDescent="0.25">
      <c r="A2028" s="12">
        <v>44540</v>
      </c>
      <c r="B2028">
        <v>326.83699999999999</v>
      </c>
      <c r="C2028">
        <v>272.33800000000002</v>
      </c>
      <c r="D2028">
        <f t="shared" si="17"/>
        <v>135.82599999999999</v>
      </c>
      <c r="E2028">
        <v>241.24199999999999</v>
      </c>
      <c r="F2028">
        <v>173.059</v>
      </c>
      <c r="G2028">
        <v>300.05799999999999</v>
      </c>
      <c r="H2028">
        <v>212.56100000000001</v>
      </c>
      <c r="I2028">
        <v>280.10599999999999</v>
      </c>
      <c r="L2028">
        <v>135.82599999999999</v>
      </c>
    </row>
    <row r="2029" spans="1:12" x14ac:dyDescent="0.25">
      <c r="A2029" s="12">
        <v>44543</v>
      </c>
      <c r="B2029">
        <v>326.59800000000001</v>
      </c>
      <c r="C2029">
        <v>272.39</v>
      </c>
      <c r="D2029">
        <f t="shared" si="17"/>
        <v>135.74199999999999</v>
      </c>
      <c r="E2029">
        <v>241.035</v>
      </c>
      <c r="F2029">
        <v>173.102</v>
      </c>
      <c r="G2029">
        <v>300.09300000000002</v>
      </c>
      <c r="H2029">
        <v>212.72900000000001</v>
      </c>
      <c r="I2029">
        <v>279.48599999999999</v>
      </c>
      <c r="L2029">
        <v>135.74199999999999</v>
      </c>
    </row>
    <row r="2030" spans="1:12" x14ac:dyDescent="0.25">
      <c r="A2030" s="12">
        <v>44544</v>
      </c>
      <c r="B2030">
        <v>327.041</v>
      </c>
      <c r="C2030">
        <v>272.47899999999998</v>
      </c>
      <c r="D2030">
        <f t="shared" si="17"/>
        <v>135.87799999999999</v>
      </c>
      <c r="E2030">
        <v>241.00899999999999</v>
      </c>
      <c r="F2030">
        <v>173.31200000000001</v>
      </c>
      <c r="G2030">
        <v>299.62</v>
      </c>
      <c r="H2030">
        <v>212.66399999999999</v>
      </c>
      <c r="I2030">
        <v>279.54199999999997</v>
      </c>
      <c r="L2030">
        <v>135.87799999999999</v>
      </c>
    </row>
    <row r="2031" spans="1:12" x14ac:dyDescent="0.25">
      <c r="A2031" s="12">
        <v>44545</v>
      </c>
      <c r="B2031">
        <v>325.90100000000001</v>
      </c>
      <c r="C2031">
        <v>272.54500000000002</v>
      </c>
      <c r="D2031">
        <f t="shared" si="17"/>
        <v>135.50299999999999</v>
      </c>
      <c r="E2031">
        <v>240.03899999999999</v>
      </c>
      <c r="F2031">
        <v>173.245</v>
      </c>
      <c r="G2031">
        <v>299.57799999999997</v>
      </c>
      <c r="H2031">
        <v>212.83699999999999</v>
      </c>
      <c r="I2031">
        <v>278.56900000000002</v>
      </c>
      <c r="L2031">
        <v>135.50299999999999</v>
      </c>
    </row>
    <row r="2032" spans="1:12" x14ac:dyDescent="0.25">
      <c r="A2032" s="12">
        <v>44546</v>
      </c>
      <c r="B2032">
        <v>325.58199999999999</v>
      </c>
      <c r="C2032">
        <v>272.50299999999999</v>
      </c>
      <c r="D2032">
        <f t="shared" si="17"/>
        <v>135.21899999999999</v>
      </c>
      <c r="E2032">
        <v>240.15100000000001</v>
      </c>
      <c r="F2032">
        <v>173.02</v>
      </c>
      <c r="G2032">
        <v>298.03199999999998</v>
      </c>
      <c r="H2032">
        <v>212.66200000000001</v>
      </c>
      <c r="I2032">
        <v>278.399</v>
      </c>
      <c r="L2032">
        <v>135.21899999999999</v>
      </c>
    </row>
    <row r="2033" spans="1:12" x14ac:dyDescent="0.25">
      <c r="A2033" s="12">
        <v>44547</v>
      </c>
      <c r="B2033">
        <v>326.41399999999999</v>
      </c>
      <c r="C2033">
        <v>272.214</v>
      </c>
      <c r="D2033">
        <f t="shared" si="17"/>
        <v>136.06800000000001</v>
      </c>
      <c r="E2033">
        <v>240.46799999999999</v>
      </c>
      <c r="F2033">
        <v>172.90700000000001</v>
      </c>
      <c r="G2033">
        <v>297.98399999999998</v>
      </c>
      <c r="H2033">
        <v>212.49199999999999</v>
      </c>
      <c r="I2033">
        <v>279.423</v>
      </c>
      <c r="L2033">
        <v>136.06800000000001</v>
      </c>
    </row>
    <row r="2034" spans="1:12" x14ac:dyDescent="0.25">
      <c r="A2034" s="12">
        <v>44550</v>
      </c>
      <c r="B2034">
        <v>325.94099999999997</v>
      </c>
      <c r="C2034">
        <v>272.35199999999998</v>
      </c>
      <c r="D2034">
        <f t="shared" si="17"/>
        <v>135.55799999999999</v>
      </c>
      <c r="E2034">
        <v>239.89099999999999</v>
      </c>
      <c r="F2034">
        <v>173.02600000000001</v>
      </c>
      <c r="G2034">
        <v>299.49200000000002</v>
      </c>
      <c r="H2034">
        <v>212.465</v>
      </c>
      <c r="I2034">
        <v>278.66399999999999</v>
      </c>
      <c r="L2034">
        <v>135.55799999999999</v>
      </c>
    </row>
    <row r="2035" spans="1:12" x14ac:dyDescent="0.25">
      <c r="A2035" s="12">
        <v>44551</v>
      </c>
      <c r="B2035">
        <v>324.50099999999998</v>
      </c>
      <c r="C2035">
        <v>272.548</v>
      </c>
      <c r="D2035">
        <f t="shared" si="17"/>
        <v>134.83600000000001</v>
      </c>
      <c r="E2035">
        <v>238.166</v>
      </c>
      <c r="F2035">
        <v>172.65899999999999</v>
      </c>
      <c r="G2035">
        <v>298.55700000000002</v>
      </c>
      <c r="H2035">
        <v>212.69300000000001</v>
      </c>
      <c r="I2035">
        <v>276.74200000000002</v>
      </c>
      <c r="L2035">
        <v>134.83600000000001</v>
      </c>
    </row>
    <row r="2036" spans="1:12" x14ac:dyDescent="0.25">
      <c r="A2036" s="12">
        <v>44552</v>
      </c>
      <c r="B2036">
        <v>323.81799999999998</v>
      </c>
      <c r="C2036">
        <v>271.87</v>
      </c>
      <c r="D2036">
        <f t="shared" si="17"/>
        <v>134.636</v>
      </c>
      <c r="E2036">
        <v>238.995</v>
      </c>
      <c r="F2036">
        <v>172.459</v>
      </c>
      <c r="G2036">
        <v>296.726</v>
      </c>
      <c r="H2036">
        <v>212.40799999999999</v>
      </c>
      <c r="I2036">
        <v>277.803</v>
      </c>
      <c r="L2036">
        <v>134.636</v>
      </c>
    </row>
    <row r="2037" spans="1:12" x14ac:dyDescent="0.25">
      <c r="A2037" s="12">
        <v>44553</v>
      </c>
      <c r="B2037">
        <v>325.46800000000002</v>
      </c>
      <c r="C2037">
        <v>271.79700000000003</v>
      </c>
      <c r="D2037">
        <f t="shared" si="17"/>
        <v>135.47</v>
      </c>
      <c r="E2037">
        <v>239.78299999999999</v>
      </c>
      <c r="F2037">
        <v>172.40100000000001</v>
      </c>
      <c r="G2037">
        <v>297.50599999999997</v>
      </c>
      <c r="H2037">
        <v>212.26400000000001</v>
      </c>
      <c r="I2037">
        <v>278.69799999999998</v>
      </c>
      <c r="L2037">
        <v>135.47</v>
      </c>
    </row>
    <row r="2038" spans="1:12" x14ac:dyDescent="0.25">
      <c r="A2038" s="12">
        <v>44557</v>
      </c>
      <c r="B2038">
        <v>326.65699999999998</v>
      </c>
      <c r="C2038">
        <v>271.59300000000002</v>
      </c>
      <c r="D2038">
        <f t="shared" si="17"/>
        <v>135.85599999999999</v>
      </c>
      <c r="E2038">
        <v>240.41300000000001</v>
      </c>
      <c r="F2038">
        <v>172.345</v>
      </c>
      <c r="G2038">
        <v>298.72800000000001</v>
      </c>
      <c r="H2038">
        <v>212.24299999999999</v>
      </c>
      <c r="I2038">
        <v>279.505</v>
      </c>
      <c r="L2038">
        <v>135.85599999999999</v>
      </c>
    </row>
    <row r="2039" spans="1:12" x14ac:dyDescent="0.25">
      <c r="A2039" s="12">
        <v>44558</v>
      </c>
      <c r="B2039">
        <v>327.64699999999999</v>
      </c>
      <c r="C2039">
        <v>271.58100000000002</v>
      </c>
      <c r="D2039">
        <f t="shared" si="17"/>
        <v>136.21199999999999</v>
      </c>
      <c r="E2039">
        <v>240.74100000000001</v>
      </c>
      <c r="F2039">
        <v>172.28800000000001</v>
      </c>
      <c r="G2039">
        <v>299.851</v>
      </c>
      <c r="H2039">
        <v>212.12799999999999</v>
      </c>
      <c r="I2039">
        <v>279.90800000000002</v>
      </c>
      <c r="L2039">
        <v>136.21199999999999</v>
      </c>
    </row>
    <row r="2040" spans="1:12" x14ac:dyDescent="0.25">
      <c r="A2040" s="12">
        <v>44559</v>
      </c>
      <c r="B2040">
        <v>328.33300000000003</v>
      </c>
      <c r="C2040">
        <v>271.64100000000002</v>
      </c>
      <c r="D2040">
        <f t="shared" si="17"/>
        <v>136.44399999999999</v>
      </c>
      <c r="E2040">
        <v>241.27</v>
      </c>
      <c r="F2040">
        <v>172.376</v>
      </c>
      <c r="G2040">
        <v>300.63200000000001</v>
      </c>
      <c r="H2040">
        <v>212.16300000000001</v>
      </c>
      <c r="I2040">
        <v>280.61200000000002</v>
      </c>
      <c r="L2040">
        <v>136.44399999999999</v>
      </c>
    </row>
    <row r="2041" spans="1:12" x14ac:dyDescent="0.25">
      <c r="A2041" s="12">
        <v>44560</v>
      </c>
      <c r="B2041">
        <v>328.34800000000001</v>
      </c>
      <c r="C2041">
        <v>271.351</v>
      </c>
      <c r="D2041">
        <f t="shared" si="17"/>
        <v>136.227</v>
      </c>
      <c r="E2041">
        <v>240.86</v>
      </c>
      <c r="F2041">
        <v>172.15</v>
      </c>
      <c r="G2041">
        <v>301.411</v>
      </c>
      <c r="H2041">
        <v>212.18600000000001</v>
      </c>
      <c r="I2041">
        <v>279.82799999999997</v>
      </c>
      <c r="L2041">
        <v>136.227</v>
      </c>
    </row>
    <row r="2042" spans="1:12" x14ac:dyDescent="0.25">
      <c r="A2042" s="12">
        <v>44561</v>
      </c>
      <c r="B2042">
        <v>328.291</v>
      </c>
      <c r="C2042">
        <v>271.25200000000001</v>
      </c>
      <c r="D2042">
        <f t="shared" si="17"/>
        <v>136.398</v>
      </c>
      <c r="E2042">
        <v>240.953</v>
      </c>
      <c r="F2042">
        <v>172.24299999999999</v>
      </c>
      <c r="G2042">
        <v>300.87799999999999</v>
      </c>
      <c r="H2042">
        <v>211.90100000000001</v>
      </c>
      <c r="I2042">
        <v>280.10000000000002</v>
      </c>
      <c r="L2042">
        <v>136.398</v>
      </c>
    </row>
    <row r="2043" spans="1:12" x14ac:dyDescent="0.25">
      <c r="A2043" s="12">
        <v>44564</v>
      </c>
      <c r="B2043">
        <v>328.26299999999998</v>
      </c>
      <c r="C2043">
        <v>271.10300000000001</v>
      </c>
      <c r="D2043">
        <f t="shared" si="17"/>
        <v>136.49100000000001</v>
      </c>
      <c r="E2043">
        <v>241.042</v>
      </c>
      <c r="F2043">
        <v>172.19200000000001</v>
      </c>
      <c r="G2043">
        <v>300.87900000000002</v>
      </c>
      <c r="H2043">
        <v>211.90100000000001</v>
      </c>
      <c r="I2043">
        <v>280.17099999999999</v>
      </c>
      <c r="L2043">
        <v>136.49100000000001</v>
      </c>
    </row>
    <row r="2044" spans="1:12" x14ac:dyDescent="0.25">
      <c r="A2044" s="12">
        <v>44565</v>
      </c>
      <c r="B2044">
        <v>327.553</v>
      </c>
      <c r="C2044">
        <v>271.084</v>
      </c>
      <c r="D2044">
        <f t="shared" si="17"/>
        <v>136.369</v>
      </c>
      <c r="E2044">
        <v>240.886</v>
      </c>
      <c r="F2044">
        <v>172.06299999999999</v>
      </c>
      <c r="G2044">
        <v>301.26400000000001</v>
      </c>
      <c r="H2044">
        <v>211.96700000000001</v>
      </c>
      <c r="I2044">
        <v>280.14299999999997</v>
      </c>
      <c r="L2044">
        <v>136.369</v>
      </c>
    </row>
    <row r="2045" spans="1:12" x14ac:dyDescent="0.25">
      <c r="A2045" s="12">
        <v>44566</v>
      </c>
      <c r="B2045">
        <v>326.95100000000002</v>
      </c>
      <c r="C2045">
        <v>270.68799999999999</v>
      </c>
      <c r="D2045">
        <f t="shared" si="17"/>
        <v>136.523</v>
      </c>
      <c r="E2045">
        <v>241.27</v>
      </c>
      <c r="F2045">
        <v>171.87100000000001</v>
      </c>
      <c r="G2045">
        <v>301.40600000000001</v>
      </c>
      <c r="H2045">
        <v>211.73400000000001</v>
      </c>
      <c r="I2045">
        <v>280.67899999999997</v>
      </c>
      <c r="L2045">
        <v>136.523</v>
      </c>
    </row>
    <row r="2046" spans="1:12" x14ac:dyDescent="0.25">
      <c r="A2046" s="12">
        <v>44567</v>
      </c>
      <c r="B2046">
        <v>326.70100000000002</v>
      </c>
      <c r="C2046">
        <v>270.36799999999999</v>
      </c>
      <c r="D2046">
        <f t="shared" si="17"/>
        <v>136.619</v>
      </c>
      <c r="E2046">
        <v>240.071</v>
      </c>
      <c r="F2046">
        <v>171.65700000000001</v>
      </c>
      <c r="G2046">
        <v>301.85700000000003</v>
      </c>
      <c r="H2046">
        <v>211.63300000000001</v>
      </c>
      <c r="I2046">
        <v>279.89100000000002</v>
      </c>
      <c r="L2046">
        <v>136.619</v>
      </c>
    </row>
    <row r="2047" spans="1:12" x14ac:dyDescent="0.25">
      <c r="A2047" s="12">
        <v>44568</v>
      </c>
      <c r="B2047">
        <v>324.80700000000002</v>
      </c>
      <c r="C2047">
        <v>269.959</v>
      </c>
      <c r="D2047">
        <f t="shared" si="17"/>
        <v>135.482</v>
      </c>
      <c r="E2047">
        <v>238.649</v>
      </c>
      <c r="F2047">
        <v>171.08</v>
      </c>
      <c r="G2047">
        <v>301.25200000000001</v>
      </c>
      <c r="H2047">
        <v>211.494</v>
      </c>
      <c r="I2047">
        <v>278.19299999999998</v>
      </c>
      <c r="L2047">
        <v>135.482</v>
      </c>
    </row>
    <row r="2048" spans="1:12" x14ac:dyDescent="0.25">
      <c r="A2048" s="12">
        <v>44571</v>
      </c>
      <c r="B2048">
        <v>323.49599999999998</v>
      </c>
      <c r="C2048">
        <v>269.44499999999999</v>
      </c>
      <c r="D2048">
        <f t="shared" si="17"/>
        <v>135.09800000000001</v>
      </c>
      <c r="E2048">
        <v>238.18</v>
      </c>
      <c r="F2048">
        <v>170.77799999999999</v>
      </c>
      <c r="G2048">
        <v>298.55500000000001</v>
      </c>
      <c r="H2048">
        <v>211.102</v>
      </c>
      <c r="I2048">
        <v>277.28300000000002</v>
      </c>
      <c r="L2048">
        <v>135.09800000000001</v>
      </c>
    </row>
    <row r="2049" spans="1:12" x14ac:dyDescent="0.25">
      <c r="A2049" s="12">
        <v>44572</v>
      </c>
      <c r="B2049">
        <v>322.50400000000002</v>
      </c>
      <c r="C2049">
        <v>269.08</v>
      </c>
      <c r="D2049">
        <f t="shared" si="17"/>
        <v>134.40299999999999</v>
      </c>
      <c r="E2049">
        <v>237.12700000000001</v>
      </c>
      <c r="F2049">
        <v>170.501</v>
      </c>
      <c r="G2049">
        <v>298.15100000000001</v>
      </c>
      <c r="H2049">
        <v>210.91300000000001</v>
      </c>
      <c r="I2049">
        <v>275.709</v>
      </c>
      <c r="L2049">
        <v>134.40299999999999</v>
      </c>
    </row>
    <row r="2050" spans="1:12" x14ac:dyDescent="0.25">
      <c r="A2050" s="12">
        <v>44573</v>
      </c>
      <c r="B2050">
        <v>322.59399999999999</v>
      </c>
      <c r="C2050">
        <v>268.69900000000001</v>
      </c>
      <c r="D2050">
        <f t="shared" si="17"/>
        <v>134.70400000000001</v>
      </c>
      <c r="E2050">
        <v>237.78399999999999</v>
      </c>
      <c r="F2050">
        <v>170.43799999999999</v>
      </c>
      <c r="G2050">
        <v>296.32900000000001</v>
      </c>
      <c r="H2050">
        <v>210.64</v>
      </c>
      <c r="I2050">
        <v>276.50599999999997</v>
      </c>
      <c r="L2050">
        <v>134.70400000000001</v>
      </c>
    </row>
    <row r="2051" spans="1:12" x14ac:dyDescent="0.25">
      <c r="A2051" s="12">
        <v>44574</v>
      </c>
      <c r="B2051">
        <v>323.52699999999999</v>
      </c>
      <c r="C2051">
        <v>268.83600000000001</v>
      </c>
      <c r="D2051">
        <f t="shared" si="17"/>
        <v>135.023</v>
      </c>
      <c r="E2051">
        <v>238.44900000000001</v>
      </c>
      <c r="F2051">
        <v>170.44300000000001</v>
      </c>
      <c r="G2051">
        <v>297.09199999999998</v>
      </c>
      <c r="H2051">
        <v>210.64400000000001</v>
      </c>
      <c r="I2051">
        <v>277.358</v>
      </c>
      <c r="L2051">
        <v>135.023</v>
      </c>
    </row>
    <row r="2052" spans="1:12" x14ac:dyDescent="0.25">
      <c r="A2052" s="12">
        <v>44575</v>
      </c>
      <c r="B2052">
        <v>323.15800000000002</v>
      </c>
      <c r="C2052">
        <v>268.86099999999999</v>
      </c>
      <c r="D2052">
        <f t="shared" si="17"/>
        <v>134.977</v>
      </c>
      <c r="E2052">
        <v>237.54499999999999</v>
      </c>
      <c r="F2052">
        <v>170.31200000000001</v>
      </c>
      <c r="G2052">
        <v>298.12200000000001</v>
      </c>
      <c r="H2052">
        <v>210.768</v>
      </c>
      <c r="I2052">
        <v>277.065</v>
      </c>
      <c r="L2052">
        <v>134.977</v>
      </c>
    </row>
    <row r="2053" spans="1:12" x14ac:dyDescent="0.25">
      <c r="A2053" s="12">
        <v>44578</v>
      </c>
      <c r="B2053">
        <v>321.76799999999997</v>
      </c>
      <c r="C2053">
        <v>268.63299999999998</v>
      </c>
      <c r="D2053">
        <f t="shared" si="17"/>
        <v>134.142</v>
      </c>
      <c r="E2053">
        <v>236.41499999999999</v>
      </c>
      <c r="F2053">
        <v>169.90100000000001</v>
      </c>
      <c r="G2053">
        <v>297.94600000000003</v>
      </c>
      <c r="H2053">
        <v>210.74299999999999</v>
      </c>
      <c r="I2053">
        <v>275.31099999999998</v>
      </c>
      <c r="L2053">
        <v>134.142</v>
      </c>
    </row>
    <row r="2054" spans="1:12" x14ac:dyDescent="0.25">
      <c r="A2054" s="12">
        <v>44579</v>
      </c>
      <c r="B2054">
        <v>321.34800000000001</v>
      </c>
      <c r="C2054">
        <v>268.03399999999999</v>
      </c>
      <c r="D2054">
        <f t="shared" si="17"/>
        <v>134.22300000000001</v>
      </c>
      <c r="E2054">
        <v>236.52</v>
      </c>
      <c r="F2054">
        <v>169.68700000000001</v>
      </c>
      <c r="G2054">
        <v>295.803</v>
      </c>
      <c r="H2054">
        <v>210.32599999999999</v>
      </c>
      <c r="I2054">
        <v>276.22699999999998</v>
      </c>
      <c r="L2054">
        <v>134.22300000000001</v>
      </c>
    </row>
    <row r="2055" spans="1:12" x14ac:dyDescent="0.25">
      <c r="A2055" s="12">
        <v>44580</v>
      </c>
      <c r="B2055">
        <v>320.48700000000002</v>
      </c>
      <c r="C2055">
        <v>267.69400000000002</v>
      </c>
      <c r="D2055">
        <f t="shared" si="17"/>
        <v>133.86600000000001</v>
      </c>
      <c r="E2055">
        <v>235.34800000000001</v>
      </c>
      <c r="F2055">
        <v>169.22200000000001</v>
      </c>
      <c r="G2055">
        <v>296.28100000000001</v>
      </c>
      <c r="H2055">
        <v>210.18199999999999</v>
      </c>
      <c r="I2055">
        <v>274.87900000000002</v>
      </c>
      <c r="L2055">
        <v>133.86600000000001</v>
      </c>
    </row>
    <row r="2056" spans="1:12" x14ac:dyDescent="0.25">
      <c r="A2056" s="12">
        <v>44581</v>
      </c>
      <c r="B2056">
        <v>318.74099999999999</v>
      </c>
      <c r="C2056">
        <v>266.93700000000001</v>
      </c>
      <c r="D2056">
        <f t="shared" si="17"/>
        <v>133.54499999999999</v>
      </c>
      <c r="E2056">
        <v>234.94800000000001</v>
      </c>
      <c r="F2056">
        <v>169.45599999999999</v>
      </c>
      <c r="G2056">
        <v>294.97500000000002</v>
      </c>
      <c r="H2056">
        <v>209.74700000000001</v>
      </c>
      <c r="I2056">
        <v>274.19600000000003</v>
      </c>
      <c r="L2056">
        <v>133.54499999999999</v>
      </c>
    </row>
    <row r="2057" spans="1:12" x14ac:dyDescent="0.25">
      <c r="A2057" s="12">
        <v>44582</v>
      </c>
      <c r="B2057">
        <v>318.51400000000001</v>
      </c>
      <c r="C2057">
        <v>267.06700000000001</v>
      </c>
      <c r="D2057">
        <f t="shared" si="17"/>
        <v>133.328</v>
      </c>
      <c r="E2057">
        <v>235.37</v>
      </c>
      <c r="F2057">
        <v>169.715</v>
      </c>
      <c r="G2057">
        <v>294.601</v>
      </c>
      <c r="H2057">
        <v>209.833</v>
      </c>
      <c r="I2057">
        <v>275.08</v>
      </c>
      <c r="L2057">
        <v>133.328</v>
      </c>
    </row>
    <row r="2058" spans="1:12" x14ac:dyDescent="0.25">
      <c r="A2058" s="12">
        <v>44585</v>
      </c>
      <c r="B2058">
        <v>317.10599999999999</v>
      </c>
      <c r="C2058">
        <v>267.363</v>
      </c>
      <c r="D2058">
        <f t="shared" si="17"/>
        <v>132.602</v>
      </c>
      <c r="E2058">
        <v>234.05799999999999</v>
      </c>
      <c r="F2058">
        <v>169.96100000000001</v>
      </c>
      <c r="G2058">
        <v>294.97699999999998</v>
      </c>
      <c r="H2058">
        <v>210.136</v>
      </c>
      <c r="I2058">
        <v>273.03300000000002</v>
      </c>
      <c r="L2058">
        <v>132.602</v>
      </c>
    </row>
    <row r="2059" spans="1:12" x14ac:dyDescent="0.25">
      <c r="A2059" s="12">
        <v>44586</v>
      </c>
      <c r="B2059">
        <v>314.93</v>
      </c>
      <c r="C2059">
        <v>267.733</v>
      </c>
      <c r="D2059">
        <f t="shared" si="17"/>
        <v>130.97</v>
      </c>
      <c r="E2059">
        <v>231.98500000000001</v>
      </c>
      <c r="F2059">
        <v>169.685</v>
      </c>
      <c r="G2059">
        <v>292.95699999999999</v>
      </c>
      <c r="H2059">
        <v>210.33500000000001</v>
      </c>
      <c r="I2059">
        <v>269.137</v>
      </c>
      <c r="L2059">
        <v>130.97</v>
      </c>
    </row>
    <row r="2060" spans="1:12" x14ac:dyDescent="0.25">
      <c r="A2060" s="12">
        <v>44587</v>
      </c>
      <c r="B2060">
        <v>314.98399999999998</v>
      </c>
      <c r="C2060">
        <v>267.38099999999997</v>
      </c>
      <c r="D2060">
        <f t="shared" si="17"/>
        <v>131.255</v>
      </c>
      <c r="E2060">
        <v>231.702</v>
      </c>
      <c r="F2060">
        <v>169.62299999999999</v>
      </c>
      <c r="G2060">
        <v>288.87799999999999</v>
      </c>
      <c r="H2060">
        <v>210.10900000000001</v>
      </c>
      <c r="I2060">
        <v>269.86500000000001</v>
      </c>
      <c r="L2060">
        <v>131.255</v>
      </c>
    </row>
    <row r="2061" spans="1:12" x14ac:dyDescent="0.25">
      <c r="A2061" s="12">
        <v>44588</v>
      </c>
      <c r="B2061">
        <v>314.37700000000001</v>
      </c>
      <c r="C2061">
        <v>267.00700000000001</v>
      </c>
      <c r="D2061">
        <f t="shared" si="17"/>
        <v>131.465</v>
      </c>
      <c r="E2061">
        <v>232.227</v>
      </c>
      <c r="F2061">
        <v>169.73500000000001</v>
      </c>
      <c r="G2061">
        <v>289.137</v>
      </c>
      <c r="H2061">
        <v>209.953</v>
      </c>
      <c r="I2061">
        <v>271.69299999999998</v>
      </c>
      <c r="L2061">
        <v>131.465</v>
      </c>
    </row>
    <row r="2062" spans="1:12" x14ac:dyDescent="0.25">
      <c r="A2062" s="12">
        <v>44589</v>
      </c>
      <c r="B2062">
        <v>313.959</v>
      </c>
      <c r="C2062">
        <v>266.95800000000003</v>
      </c>
      <c r="D2062">
        <f t="shared" si="17"/>
        <v>131.565</v>
      </c>
      <c r="E2062">
        <v>232.428</v>
      </c>
      <c r="F2062">
        <v>169.95400000000001</v>
      </c>
      <c r="G2062">
        <v>290.12099999999998</v>
      </c>
      <c r="H2062">
        <v>209.959</v>
      </c>
      <c r="I2062">
        <v>272.01499999999999</v>
      </c>
      <c r="L2062">
        <v>131.565</v>
      </c>
    </row>
    <row r="2063" spans="1:12" x14ac:dyDescent="0.25">
      <c r="A2063" s="12">
        <v>44592</v>
      </c>
      <c r="B2063">
        <v>313.61</v>
      </c>
      <c r="C2063">
        <v>266.60000000000002</v>
      </c>
      <c r="D2063">
        <f t="shared" si="17"/>
        <v>131.245</v>
      </c>
      <c r="E2063">
        <v>232.40299999999999</v>
      </c>
      <c r="F2063">
        <v>169.66800000000001</v>
      </c>
      <c r="G2063">
        <v>290.52499999999998</v>
      </c>
      <c r="H2063">
        <v>209.87200000000001</v>
      </c>
      <c r="I2063">
        <v>270.47699999999998</v>
      </c>
      <c r="L2063">
        <v>131.245</v>
      </c>
    </row>
    <row r="2064" spans="1:12" x14ac:dyDescent="0.25">
      <c r="A2064" s="12">
        <v>44593</v>
      </c>
      <c r="B2064">
        <v>316.07799999999997</v>
      </c>
      <c r="C2064">
        <v>266.20400000000001</v>
      </c>
      <c r="D2064">
        <f t="shared" si="17"/>
        <v>132.16399999999999</v>
      </c>
      <c r="E2064">
        <v>233.83</v>
      </c>
      <c r="F2064">
        <v>169.35400000000001</v>
      </c>
      <c r="G2064">
        <v>289.25700000000001</v>
      </c>
      <c r="H2064">
        <v>209.56399999999999</v>
      </c>
      <c r="I2064">
        <v>272.16000000000003</v>
      </c>
      <c r="L2064">
        <v>132.16399999999999</v>
      </c>
    </row>
    <row r="2065" spans="1:12" x14ac:dyDescent="0.25">
      <c r="A2065" s="12">
        <v>44594</v>
      </c>
      <c r="B2065">
        <v>317.596</v>
      </c>
      <c r="C2065">
        <v>265.81599999999997</v>
      </c>
      <c r="D2065">
        <f t="shared" si="17"/>
        <v>132.72900000000001</v>
      </c>
      <c r="E2065">
        <v>234.441</v>
      </c>
      <c r="F2065">
        <v>169.16</v>
      </c>
      <c r="G2065">
        <v>290.90800000000002</v>
      </c>
      <c r="H2065">
        <v>209.26900000000001</v>
      </c>
      <c r="I2065">
        <v>272.94099999999997</v>
      </c>
      <c r="L2065">
        <v>132.72900000000001</v>
      </c>
    </row>
    <row r="2066" spans="1:12" x14ac:dyDescent="0.25">
      <c r="A2066" s="12">
        <v>44595</v>
      </c>
      <c r="B2066">
        <v>318.78300000000002</v>
      </c>
      <c r="C2066">
        <v>265.90499999999997</v>
      </c>
      <c r="D2066">
        <f t="shared" si="17"/>
        <v>132.85</v>
      </c>
      <c r="E2066">
        <v>234.93</v>
      </c>
      <c r="F2066">
        <v>169.285</v>
      </c>
      <c r="G2066">
        <v>292.57400000000001</v>
      </c>
      <c r="H2066">
        <v>209.25399999999999</v>
      </c>
      <c r="I2066">
        <v>273.67</v>
      </c>
      <c r="L2066">
        <v>132.85</v>
      </c>
    </row>
    <row r="2067" spans="1:12" x14ac:dyDescent="0.25">
      <c r="A2067" s="12">
        <v>44596</v>
      </c>
      <c r="B2067">
        <v>318.11700000000002</v>
      </c>
      <c r="C2067">
        <v>265.548</v>
      </c>
      <c r="D2067">
        <f t="shared" ref="D2067:D2130" si="18">IF(L2067&gt;1,L2067,L2067*100)</f>
        <v>132.322</v>
      </c>
      <c r="E2067">
        <v>232.511</v>
      </c>
      <c r="F2067">
        <v>168.33799999999999</v>
      </c>
      <c r="G2067">
        <v>293.298</v>
      </c>
      <c r="H2067">
        <v>209.35400000000001</v>
      </c>
      <c r="I2067">
        <v>270.94499999999999</v>
      </c>
      <c r="L2067">
        <v>132.322</v>
      </c>
    </row>
    <row r="2068" spans="1:12" x14ac:dyDescent="0.25">
      <c r="A2068" s="12">
        <v>44599</v>
      </c>
      <c r="B2068">
        <v>314.36500000000001</v>
      </c>
      <c r="C2068">
        <v>263.94</v>
      </c>
      <c r="D2068">
        <f t="shared" si="18"/>
        <v>130.381</v>
      </c>
      <c r="E2068">
        <v>230.858</v>
      </c>
      <c r="F2068">
        <v>167.12</v>
      </c>
      <c r="G2068">
        <v>291.26</v>
      </c>
      <c r="H2068">
        <v>208.52099999999999</v>
      </c>
      <c r="I2068">
        <v>268.62799999999999</v>
      </c>
      <c r="L2068">
        <v>130.381</v>
      </c>
    </row>
    <row r="2069" spans="1:12" x14ac:dyDescent="0.25">
      <c r="A2069" s="12">
        <v>44600</v>
      </c>
      <c r="B2069">
        <v>314.15899999999999</v>
      </c>
      <c r="C2069">
        <v>262.89400000000001</v>
      </c>
      <c r="D2069">
        <f t="shared" si="18"/>
        <v>130.25</v>
      </c>
      <c r="E2069">
        <v>230.35900000000001</v>
      </c>
      <c r="F2069">
        <v>166.417</v>
      </c>
      <c r="G2069">
        <v>288.12799999999999</v>
      </c>
      <c r="H2069">
        <v>207.27699999999999</v>
      </c>
      <c r="I2069">
        <v>268.322</v>
      </c>
      <c r="L2069">
        <v>130.25</v>
      </c>
    </row>
    <row r="2070" spans="1:12" x14ac:dyDescent="0.25">
      <c r="A2070" s="12">
        <v>44601</v>
      </c>
      <c r="B2070">
        <v>313.93200000000002</v>
      </c>
      <c r="C2070">
        <v>262.52</v>
      </c>
      <c r="D2070">
        <f t="shared" si="18"/>
        <v>130.08000000000001</v>
      </c>
      <c r="E2070">
        <v>230.37299999999999</v>
      </c>
      <c r="F2070">
        <v>166.20599999999999</v>
      </c>
      <c r="G2070">
        <v>288.279</v>
      </c>
      <c r="H2070">
        <v>206.67500000000001</v>
      </c>
      <c r="I2070">
        <v>268.024</v>
      </c>
      <c r="L2070">
        <v>130.08000000000001</v>
      </c>
    </row>
    <row r="2071" spans="1:12" x14ac:dyDescent="0.25">
      <c r="A2071" s="12">
        <v>44602</v>
      </c>
      <c r="B2071">
        <v>315.19200000000001</v>
      </c>
      <c r="C2071">
        <v>262.76100000000002</v>
      </c>
      <c r="D2071">
        <f t="shared" si="18"/>
        <v>130.86199999999999</v>
      </c>
      <c r="E2071">
        <v>232.149</v>
      </c>
      <c r="F2071">
        <v>166.60599999999999</v>
      </c>
      <c r="G2071">
        <v>288.21199999999999</v>
      </c>
      <c r="H2071">
        <v>206.56399999999999</v>
      </c>
      <c r="I2071">
        <v>270.05200000000002</v>
      </c>
      <c r="L2071">
        <v>130.86199999999999</v>
      </c>
    </row>
    <row r="2072" spans="1:12" x14ac:dyDescent="0.25">
      <c r="A2072" s="12">
        <v>44603</v>
      </c>
      <c r="B2072">
        <v>315.96600000000001</v>
      </c>
      <c r="C2072">
        <v>262.51499999999999</v>
      </c>
      <c r="D2072">
        <f t="shared" si="18"/>
        <v>131.24199999999999</v>
      </c>
      <c r="E2072">
        <v>231.19300000000001</v>
      </c>
      <c r="F2072">
        <v>166.035</v>
      </c>
      <c r="G2072">
        <v>290.411</v>
      </c>
      <c r="H2072">
        <v>206.964</v>
      </c>
      <c r="I2072">
        <v>269.04899999999998</v>
      </c>
      <c r="L2072">
        <v>131.24199999999999</v>
      </c>
    </row>
    <row r="2073" spans="1:12" x14ac:dyDescent="0.25">
      <c r="A2073" s="12">
        <v>44606</v>
      </c>
      <c r="B2073">
        <v>313.77600000000001</v>
      </c>
      <c r="C2073">
        <v>261.79599999999999</v>
      </c>
      <c r="D2073">
        <f t="shared" si="18"/>
        <v>130.27699999999999</v>
      </c>
      <c r="E2073">
        <v>230.1</v>
      </c>
      <c r="F2073">
        <v>165.678</v>
      </c>
      <c r="G2073">
        <v>290.48599999999999</v>
      </c>
      <c r="H2073">
        <v>206.47900000000001</v>
      </c>
      <c r="I2073">
        <v>267.72899999999998</v>
      </c>
      <c r="L2073">
        <v>130.27699999999999</v>
      </c>
    </row>
    <row r="2074" spans="1:12" x14ac:dyDescent="0.25">
      <c r="A2074" s="12">
        <v>44607</v>
      </c>
      <c r="B2074">
        <v>312.16399999999999</v>
      </c>
      <c r="C2074">
        <v>261.58800000000002</v>
      </c>
      <c r="D2074">
        <f t="shared" si="18"/>
        <v>129.566</v>
      </c>
      <c r="E2074">
        <v>229.09100000000001</v>
      </c>
      <c r="F2074">
        <v>165.47</v>
      </c>
      <c r="G2074">
        <v>289.803</v>
      </c>
      <c r="H2074">
        <v>206.22</v>
      </c>
      <c r="I2074">
        <v>266.03899999999999</v>
      </c>
      <c r="L2074">
        <v>129.566</v>
      </c>
    </row>
    <row r="2075" spans="1:12" x14ac:dyDescent="0.25">
      <c r="A2075" s="12">
        <v>44608</v>
      </c>
      <c r="B2075">
        <v>312.18400000000003</v>
      </c>
      <c r="C2075">
        <v>260.90499999999997</v>
      </c>
      <c r="D2075">
        <f t="shared" si="18"/>
        <v>129.905</v>
      </c>
      <c r="E2075">
        <v>229.791</v>
      </c>
      <c r="F2075">
        <v>165.43</v>
      </c>
      <c r="G2075">
        <v>287.36399999999998</v>
      </c>
      <c r="H2075">
        <v>205.73599999999999</v>
      </c>
      <c r="I2075">
        <v>266.755</v>
      </c>
      <c r="L2075">
        <v>129.905</v>
      </c>
    </row>
    <row r="2076" spans="1:12" x14ac:dyDescent="0.25">
      <c r="A2076" s="12">
        <v>44609</v>
      </c>
      <c r="B2076">
        <v>313.351</v>
      </c>
      <c r="C2076">
        <v>260.85000000000002</v>
      </c>
      <c r="D2076">
        <f t="shared" si="18"/>
        <v>129.982</v>
      </c>
      <c r="E2076">
        <v>230.33600000000001</v>
      </c>
      <c r="F2076">
        <v>165.61199999999999</v>
      </c>
      <c r="G2076">
        <v>288.351</v>
      </c>
      <c r="H2076">
        <v>205.64</v>
      </c>
      <c r="I2076">
        <v>266.91800000000001</v>
      </c>
      <c r="L2076">
        <v>129.982</v>
      </c>
    </row>
    <row r="2077" spans="1:12" x14ac:dyDescent="0.25">
      <c r="A2077" s="12">
        <v>44610</v>
      </c>
      <c r="B2077">
        <v>312.91300000000001</v>
      </c>
      <c r="C2077">
        <v>261.15899999999999</v>
      </c>
      <c r="D2077">
        <f t="shared" si="18"/>
        <v>130.12200000000001</v>
      </c>
      <c r="E2077">
        <v>229.51900000000001</v>
      </c>
      <c r="F2077">
        <v>165.63300000000001</v>
      </c>
      <c r="G2077">
        <v>289.11399999999998</v>
      </c>
      <c r="H2077">
        <v>205.923</v>
      </c>
      <c r="I2077">
        <v>266.64600000000002</v>
      </c>
      <c r="L2077">
        <v>130.12200000000001</v>
      </c>
    </row>
    <row r="2078" spans="1:12" x14ac:dyDescent="0.25">
      <c r="A2078" s="12">
        <v>44613</v>
      </c>
      <c r="B2078">
        <v>311.60500000000002</v>
      </c>
      <c r="C2078">
        <v>261.31700000000001</v>
      </c>
      <c r="D2078">
        <f t="shared" si="18"/>
        <v>129.339</v>
      </c>
      <c r="E2078">
        <v>228.62299999999999</v>
      </c>
      <c r="F2078">
        <v>165.648</v>
      </c>
      <c r="G2078">
        <v>288.67899999999997</v>
      </c>
      <c r="H2078">
        <v>206.036</v>
      </c>
      <c r="I2078">
        <v>265.66399999999999</v>
      </c>
      <c r="L2078">
        <v>129.339</v>
      </c>
    </row>
    <row r="2079" spans="1:12" x14ac:dyDescent="0.25">
      <c r="A2079" s="12">
        <v>44614</v>
      </c>
      <c r="B2079">
        <v>310.48500000000001</v>
      </c>
      <c r="C2079">
        <v>261.26100000000002</v>
      </c>
      <c r="D2079">
        <f t="shared" si="18"/>
        <v>128.869</v>
      </c>
      <c r="E2079">
        <v>227.874</v>
      </c>
      <c r="F2079">
        <v>165.334</v>
      </c>
      <c r="G2079">
        <v>287.20100000000002</v>
      </c>
      <c r="H2079">
        <v>206.131</v>
      </c>
      <c r="I2079">
        <v>264.22300000000001</v>
      </c>
      <c r="L2079">
        <v>128.869</v>
      </c>
    </row>
    <row r="2080" spans="1:12" x14ac:dyDescent="0.25">
      <c r="A2080" s="12">
        <v>44615</v>
      </c>
      <c r="B2080">
        <v>309.37599999999998</v>
      </c>
      <c r="C2080">
        <v>260.84199999999998</v>
      </c>
      <c r="D2080">
        <f t="shared" si="18"/>
        <v>128.79499999999999</v>
      </c>
      <c r="E2080">
        <v>226.98599999999999</v>
      </c>
      <c r="F2080">
        <v>164.941</v>
      </c>
      <c r="G2080">
        <v>285.96800000000002</v>
      </c>
      <c r="H2080">
        <v>206.02</v>
      </c>
      <c r="I2080">
        <v>263.53399999999999</v>
      </c>
      <c r="L2080">
        <v>128.79499999999999</v>
      </c>
    </row>
    <row r="2081" spans="1:12" x14ac:dyDescent="0.25">
      <c r="A2081" s="12">
        <v>44616</v>
      </c>
      <c r="B2081">
        <v>307.875</v>
      </c>
      <c r="C2081">
        <v>260.226</v>
      </c>
      <c r="D2081">
        <f t="shared" si="18"/>
        <v>128.148</v>
      </c>
      <c r="E2081">
        <v>225.85499999999999</v>
      </c>
      <c r="F2081">
        <v>164.40100000000001</v>
      </c>
      <c r="G2081">
        <v>285.096</v>
      </c>
      <c r="H2081">
        <v>205.28800000000001</v>
      </c>
      <c r="I2081">
        <v>262.81099999999998</v>
      </c>
      <c r="L2081">
        <v>128.148</v>
      </c>
    </row>
    <row r="2082" spans="1:12" x14ac:dyDescent="0.25">
      <c r="A2082" s="12">
        <v>44617</v>
      </c>
      <c r="B2082">
        <v>305.29399999999998</v>
      </c>
      <c r="C2082">
        <v>258.536</v>
      </c>
      <c r="D2082">
        <f t="shared" si="18"/>
        <v>127.31399999999999</v>
      </c>
      <c r="E2082">
        <v>224.52199999999999</v>
      </c>
      <c r="F2082">
        <v>163.185</v>
      </c>
      <c r="G2082">
        <v>284.31599999999997</v>
      </c>
      <c r="H2082">
        <v>204.995</v>
      </c>
      <c r="I2082">
        <v>259.88900000000001</v>
      </c>
      <c r="L2082">
        <v>127.31399999999999</v>
      </c>
    </row>
    <row r="2083" spans="1:12" x14ac:dyDescent="0.25">
      <c r="A2083" s="12">
        <v>44620</v>
      </c>
      <c r="B2083">
        <v>306.36200000000002</v>
      </c>
      <c r="C2083">
        <v>257.452</v>
      </c>
      <c r="D2083">
        <f t="shared" si="18"/>
        <v>129.011</v>
      </c>
      <c r="E2083">
        <v>226.80099999999999</v>
      </c>
      <c r="F2083">
        <v>163.916</v>
      </c>
      <c r="G2083">
        <v>280.07600000000002</v>
      </c>
      <c r="H2083">
        <v>203.83799999999999</v>
      </c>
      <c r="I2083">
        <v>263.03800000000001</v>
      </c>
      <c r="L2083">
        <v>129.011</v>
      </c>
    </row>
    <row r="2084" spans="1:12" x14ac:dyDescent="0.25">
      <c r="A2084" s="12">
        <v>44621</v>
      </c>
      <c r="B2084">
        <v>307.58699999999999</v>
      </c>
      <c r="C2084">
        <v>257.51799999999997</v>
      </c>
      <c r="D2084">
        <f t="shared" si="18"/>
        <v>129.404</v>
      </c>
      <c r="E2084">
        <v>226.96600000000001</v>
      </c>
      <c r="F2084">
        <v>163.44300000000001</v>
      </c>
      <c r="G2084">
        <v>283.96600000000001</v>
      </c>
      <c r="H2084">
        <v>204.15199999999999</v>
      </c>
      <c r="I2084">
        <v>262.87599999999998</v>
      </c>
      <c r="L2084">
        <v>129.404</v>
      </c>
    </row>
    <row r="2085" spans="1:12" x14ac:dyDescent="0.25">
      <c r="A2085" s="12">
        <v>44622</v>
      </c>
      <c r="B2085">
        <v>307.90499999999997</v>
      </c>
      <c r="C2085">
        <v>257.93700000000001</v>
      </c>
      <c r="D2085">
        <f t="shared" si="18"/>
        <v>129.583</v>
      </c>
      <c r="E2085">
        <v>227.23699999999999</v>
      </c>
      <c r="F2085">
        <v>164.00299999999999</v>
      </c>
      <c r="G2085">
        <v>283.41199999999998</v>
      </c>
      <c r="H2085">
        <v>203.44399999999999</v>
      </c>
      <c r="I2085">
        <v>263.77300000000002</v>
      </c>
      <c r="L2085">
        <v>129.583</v>
      </c>
    </row>
    <row r="2086" spans="1:12" x14ac:dyDescent="0.25">
      <c r="A2086" s="12">
        <v>44623</v>
      </c>
      <c r="B2086">
        <v>307.08800000000002</v>
      </c>
      <c r="C2086">
        <v>257.27600000000001</v>
      </c>
      <c r="D2086">
        <f t="shared" si="18"/>
        <v>130.26499999999999</v>
      </c>
      <c r="E2086">
        <v>227.47300000000001</v>
      </c>
      <c r="F2086">
        <v>163.614</v>
      </c>
      <c r="G2086">
        <v>282.59300000000002</v>
      </c>
      <c r="H2086">
        <v>203.67500000000001</v>
      </c>
      <c r="I2086">
        <v>263.50599999999997</v>
      </c>
      <c r="L2086">
        <v>130.26499999999999</v>
      </c>
    </row>
    <row r="2087" spans="1:12" x14ac:dyDescent="0.25">
      <c r="A2087" s="12">
        <v>44624</v>
      </c>
      <c r="B2087">
        <v>307.14400000000001</v>
      </c>
      <c r="C2087">
        <v>256.42099999999999</v>
      </c>
      <c r="D2087">
        <f t="shared" si="18"/>
        <v>130.535</v>
      </c>
      <c r="E2087">
        <v>227.23699999999999</v>
      </c>
      <c r="F2087">
        <v>163.23599999999999</v>
      </c>
      <c r="G2087">
        <v>281.90499999999997</v>
      </c>
      <c r="H2087">
        <v>202.69399999999999</v>
      </c>
      <c r="I2087">
        <v>263.64600000000002</v>
      </c>
      <c r="L2087">
        <v>130.535</v>
      </c>
    </row>
    <row r="2088" spans="1:12" x14ac:dyDescent="0.25">
      <c r="A2088" s="12">
        <v>44627</v>
      </c>
      <c r="B2088">
        <v>305.87599999999998</v>
      </c>
      <c r="C2088">
        <v>256.37700000000001</v>
      </c>
      <c r="D2088">
        <f t="shared" si="18"/>
        <v>130.16499999999999</v>
      </c>
      <c r="E2088">
        <v>226.327</v>
      </c>
      <c r="F2088">
        <v>162.97</v>
      </c>
      <c r="G2088">
        <v>282.173</v>
      </c>
      <c r="H2088">
        <v>202.84899999999999</v>
      </c>
      <c r="I2088">
        <v>262.60899999999998</v>
      </c>
      <c r="L2088">
        <v>130.16499999999999</v>
      </c>
    </row>
    <row r="2089" spans="1:12" x14ac:dyDescent="0.25">
      <c r="A2089" s="12">
        <v>44628</v>
      </c>
      <c r="B2089">
        <v>303.47800000000001</v>
      </c>
      <c r="C2089">
        <v>255.28</v>
      </c>
      <c r="D2089">
        <f t="shared" si="18"/>
        <v>130.36199999999999</v>
      </c>
      <c r="E2089">
        <v>224.36799999999999</v>
      </c>
      <c r="F2089">
        <v>162.01400000000001</v>
      </c>
      <c r="G2089">
        <v>279.55200000000002</v>
      </c>
      <c r="H2089">
        <v>202.673</v>
      </c>
      <c r="I2089">
        <v>261.04599999999999</v>
      </c>
      <c r="L2089">
        <v>130.36199999999999</v>
      </c>
    </row>
    <row r="2090" spans="1:12" x14ac:dyDescent="0.25">
      <c r="A2090" s="12">
        <v>44629</v>
      </c>
      <c r="B2090">
        <v>299.87799999999999</v>
      </c>
      <c r="C2090">
        <v>253.78299999999999</v>
      </c>
      <c r="D2090">
        <f t="shared" si="18"/>
        <v>128.77699999999999</v>
      </c>
      <c r="E2090">
        <v>222.82499999999999</v>
      </c>
      <c r="F2090">
        <v>161.42699999999999</v>
      </c>
      <c r="G2090">
        <v>277.32400000000001</v>
      </c>
      <c r="H2090">
        <v>201.47300000000001</v>
      </c>
      <c r="I2090">
        <v>258.68200000000002</v>
      </c>
      <c r="L2090">
        <v>128.77699999999999</v>
      </c>
    </row>
    <row r="2091" spans="1:12" x14ac:dyDescent="0.25">
      <c r="A2091" s="12">
        <v>44630</v>
      </c>
      <c r="B2091">
        <v>299.84500000000003</v>
      </c>
      <c r="C2091">
        <v>252.67699999999999</v>
      </c>
      <c r="D2091">
        <f t="shared" si="18"/>
        <v>128.71799999999999</v>
      </c>
      <c r="E2091">
        <v>223.53899999999999</v>
      </c>
      <c r="F2091">
        <v>161.30500000000001</v>
      </c>
      <c r="G2091">
        <v>274.733</v>
      </c>
      <c r="H2091">
        <v>200.63200000000001</v>
      </c>
      <c r="I2091">
        <v>259.93700000000001</v>
      </c>
      <c r="L2091">
        <v>128.71799999999999</v>
      </c>
    </row>
    <row r="2092" spans="1:12" x14ac:dyDescent="0.25">
      <c r="A2092" s="12">
        <v>44631</v>
      </c>
      <c r="B2092">
        <v>300.34300000000002</v>
      </c>
      <c r="C2092">
        <v>252.102</v>
      </c>
      <c r="D2092">
        <f t="shared" si="18"/>
        <v>128.16499999999999</v>
      </c>
      <c r="E2092">
        <v>223.066</v>
      </c>
      <c r="F2092">
        <v>160.858</v>
      </c>
      <c r="G2092">
        <v>276.61599999999999</v>
      </c>
      <c r="H2092">
        <v>200.47499999999999</v>
      </c>
      <c r="I2092">
        <v>258.91399999999999</v>
      </c>
      <c r="L2092">
        <v>128.16499999999999</v>
      </c>
    </row>
    <row r="2093" spans="1:12" x14ac:dyDescent="0.25">
      <c r="A2093" s="12">
        <v>44634</v>
      </c>
      <c r="B2093">
        <v>300.27699999999999</v>
      </c>
      <c r="C2093">
        <v>251.77600000000001</v>
      </c>
      <c r="D2093">
        <f t="shared" si="18"/>
        <v>128.45099999999999</v>
      </c>
      <c r="E2093">
        <v>223.25299999999999</v>
      </c>
      <c r="F2093">
        <v>161.09899999999999</v>
      </c>
      <c r="G2093">
        <v>276.14400000000001</v>
      </c>
      <c r="H2093">
        <v>200.05199999999999</v>
      </c>
      <c r="I2093">
        <v>260.27800000000002</v>
      </c>
      <c r="L2093">
        <v>128.45099999999999</v>
      </c>
    </row>
    <row r="2094" spans="1:12" x14ac:dyDescent="0.25">
      <c r="A2094" s="12">
        <v>44635</v>
      </c>
      <c r="B2094">
        <v>298.75</v>
      </c>
      <c r="C2094">
        <v>251.238</v>
      </c>
      <c r="D2094">
        <f t="shared" si="18"/>
        <v>127.967</v>
      </c>
      <c r="E2094">
        <v>221.70400000000001</v>
      </c>
      <c r="F2094">
        <v>160.41499999999999</v>
      </c>
      <c r="G2094">
        <v>276.61</v>
      </c>
      <c r="H2094">
        <v>200.017</v>
      </c>
      <c r="I2094">
        <v>258.99799999999999</v>
      </c>
      <c r="L2094">
        <v>127.967</v>
      </c>
    </row>
    <row r="2095" spans="1:12" x14ac:dyDescent="0.25">
      <c r="A2095" s="12">
        <v>44636</v>
      </c>
      <c r="B2095">
        <v>298.35500000000002</v>
      </c>
      <c r="C2095">
        <v>250.536</v>
      </c>
      <c r="D2095">
        <f t="shared" si="18"/>
        <v>127.682</v>
      </c>
      <c r="E2095">
        <v>221.77199999999999</v>
      </c>
      <c r="F2095">
        <v>160.48400000000001</v>
      </c>
      <c r="G2095">
        <v>275.75299999999999</v>
      </c>
      <c r="H2095">
        <v>199.398</v>
      </c>
      <c r="I2095">
        <v>259.47300000000001</v>
      </c>
      <c r="L2095">
        <v>127.682</v>
      </c>
    </row>
    <row r="2096" spans="1:12" x14ac:dyDescent="0.25">
      <c r="A2096" s="12">
        <v>44637</v>
      </c>
      <c r="B2096">
        <v>300.24</v>
      </c>
      <c r="C2096">
        <v>250.32499999999999</v>
      </c>
      <c r="D2096">
        <f t="shared" si="18"/>
        <v>128.82499999999999</v>
      </c>
      <c r="E2096">
        <v>224.46799999999999</v>
      </c>
      <c r="F2096">
        <v>160.958</v>
      </c>
      <c r="G2096">
        <v>275.26100000000002</v>
      </c>
      <c r="H2096">
        <v>199.31899999999999</v>
      </c>
      <c r="I2096">
        <v>262.31299999999999</v>
      </c>
      <c r="L2096">
        <v>128.82499999999999</v>
      </c>
    </row>
    <row r="2097" spans="1:12" x14ac:dyDescent="0.25">
      <c r="A2097" s="12">
        <v>44638</v>
      </c>
      <c r="B2097">
        <v>302.93900000000002</v>
      </c>
      <c r="C2097">
        <v>250.96</v>
      </c>
      <c r="D2097">
        <f t="shared" si="18"/>
        <v>129.63800000000001</v>
      </c>
      <c r="E2097">
        <v>225.60900000000001</v>
      </c>
      <c r="F2097">
        <v>161.40899999999999</v>
      </c>
      <c r="G2097">
        <v>278.76400000000001</v>
      </c>
      <c r="H2097">
        <v>199.852</v>
      </c>
      <c r="I2097">
        <v>263.20600000000002</v>
      </c>
      <c r="L2097">
        <v>129.63800000000001</v>
      </c>
    </row>
    <row r="2098" spans="1:12" x14ac:dyDescent="0.25">
      <c r="A2098" s="12">
        <v>44641</v>
      </c>
      <c r="B2098">
        <v>305.02</v>
      </c>
      <c r="C2098">
        <v>251.81399999999999</v>
      </c>
      <c r="D2098">
        <f t="shared" si="18"/>
        <v>130.18700000000001</v>
      </c>
      <c r="E2098">
        <v>226.809</v>
      </c>
      <c r="F2098">
        <v>161.749</v>
      </c>
      <c r="G2098">
        <v>279.983</v>
      </c>
      <c r="H2098">
        <v>200.209</v>
      </c>
      <c r="I2098">
        <v>265.03199999999998</v>
      </c>
      <c r="L2098">
        <v>130.18700000000001</v>
      </c>
    </row>
    <row r="2099" spans="1:12" x14ac:dyDescent="0.25">
      <c r="A2099" s="12">
        <v>44642</v>
      </c>
      <c r="B2099">
        <v>305.87799999999999</v>
      </c>
      <c r="C2099">
        <v>251.97399999999999</v>
      </c>
      <c r="D2099">
        <f t="shared" si="18"/>
        <v>130.89599999999999</v>
      </c>
      <c r="E2099">
        <v>227.023</v>
      </c>
      <c r="F2099">
        <v>161.37799999999999</v>
      </c>
      <c r="G2099">
        <v>281.27600000000001</v>
      </c>
      <c r="H2099">
        <v>200.58699999999999</v>
      </c>
      <c r="I2099">
        <v>265.03500000000003</v>
      </c>
      <c r="L2099">
        <v>130.89599999999999</v>
      </c>
    </row>
    <row r="2100" spans="1:12" x14ac:dyDescent="0.25">
      <c r="A2100" s="12">
        <v>44643</v>
      </c>
      <c r="B2100">
        <v>305.45600000000002</v>
      </c>
      <c r="C2100">
        <v>251.19200000000001</v>
      </c>
      <c r="D2100">
        <f t="shared" si="18"/>
        <v>130.916</v>
      </c>
      <c r="E2100">
        <v>227.339</v>
      </c>
      <c r="F2100">
        <v>160.78700000000001</v>
      </c>
      <c r="G2100">
        <v>282.53899999999999</v>
      </c>
      <c r="H2100">
        <v>200.25800000000001</v>
      </c>
      <c r="I2100">
        <v>265.89600000000002</v>
      </c>
      <c r="L2100">
        <v>130.916</v>
      </c>
    </row>
    <row r="2101" spans="1:12" x14ac:dyDescent="0.25">
      <c r="A2101" s="12">
        <v>44644</v>
      </c>
      <c r="B2101">
        <v>305.49799999999999</v>
      </c>
      <c r="C2101">
        <v>250.608</v>
      </c>
      <c r="D2101">
        <f t="shared" si="18"/>
        <v>131.27000000000001</v>
      </c>
      <c r="E2101">
        <v>227.28700000000001</v>
      </c>
      <c r="F2101">
        <v>160.875</v>
      </c>
      <c r="G2101">
        <v>283.19099999999997</v>
      </c>
      <c r="H2101">
        <v>199.83500000000001</v>
      </c>
      <c r="I2101">
        <v>265.64499999999998</v>
      </c>
      <c r="L2101">
        <v>131.27000000000001</v>
      </c>
    </row>
    <row r="2102" spans="1:12" x14ac:dyDescent="0.25">
      <c r="A2102" s="12">
        <v>44645</v>
      </c>
      <c r="B2102">
        <v>305.36500000000001</v>
      </c>
      <c r="C2102">
        <v>250.839</v>
      </c>
      <c r="D2102">
        <f t="shared" si="18"/>
        <v>131.16399999999999</v>
      </c>
      <c r="E2102">
        <v>227.197</v>
      </c>
      <c r="F2102">
        <v>160.82400000000001</v>
      </c>
      <c r="G2102">
        <v>283.21100000000001</v>
      </c>
      <c r="H2102">
        <v>200.07300000000001</v>
      </c>
      <c r="I2102">
        <v>265.21300000000002</v>
      </c>
      <c r="L2102">
        <v>131.16399999999999</v>
      </c>
    </row>
    <row r="2103" spans="1:12" x14ac:dyDescent="0.25">
      <c r="A2103" s="12">
        <v>44648</v>
      </c>
      <c r="B2103">
        <v>305.05399999999997</v>
      </c>
      <c r="C2103">
        <v>250.14500000000001</v>
      </c>
      <c r="D2103">
        <f t="shared" si="18"/>
        <v>131.50399999999999</v>
      </c>
      <c r="E2103">
        <v>227.33500000000001</v>
      </c>
      <c r="F2103">
        <v>160.58500000000001</v>
      </c>
      <c r="G2103">
        <v>282.67700000000002</v>
      </c>
      <c r="H2103">
        <v>199.74</v>
      </c>
      <c r="I2103">
        <v>265.53199999999998</v>
      </c>
      <c r="L2103">
        <v>131.50399999999999</v>
      </c>
    </row>
    <row r="2104" spans="1:12" x14ac:dyDescent="0.25">
      <c r="A2104" s="12">
        <v>44649</v>
      </c>
      <c r="B2104">
        <v>305.649</v>
      </c>
      <c r="C2104">
        <v>249.92699999999999</v>
      </c>
      <c r="D2104">
        <f t="shared" si="18"/>
        <v>131.70099999999999</v>
      </c>
      <c r="E2104">
        <v>227.81299999999999</v>
      </c>
      <c r="F2104">
        <v>160.773</v>
      </c>
      <c r="G2104">
        <v>283.13400000000001</v>
      </c>
      <c r="H2104">
        <v>199.58099999999999</v>
      </c>
      <c r="I2104">
        <v>265.80099999999999</v>
      </c>
      <c r="L2104">
        <v>131.70099999999999</v>
      </c>
    </row>
    <row r="2105" spans="1:12" x14ac:dyDescent="0.25">
      <c r="A2105" s="12">
        <v>44650</v>
      </c>
      <c r="B2105">
        <v>306.95100000000002</v>
      </c>
      <c r="C2105">
        <v>249.81800000000001</v>
      </c>
      <c r="D2105">
        <f t="shared" si="18"/>
        <v>132.13800000000001</v>
      </c>
      <c r="E2105">
        <v>228.44900000000001</v>
      </c>
      <c r="F2105">
        <v>160.91800000000001</v>
      </c>
      <c r="G2105">
        <v>283.46699999999998</v>
      </c>
      <c r="H2105">
        <v>199.483</v>
      </c>
      <c r="I2105">
        <v>267.017</v>
      </c>
      <c r="L2105">
        <v>132.13800000000001</v>
      </c>
    </row>
    <row r="2106" spans="1:12" x14ac:dyDescent="0.25">
      <c r="A2106" s="12">
        <v>44651</v>
      </c>
      <c r="B2106">
        <v>307.77499999999998</v>
      </c>
      <c r="C2106">
        <v>250.63200000000001</v>
      </c>
      <c r="D2106">
        <f t="shared" si="18"/>
        <v>131.9</v>
      </c>
      <c r="E2106">
        <v>228.07499999999999</v>
      </c>
      <c r="F2106">
        <v>160.85400000000001</v>
      </c>
      <c r="G2106">
        <v>284.96899999999999</v>
      </c>
      <c r="H2106">
        <v>199.779</v>
      </c>
      <c r="I2106">
        <v>266.38900000000001</v>
      </c>
      <c r="L2106">
        <v>131.9</v>
      </c>
    </row>
    <row r="2107" spans="1:12" x14ac:dyDescent="0.25">
      <c r="A2107" s="12">
        <v>44652</v>
      </c>
      <c r="B2107">
        <v>307.661</v>
      </c>
      <c r="C2107">
        <v>251.45</v>
      </c>
      <c r="D2107">
        <f t="shared" si="18"/>
        <v>131.58000000000001</v>
      </c>
      <c r="E2107">
        <v>227.90199999999999</v>
      </c>
      <c r="F2107">
        <v>161.36099999999999</v>
      </c>
      <c r="G2107">
        <v>284.916</v>
      </c>
      <c r="H2107">
        <v>199.898</v>
      </c>
      <c r="I2107">
        <v>266.77499999999998</v>
      </c>
      <c r="L2107">
        <v>131.58000000000001</v>
      </c>
    </row>
    <row r="2108" spans="1:12" x14ac:dyDescent="0.25">
      <c r="A2108" s="12">
        <v>44655</v>
      </c>
      <c r="B2108">
        <v>306.51299999999998</v>
      </c>
      <c r="C2108">
        <v>251.58199999999999</v>
      </c>
      <c r="D2108">
        <f t="shared" si="18"/>
        <v>131.339</v>
      </c>
      <c r="E2108">
        <v>227.96899999999999</v>
      </c>
      <c r="F2108">
        <v>161.36699999999999</v>
      </c>
      <c r="G2108">
        <v>284.54300000000001</v>
      </c>
      <c r="H2108">
        <v>200.376</v>
      </c>
      <c r="I2108">
        <v>266.202</v>
      </c>
      <c r="L2108">
        <v>131.339</v>
      </c>
    </row>
    <row r="2109" spans="1:12" x14ac:dyDescent="0.25">
      <c r="A2109" s="12">
        <v>44656</v>
      </c>
      <c r="B2109">
        <v>307.28899999999999</v>
      </c>
      <c r="C2109">
        <v>251.45</v>
      </c>
      <c r="D2109">
        <f t="shared" si="18"/>
        <v>131.958</v>
      </c>
      <c r="E2109">
        <v>229.47300000000001</v>
      </c>
      <c r="F2109">
        <v>161.74700000000001</v>
      </c>
      <c r="G2109">
        <v>284.2</v>
      </c>
      <c r="H2109">
        <v>200.44900000000001</v>
      </c>
      <c r="I2109">
        <v>267.51600000000002</v>
      </c>
      <c r="L2109">
        <v>131.958</v>
      </c>
    </row>
    <row r="2110" spans="1:12" x14ac:dyDescent="0.25">
      <c r="A2110" s="12">
        <v>44657</v>
      </c>
      <c r="B2110">
        <v>307.43299999999999</v>
      </c>
      <c r="C2110">
        <v>251.35499999999999</v>
      </c>
      <c r="D2110">
        <f t="shared" si="18"/>
        <v>132.58199999999999</v>
      </c>
      <c r="E2110">
        <v>229.24</v>
      </c>
      <c r="F2110">
        <v>161.21799999999999</v>
      </c>
      <c r="G2110">
        <v>285.78399999999999</v>
      </c>
      <c r="H2110">
        <v>200.756</v>
      </c>
      <c r="I2110">
        <v>267.2</v>
      </c>
      <c r="L2110">
        <v>132.58199999999999</v>
      </c>
    </row>
    <row r="2111" spans="1:12" x14ac:dyDescent="0.25">
      <c r="A2111" s="12">
        <v>44658</v>
      </c>
      <c r="B2111">
        <v>305.88400000000001</v>
      </c>
      <c r="C2111">
        <v>250.738</v>
      </c>
      <c r="D2111">
        <f t="shared" si="18"/>
        <v>131.691</v>
      </c>
      <c r="E2111">
        <v>227.61500000000001</v>
      </c>
      <c r="F2111">
        <v>160.49</v>
      </c>
      <c r="G2111">
        <v>286.11900000000003</v>
      </c>
      <c r="H2111">
        <v>200.07</v>
      </c>
      <c r="I2111">
        <v>264.69799999999998</v>
      </c>
      <c r="L2111">
        <v>131.691</v>
      </c>
    </row>
    <row r="2112" spans="1:12" x14ac:dyDescent="0.25">
      <c r="A2112" s="12">
        <v>44659</v>
      </c>
      <c r="B2112">
        <v>304.29599999999999</v>
      </c>
      <c r="C2112">
        <v>249.65299999999999</v>
      </c>
      <c r="D2112">
        <f t="shared" si="18"/>
        <v>131.17599999999999</v>
      </c>
      <c r="E2112">
        <v>227.184</v>
      </c>
      <c r="F2112">
        <v>160.303</v>
      </c>
      <c r="G2112">
        <v>283.76600000000002</v>
      </c>
      <c r="H2112">
        <v>199.58600000000001</v>
      </c>
      <c r="I2112">
        <v>264.20999999999998</v>
      </c>
      <c r="L2112">
        <v>131.17599999999999</v>
      </c>
    </row>
    <row r="2113" spans="1:12" x14ac:dyDescent="0.25">
      <c r="A2113" s="12">
        <v>44662</v>
      </c>
      <c r="B2113">
        <v>304.48700000000002</v>
      </c>
      <c r="C2113">
        <v>249.44200000000001</v>
      </c>
      <c r="D2113">
        <f t="shared" si="18"/>
        <v>131.4</v>
      </c>
      <c r="E2113">
        <v>227.40100000000001</v>
      </c>
      <c r="F2113">
        <v>159.99600000000001</v>
      </c>
      <c r="G2113">
        <v>282.83199999999999</v>
      </c>
      <c r="H2113">
        <v>199.226</v>
      </c>
      <c r="I2113">
        <v>264.93400000000003</v>
      </c>
      <c r="L2113">
        <v>131.4</v>
      </c>
    </row>
    <row r="2114" spans="1:12" x14ac:dyDescent="0.25">
      <c r="A2114" s="12">
        <v>44663</v>
      </c>
      <c r="B2114">
        <v>303.10199999999998</v>
      </c>
      <c r="C2114">
        <v>248.45599999999999</v>
      </c>
      <c r="D2114">
        <f t="shared" si="18"/>
        <v>131.011</v>
      </c>
      <c r="E2114">
        <v>225.54300000000001</v>
      </c>
      <c r="F2114">
        <v>159.08000000000001</v>
      </c>
      <c r="G2114">
        <v>283.32900000000001</v>
      </c>
      <c r="H2114">
        <v>198.80600000000001</v>
      </c>
      <c r="I2114">
        <v>262.82600000000002</v>
      </c>
      <c r="L2114">
        <v>131.011</v>
      </c>
    </row>
    <row r="2115" spans="1:12" x14ac:dyDescent="0.25">
      <c r="A2115" s="12">
        <v>44664</v>
      </c>
      <c r="B2115">
        <v>301.12700000000001</v>
      </c>
      <c r="C2115">
        <v>247.80799999999999</v>
      </c>
      <c r="D2115">
        <f t="shared" si="18"/>
        <v>130.155</v>
      </c>
      <c r="E2115">
        <v>225.267</v>
      </c>
      <c r="F2115">
        <v>159.06399999999999</v>
      </c>
      <c r="G2115">
        <v>281.37799999999999</v>
      </c>
      <c r="H2115">
        <v>197.98099999999999</v>
      </c>
      <c r="I2115">
        <v>262.923</v>
      </c>
      <c r="L2115">
        <v>130.155</v>
      </c>
    </row>
    <row r="2116" spans="1:12" x14ac:dyDescent="0.25">
      <c r="A2116" s="12">
        <v>44665</v>
      </c>
      <c r="B2116">
        <v>301.46100000000001</v>
      </c>
      <c r="C2116">
        <v>248.03700000000001</v>
      </c>
      <c r="D2116">
        <f t="shared" si="18"/>
        <v>130.08799999999999</v>
      </c>
      <c r="E2116">
        <v>225.55099999999999</v>
      </c>
      <c r="F2116">
        <v>159.06200000000001</v>
      </c>
      <c r="G2116">
        <v>280.75400000000002</v>
      </c>
      <c r="H2116">
        <v>197.88</v>
      </c>
      <c r="I2116">
        <v>262.66800000000001</v>
      </c>
      <c r="L2116">
        <v>130.08799999999999</v>
      </c>
    </row>
    <row r="2117" spans="1:12" x14ac:dyDescent="0.25">
      <c r="A2117" s="12">
        <v>44670</v>
      </c>
      <c r="B2117">
        <v>301.76100000000002</v>
      </c>
      <c r="C2117">
        <v>247.82300000000001</v>
      </c>
      <c r="D2117">
        <f t="shared" si="18"/>
        <v>130.76599999999999</v>
      </c>
      <c r="E2117">
        <v>225.56399999999999</v>
      </c>
      <c r="F2117">
        <v>158.83500000000001</v>
      </c>
      <c r="G2117">
        <v>280.96100000000001</v>
      </c>
      <c r="H2117">
        <v>198.16200000000001</v>
      </c>
      <c r="I2117">
        <v>262.65899999999999</v>
      </c>
      <c r="L2117">
        <v>130.76599999999999</v>
      </c>
    </row>
    <row r="2118" spans="1:12" x14ac:dyDescent="0.25">
      <c r="A2118" s="12">
        <v>44671</v>
      </c>
      <c r="B2118">
        <v>300.94200000000001</v>
      </c>
      <c r="C2118">
        <v>247.124</v>
      </c>
      <c r="D2118">
        <f t="shared" si="18"/>
        <v>130.37799999999999</v>
      </c>
      <c r="E2118">
        <v>225.00800000000001</v>
      </c>
      <c r="F2118">
        <v>158.197</v>
      </c>
      <c r="G2118">
        <v>281.41500000000002</v>
      </c>
      <c r="H2118">
        <v>197.721</v>
      </c>
      <c r="I2118">
        <v>261.572</v>
      </c>
      <c r="L2118">
        <v>130.37799999999999</v>
      </c>
    </row>
    <row r="2119" spans="1:12" x14ac:dyDescent="0.25">
      <c r="A2119" s="12">
        <v>44672</v>
      </c>
      <c r="B2119">
        <v>301.45999999999998</v>
      </c>
      <c r="C2119">
        <v>246.22300000000001</v>
      </c>
      <c r="D2119">
        <f t="shared" si="18"/>
        <v>130.518</v>
      </c>
      <c r="E2119">
        <v>225.20699999999999</v>
      </c>
      <c r="F2119">
        <v>158.19499999999999</v>
      </c>
      <c r="G2119">
        <v>280.38400000000001</v>
      </c>
      <c r="H2119">
        <v>197.017</v>
      </c>
      <c r="I2119">
        <v>262.29500000000002</v>
      </c>
      <c r="L2119">
        <v>130.518</v>
      </c>
    </row>
    <row r="2120" spans="1:12" x14ac:dyDescent="0.25">
      <c r="A2120" s="12">
        <v>44673</v>
      </c>
      <c r="B2120">
        <v>301.18200000000002</v>
      </c>
      <c r="C2120">
        <v>246.11600000000001</v>
      </c>
      <c r="D2120">
        <f t="shared" si="18"/>
        <v>130.482</v>
      </c>
      <c r="E2120">
        <v>224.386</v>
      </c>
      <c r="F2120">
        <v>157.886</v>
      </c>
      <c r="G2120">
        <v>281.15199999999999</v>
      </c>
      <c r="H2120">
        <v>197.202</v>
      </c>
      <c r="I2120">
        <v>261.62700000000001</v>
      </c>
      <c r="L2120">
        <v>130.482</v>
      </c>
    </row>
    <row r="2121" spans="1:12" x14ac:dyDescent="0.25">
      <c r="A2121" s="12">
        <v>44676</v>
      </c>
      <c r="B2121">
        <v>298.88</v>
      </c>
      <c r="C2121">
        <v>245.76300000000001</v>
      </c>
      <c r="D2121">
        <f t="shared" si="18"/>
        <v>129.29</v>
      </c>
      <c r="E2121">
        <v>222.56200000000001</v>
      </c>
      <c r="F2121">
        <v>157.41300000000001</v>
      </c>
      <c r="G2121">
        <v>280.63099999999997</v>
      </c>
      <c r="H2121">
        <v>196.72200000000001</v>
      </c>
      <c r="I2121">
        <v>259.36500000000001</v>
      </c>
      <c r="L2121">
        <v>129.29</v>
      </c>
    </row>
    <row r="2122" spans="1:12" x14ac:dyDescent="0.25">
      <c r="A2122" s="12">
        <v>44677</v>
      </c>
      <c r="B2122">
        <v>296.90600000000001</v>
      </c>
      <c r="C2122">
        <v>245.55799999999999</v>
      </c>
      <c r="D2122">
        <f t="shared" si="18"/>
        <v>128.15299999999999</v>
      </c>
      <c r="E2122">
        <v>221.643</v>
      </c>
      <c r="F2122">
        <v>157.57300000000001</v>
      </c>
      <c r="G2122">
        <v>278.19400000000002</v>
      </c>
      <c r="H2122">
        <v>196.10900000000001</v>
      </c>
      <c r="I2122">
        <v>258.22300000000001</v>
      </c>
      <c r="L2122">
        <v>128.15299999999999</v>
      </c>
    </row>
    <row r="2123" spans="1:12" x14ac:dyDescent="0.25">
      <c r="A2123" s="12">
        <v>44678</v>
      </c>
      <c r="B2123">
        <v>297.10199999999998</v>
      </c>
      <c r="C2123">
        <v>245.917</v>
      </c>
      <c r="D2123">
        <f t="shared" si="18"/>
        <v>128.642</v>
      </c>
      <c r="E2123">
        <v>221.56100000000001</v>
      </c>
      <c r="F2123">
        <v>157.82499999999999</v>
      </c>
      <c r="G2123">
        <v>275.971</v>
      </c>
      <c r="H2123">
        <v>196.12200000000001</v>
      </c>
      <c r="I2123">
        <v>258.40199999999999</v>
      </c>
      <c r="L2123">
        <v>128.642</v>
      </c>
    </row>
    <row r="2124" spans="1:12" x14ac:dyDescent="0.25">
      <c r="A2124" s="12">
        <v>44679</v>
      </c>
      <c r="B2124">
        <v>295.447</v>
      </c>
      <c r="C2124">
        <v>245.72200000000001</v>
      </c>
      <c r="D2124">
        <f t="shared" si="18"/>
        <v>128.24199999999999</v>
      </c>
      <c r="E2124">
        <v>221.732</v>
      </c>
      <c r="F2124">
        <v>157.66200000000001</v>
      </c>
      <c r="G2124">
        <v>276.05500000000001</v>
      </c>
      <c r="H2124">
        <v>196.346</v>
      </c>
      <c r="I2124">
        <v>258.84199999999998</v>
      </c>
      <c r="L2124">
        <v>128.24199999999999</v>
      </c>
    </row>
    <row r="2125" spans="1:12" x14ac:dyDescent="0.25">
      <c r="A2125" s="12">
        <v>44680</v>
      </c>
      <c r="B2125">
        <v>296.49200000000002</v>
      </c>
      <c r="C2125">
        <v>245.245</v>
      </c>
      <c r="D2125">
        <f t="shared" si="18"/>
        <v>128.72300000000001</v>
      </c>
      <c r="E2125">
        <v>222.54400000000001</v>
      </c>
      <c r="F2125">
        <v>157.24600000000001</v>
      </c>
      <c r="G2125">
        <v>275.21600000000001</v>
      </c>
      <c r="H2125">
        <v>196.006</v>
      </c>
      <c r="I2125">
        <v>258.28699999999998</v>
      </c>
      <c r="L2125">
        <v>128.72300000000001</v>
      </c>
    </row>
    <row r="2126" spans="1:12" x14ac:dyDescent="0.25">
      <c r="A2126" s="12">
        <v>44683</v>
      </c>
      <c r="B2126">
        <v>296.70800000000003</v>
      </c>
      <c r="C2126">
        <v>244.42599999999999</v>
      </c>
      <c r="D2126">
        <f t="shared" si="18"/>
        <v>129.35300000000001</v>
      </c>
      <c r="E2126">
        <v>222.279</v>
      </c>
      <c r="F2126">
        <v>156.61500000000001</v>
      </c>
      <c r="G2126">
        <v>276.32400000000001</v>
      </c>
      <c r="H2126">
        <v>195.41499999999999</v>
      </c>
      <c r="I2126">
        <v>258.36900000000003</v>
      </c>
      <c r="L2126">
        <v>129.35300000000001</v>
      </c>
    </row>
    <row r="2127" spans="1:12" x14ac:dyDescent="0.25">
      <c r="A2127" s="12">
        <v>44684</v>
      </c>
      <c r="B2127">
        <v>293.35700000000003</v>
      </c>
      <c r="C2127">
        <v>243.82499999999999</v>
      </c>
      <c r="D2127">
        <f t="shared" si="18"/>
        <v>128.84399999999999</v>
      </c>
      <c r="E2127">
        <v>221.14599999999999</v>
      </c>
      <c r="F2127">
        <v>156.303</v>
      </c>
      <c r="G2127">
        <v>277.22399999999999</v>
      </c>
      <c r="H2127">
        <v>195.09399999999999</v>
      </c>
      <c r="I2127">
        <v>256.26299999999998</v>
      </c>
      <c r="L2127">
        <v>128.84399999999999</v>
      </c>
    </row>
    <row r="2128" spans="1:12" x14ac:dyDescent="0.25">
      <c r="A2128" s="12">
        <v>44686</v>
      </c>
      <c r="B2128">
        <v>293.53199999999998</v>
      </c>
      <c r="C2128">
        <v>243.06800000000001</v>
      </c>
      <c r="D2128">
        <f t="shared" si="18"/>
        <v>127.748</v>
      </c>
      <c r="E2128">
        <v>220.99</v>
      </c>
      <c r="F2128">
        <v>156.023</v>
      </c>
      <c r="G2128">
        <v>275</v>
      </c>
      <c r="H2128">
        <v>194.74700000000001</v>
      </c>
      <c r="I2128">
        <v>257.029</v>
      </c>
      <c r="L2128">
        <v>127.748</v>
      </c>
    </row>
    <row r="2129" spans="1:12" x14ac:dyDescent="0.25">
      <c r="A2129" s="12">
        <v>44687</v>
      </c>
      <c r="B2129">
        <v>294.09500000000003</v>
      </c>
      <c r="C2129">
        <v>242.649</v>
      </c>
      <c r="D2129">
        <f t="shared" si="18"/>
        <v>128.429</v>
      </c>
      <c r="E2129">
        <v>220.21100000000001</v>
      </c>
      <c r="F2129">
        <v>155.58000000000001</v>
      </c>
      <c r="G2129">
        <v>274.88</v>
      </c>
      <c r="H2129">
        <v>194.54300000000001</v>
      </c>
      <c r="I2129">
        <v>255.78700000000001</v>
      </c>
      <c r="L2129">
        <v>128.429</v>
      </c>
    </row>
    <row r="2130" spans="1:12" x14ac:dyDescent="0.25">
      <c r="A2130" s="12">
        <v>44690</v>
      </c>
      <c r="B2130">
        <v>290.80599999999998</v>
      </c>
      <c r="C2130">
        <v>241.578</v>
      </c>
      <c r="D2130">
        <f t="shared" si="18"/>
        <v>126.73699999999999</v>
      </c>
      <c r="E2130">
        <v>217.62299999999999</v>
      </c>
      <c r="F2130">
        <v>154.52600000000001</v>
      </c>
      <c r="G2130">
        <v>275.17</v>
      </c>
      <c r="H2130">
        <v>194.22200000000001</v>
      </c>
      <c r="I2130">
        <v>252.816</v>
      </c>
      <c r="L2130">
        <v>126.73699999999999</v>
      </c>
    </row>
    <row r="2131" spans="1:12" x14ac:dyDescent="0.25">
      <c r="A2131" s="12">
        <v>44691</v>
      </c>
      <c r="B2131">
        <v>288.57900000000001</v>
      </c>
      <c r="C2131">
        <v>240.70500000000001</v>
      </c>
      <c r="D2131">
        <f t="shared" ref="D2131:D2194" si="19">IF(L2131&gt;1,L2131,L2131*100)</f>
        <v>125.39</v>
      </c>
      <c r="E2131">
        <v>215.40600000000001</v>
      </c>
      <c r="F2131">
        <v>154.042</v>
      </c>
      <c r="G2131">
        <v>271.37299999999999</v>
      </c>
      <c r="H2131">
        <v>193.07499999999999</v>
      </c>
      <c r="I2131">
        <v>250.666</v>
      </c>
      <c r="L2131">
        <v>125.39</v>
      </c>
    </row>
    <row r="2132" spans="1:12" x14ac:dyDescent="0.25">
      <c r="A2132" s="12">
        <v>44692</v>
      </c>
      <c r="B2132">
        <v>288.173</v>
      </c>
      <c r="C2132">
        <v>240.821</v>
      </c>
      <c r="D2132">
        <f t="shared" si="19"/>
        <v>124.64700000000001</v>
      </c>
      <c r="E2132">
        <v>215.28299999999999</v>
      </c>
      <c r="F2132">
        <v>154.17699999999999</v>
      </c>
      <c r="G2132">
        <v>268.65300000000002</v>
      </c>
      <c r="H2132">
        <v>192.583</v>
      </c>
      <c r="I2132">
        <v>250.667</v>
      </c>
      <c r="L2132">
        <v>124.64700000000001</v>
      </c>
    </row>
    <row r="2133" spans="1:12" x14ac:dyDescent="0.25">
      <c r="A2133" s="12">
        <v>44693</v>
      </c>
      <c r="B2133">
        <v>286.94</v>
      </c>
      <c r="C2133">
        <v>241.08799999999999</v>
      </c>
      <c r="D2133">
        <f t="shared" si="19"/>
        <v>124.997</v>
      </c>
      <c r="E2133">
        <v>215.84</v>
      </c>
      <c r="F2133">
        <v>154.60300000000001</v>
      </c>
      <c r="G2133">
        <v>267.82799999999997</v>
      </c>
      <c r="H2133">
        <v>192.815</v>
      </c>
      <c r="I2133">
        <v>251.75299999999999</v>
      </c>
      <c r="L2133">
        <v>124.997</v>
      </c>
    </row>
    <row r="2134" spans="1:12" x14ac:dyDescent="0.25">
      <c r="A2134" s="12">
        <v>44694</v>
      </c>
      <c r="B2134">
        <v>286.36599999999999</v>
      </c>
      <c r="C2134">
        <v>241.733</v>
      </c>
      <c r="D2134">
        <f t="shared" si="19"/>
        <v>124.624</v>
      </c>
      <c r="E2134">
        <v>216.20099999999999</v>
      </c>
      <c r="F2134">
        <v>155.30799999999999</v>
      </c>
      <c r="G2134">
        <v>268.16800000000001</v>
      </c>
      <c r="H2134">
        <v>193.05799999999999</v>
      </c>
      <c r="I2134">
        <v>251.727</v>
      </c>
      <c r="L2134">
        <v>124.624</v>
      </c>
    </row>
    <row r="2135" spans="1:12" x14ac:dyDescent="0.25">
      <c r="A2135" s="12">
        <v>44697</v>
      </c>
      <c r="B2135">
        <v>287.58800000000002</v>
      </c>
      <c r="C2135">
        <v>241.94399999999999</v>
      </c>
      <c r="D2135">
        <f t="shared" si="19"/>
        <v>125.771</v>
      </c>
      <c r="E2135">
        <v>217.804</v>
      </c>
      <c r="F2135">
        <v>155.327</v>
      </c>
      <c r="G2135">
        <v>267.53500000000003</v>
      </c>
      <c r="H2135">
        <v>193.595</v>
      </c>
      <c r="I2135">
        <v>253.74</v>
      </c>
      <c r="L2135">
        <v>125.771</v>
      </c>
    </row>
    <row r="2136" spans="1:12" x14ac:dyDescent="0.25">
      <c r="A2136" s="12">
        <v>44698</v>
      </c>
      <c r="B2136">
        <v>290.08699999999999</v>
      </c>
      <c r="C2136">
        <v>241.59800000000001</v>
      </c>
      <c r="D2136">
        <f t="shared" si="19"/>
        <v>126.47499999999999</v>
      </c>
      <c r="E2136">
        <v>218.131</v>
      </c>
      <c r="F2136">
        <v>155.17500000000001</v>
      </c>
      <c r="G2136">
        <v>269.73099999999999</v>
      </c>
      <c r="H2136">
        <v>193.43600000000001</v>
      </c>
      <c r="I2136">
        <v>253.363</v>
      </c>
      <c r="L2136">
        <v>126.47499999999999</v>
      </c>
    </row>
    <row r="2137" spans="1:12" x14ac:dyDescent="0.25">
      <c r="A2137" s="12">
        <v>44699</v>
      </c>
      <c r="B2137">
        <v>289.58499999999998</v>
      </c>
      <c r="C2137">
        <v>241.09299999999999</v>
      </c>
      <c r="D2137">
        <f t="shared" si="19"/>
        <v>126.405</v>
      </c>
      <c r="E2137">
        <v>218.09899999999999</v>
      </c>
      <c r="F2137">
        <v>154.57300000000001</v>
      </c>
      <c r="G2137">
        <v>270.45100000000002</v>
      </c>
      <c r="H2137">
        <v>193.434</v>
      </c>
      <c r="I2137">
        <v>253.232</v>
      </c>
      <c r="L2137">
        <v>126.405</v>
      </c>
    </row>
    <row r="2138" spans="1:12" x14ac:dyDescent="0.25">
      <c r="A2138" s="12">
        <v>44700</v>
      </c>
      <c r="B2138">
        <v>289.30599999999998</v>
      </c>
      <c r="C2138">
        <v>240.714</v>
      </c>
      <c r="D2138">
        <f t="shared" si="19"/>
        <v>126.032</v>
      </c>
      <c r="E2138">
        <v>217.065</v>
      </c>
      <c r="F2138">
        <v>154.40700000000001</v>
      </c>
      <c r="G2138">
        <v>270.58499999999998</v>
      </c>
      <c r="H2138">
        <v>192.90899999999999</v>
      </c>
      <c r="I2138">
        <v>252.31700000000001</v>
      </c>
      <c r="L2138">
        <v>126.032</v>
      </c>
    </row>
    <row r="2139" spans="1:12" x14ac:dyDescent="0.25">
      <c r="A2139" s="12">
        <v>44701</v>
      </c>
      <c r="B2139">
        <v>286.96899999999999</v>
      </c>
      <c r="C2139">
        <v>240.495</v>
      </c>
      <c r="D2139">
        <f t="shared" si="19"/>
        <v>124.715</v>
      </c>
      <c r="E2139">
        <v>215.49100000000001</v>
      </c>
      <c r="F2139">
        <v>154.20699999999999</v>
      </c>
      <c r="G2139">
        <v>270.03300000000002</v>
      </c>
      <c r="H2139">
        <v>192.86199999999999</v>
      </c>
      <c r="I2139">
        <v>250.452</v>
      </c>
      <c r="L2139">
        <v>124.715</v>
      </c>
    </row>
    <row r="2140" spans="1:12" x14ac:dyDescent="0.25">
      <c r="A2140" s="12">
        <v>44704</v>
      </c>
      <c r="B2140">
        <v>286.01400000000001</v>
      </c>
      <c r="C2140">
        <v>240.7</v>
      </c>
      <c r="D2140">
        <f t="shared" si="19"/>
        <v>124.17100000000001</v>
      </c>
      <c r="E2140">
        <v>215.76900000000001</v>
      </c>
      <c r="F2140">
        <v>154.251</v>
      </c>
      <c r="G2140">
        <v>267.46699999999998</v>
      </c>
      <c r="H2140">
        <v>192.74799999999999</v>
      </c>
      <c r="I2140">
        <v>250.47399999999999</v>
      </c>
      <c r="L2140">
        <v>124.17100000000001</v>
      </c>
    </row>
    <row r="2141" spans="1:12" x14ac:dyDescent="0.25">
      <c r="A2141" s="12">
        <v>44705</v>
      </c>
      <c r="B2141">
        <v>287.30399999999997</v>
      </c>
      <c r="C2141">
        <v>240.535</v>
      </c>
      <c r="D2141">
        <f t="shared" si="19"/>
        <v>124.56100000000001</v>
      </c>
      <c r="E2141">
        <v>215.83500000000001</v>
      </c>
      <c r="F2141">
        <v>154.04</v>
      </c>
      <c r="G2141">
        <v>268.03100000000001</v>
      </c>
      <c r="H2141">
        <v>193.06700000000001</v>
      </c>
      <c r="I2141">
        <v>250.90700000000001</v>
      </c>
      <c r="L2141">
        <v>124.56100000000001</v>
      </c>
    </row>
    <row r="2142" spans="1:12" x14ac:dyDescent="0.25">
      <c r="A2142" s="12">
        <v>44706</v>
      </c>
      <c r="B2142">
        <v>287.322</v>
      </c>
      <c r="C2142">
        <v>240.67599999999999</v>
      </c>
      <c r="D2142">
        <f t="shared" si="19"/>
        <v>124.239</v>
      </c>
      <c r="E2142">
        <v>214.75800000000001</v>
      </c>
      <c r="F2142">
        <v>154.02699999999999</v>
      </c>
      <c r="G2142">
        <v>268.52300000000002</v>
      </c>
      <c r="H2142">
        <v>192.83500000000001</v>
      </c>
      <c r="I2142">
        <v>248.99700000000001</v>
      </c>
      <c r="L2142">
        <v>124.239</v>
      </c>
    </row>
    <row r="2143" spans="1:12" x14ac:dyDescent="0.25">
      <c r="A2143" s="12">
        <v>44707</v>
      </c>
      <c r="B2143">
        <v>287.14100000000002</v>
      </c>
      <c r="C2143">
        <v>241.191</v>
      </c>
      <c r="D2143">
        <f t="shared" si="19"/>
        <v>124.202</v>
      </c>
      <c r="E2143">
        <v>215.8</v>
      </c>
      <c r="F2143">
        <v>154.595</v>
      </c>
      <c r="G2143">
        <v>267.584</v>
      </c>
      <c r="H2143">
        <v>192.999</v>
      </c>
      <c r="I2143">
        <v>250.49799999999999</v>
      </c>
      <c r="L2143">
        <v>124.202</v>
      </c>
    </row>
    <row r="2144" spans="1:12" x14ac:dyDescent="0.25">
      <c r="A2144" s="12">
        <v>44708</v>
      </c>
      <c r="B2144">
        <v>288.70299999999997</v>
      </c>
      <c r="C2144">
        <v>241.65899999999999</v>
      </c>
      <c r="D2144">
        <f t="shared" si="19"/>
        <v>124.991</v>
      </c>
      <c r="E2144">
        <v>216.714</v>
      </c>
      <c r="F2144">
        <v>154.68</v>
      </c>
      <c r="G2144">
        <v>268.11200000000002</v>
      </c>
      <c r="H2144">
        <v>193.33</v>
      </c>
      <c r="I2144">
        <v>251.374</v>
      </c>
      <c r="L2144">
        <v>124.991</v>
      </c>
    </row>
    <row r="2145" spans="1:12" x14ac:dyDescent="0.25">
      <c r="A2145" s="12">
        <v>44711</v>
      </c>
      <c r="B2145">
        <v>290.39600000000002</v>
      </c>
      <c r="C2145">
        <v>242.22200000000001</v>
      </c>
      <c r="D2145">
        <f t="shared" si="19"/>
        <v>125.78</v>
      </c>
      <c r="E2145">
        <v>218.607</v>
      </c>
      <c r="F2145">
        <v>155.34</v>
      </c>
      <c r="G2145">
        <v>269.202</v>
      </c>
      <c r="H2145">
        <v>193.52799999999999</v>
      </c>
      <c r="I2145">
        <v>254.12299999999999</v>
      </c>
      <c r="L2145">
        <v>125.78</v>
      </c>
    </row>
    <row r="2146" spans="1:12" x14ac:dyDescent="0.25">
      <c r="A2146" s="12">
        <v>44712</v>
      </c>
      <c r="B2146">
        <v>293.27199999999999</v>
      </c>
      <c r="C2146">
        <v>242.75200000000001</v>
      </c>
      <c r="D2146">
        <f t="shared" si="19"/>
        <v>126.86</v>
      </c>
      <c r="E2146">
        <v>219.17</v>
      </c>
      <c r="F2146">
        <v>155.06700000000001</v>
      </c>
      <c r="G2146">
        <v>271.84500000000003</v>
      </c>
      <c r="H2146">
        <v>194.083</v>
      </c>
      <c r="I2146">
        <v>254.39400000000001</v>
      </c>
      <c r="L2146">
        <v>126.86</v>
      </c>
    </row>
    <row r="2147" spans="1:12" x14ac:dyDescent="0.25">
      <c r="A2147" s="12">
        <v>44713</v>
      </c>
      <c r="B2147">
        <v>292.75299999999999</v>
      </c>
      <c r="C2147">
        <v>242.506</v>
      </c>
      <c r="D2147">
        <f t="shared" si="19"/>
        <v>126.45399999999999</v>
      </c>
      <c r="E2147">
        <v>218.566</v>
      </c>
      <c r="F2147">
        <v>154.64699999999999</v>
      </c>
      <c r="G2147">
        <v>272.70600000000002</v>
      </c>
      <c r="H2147">
        <v>193.90299999999999</v>
      </c>
      <c r="I2147">
        <v>253.096</v>
      </c>
      <c r="L2147">
        <v>126.45399999999999</v>
      </c>
    </row>
    <row r="2148" spans="1:12" x14ac:dyDescent="0.25">
      <c r="A2148" s="12">
        <v>44714</v>
      </c>
      <c r="B2148">
        <v>291.77699999999999</v>
      </c>
      <c r="C2148">
        <v>241.86699999999999</v>
      </c>
      <c r="D2148">
        <f t="shared" si="19"/>
        <v>125.922</v>
      </c>
      <c r="E2148">
        <v>217.87100000000001</v>
      </c>
      <c r="F2148">
        <v>154.42699999999999</v>
      </c>
      <c r="G2148">
        <v>272.28500000000003</v>
      </c>
      <c r="H2148">
        <v>193.50299999999999</v>
      </c>
      <c r="I2148">
        <v>252.53100000000001</v>
      </c>
      <c r="L2148">
        <v>125.922</v>
      </c>
    </row>
    <row r="2149" spans="1:12" x14ac:dyDescent="0.25">
      <c r="A2149" s="12">
        <v>44715</v>
      </c>
      <c r="B2149">
        <v>291.81599999999997</v>
      </c>
      <c r="C2149">
        <v>241.63900000000001</v>
      </c>
      <c r="D2149">
        <f t="shared" si="19"/>
        <v>125.771</v>
      </c>
      <c r="E2149">
        <v>217.90700000000001</v>
      </c>
      <c r="F2149">
        <v>154.19800000000001</v>
      </c>
      <c r="G2149">
        <v>272.334</v>
      </c>
      <c r="H2149">
        <v>193.25800000000001</v>
      </c>
      <c r="I2149">
        <v>251.95699999999999</v>
      </c>
      <c r="L2149">
        <v>125.771</v>
      </c>
    </row>
    <row r="2150" spans="1:12" x14ac:dyDescent="0.25">
      <c r="A2150" s="12">
        <v>44718</v>
      </c>
      <c r="B2150">
        <v>291.96199999999999</v>
      </c>
      <c r="C2150">
        <v>241.261</v>
      </c>
      <c r="D2150">
        <f t="shared" si="19"/>
        <v>125.673</v>
      </c>
      <c r="E2150">
        <v>217.61</v>
      </c>
      <c r="F2150">
        <v>154.08099999999999</v>
      </c>
      <c r="G2150">
        <v>272.274</v>
      </c>
      <c r="H2150">
        <v>193.12700000000001</v>
      </c>
      <c r="I2150">
        <v>251.666</v>
      </c>
      <c r="L2150">
        <v>125.673</v>
      </c>
    </row>
    <row r="2151" spans="1:12" x14ac:dyDescent="0.25">
      <c r="A2151" s="12">
        <v>44719</v>
      </c>
      <c r="B2151">
        <v>291.54599999999999</v>
      </c>
      <c r="C2151">
        <v>240.67</v>
      </c>
      <c r="D2151">
        <f t="shared" si="19"/>
        <v>125.881</v>
      </c>
      <c r="E2151">
        <v>217.45599999999999</v>
      </c>
      <c r="F2151">
        <v>153.751</v>
      </c>
      <c r="G2151">
        <v>272.26100000000002</v>
      </c>
      <c r="H2151">
        <v>192.97900000000001</v>
      </c>
      <c r="I2151">
        <v>251.96799999999999</v>
      </c>
      <c r="L2151">
        <v>125.881</v>
      </c>
    </row>
    <row r="2152" spans="1:12" x14ac:dyDescent="0.25">
      <c r="A2152" s="12">
        <v>44720</v>
      </c>
      <c r="B2152">
        <v>291.62400000000002</v>
      </c>
      <c r="C2152">
        <v>240.767</v>
      </c>
      <c r="D2152">
        <f t="shared" si="19"/>
        <v>125.376</v>
      </c>
      <c r="E2152">
        <v>217.66900000000001</v>
      </c>
      <c r="F2152">
        <v>153.71100000000001</v>
      </c>
      <c r="G2152">
        <v>272.59699999999998</v>
      </c>
      <c r="H2152">
        <v>192.46100000000001</v>
      </c>
      <c r="I2152">
        <v>251.66200000000001</v>
      </c>
      <c r="L2152">
        <v>125.376</v>
      </c>
    </row>
    <row r="2153" spans="1:12" x14ac:dyDescent="0.25">
      <c r="A2153" s="12">
        <v>44721</v>
      </c>
      <c r="B2153">
        <v>291.26</v>
      </c>
      <c r="C2153">
        <v>240.12</v>
      </c>
      <c r="D2153">
        <f t="shared" si="19"/>
        <v>125.633</v>
      </c>
      <c r="E2153">
        <v>217.322</v>
      </c>
      <c r="F2153">
        <v>153.33099999999999</v>
      </c>
      <c r="G2153">
        <v>271.84100000000001</v>
      </c>
      <c r="H2153">
        <v>192.39400000000001</v>
      </c>
      <c r="I2153">
        <v>251.40199999999999</v>
      </c>
      <c r="L2153">
        <v>125.633</v>
      </c>
    </row>
    <row r="2154" spans="1:12" x14ac:dyDescent="0.25">
      <c r="A2154" s="12">
        <v>44722</v>
      </c>
      <c r="B2154">
        <v>289.87099999999998</v>
      </c>
      <c r="C2154">
        <v>239.18600000000001</v>
      </c>
      <c r="D2154">
        <f t="shared" si="19"/>
        <v>124.729</v>
      </c>
      <c r="E2154">
        <v>215.8</v>
      </c>
      <c r="F2154">
        <v>152.709</v>
      </c>
      <c r="G2154">
        <v>271.827</v>
      </c>
      <c r="H2154">
        <v>191.977</v>
      </c>
      <c r="I2154">
        <v>250.078</v>
      </c>
      <c r="L2154">
        <v>124.729</v>
      </c>
    </row>
    <row r="2155" spans="1:12" x14ac:dyDescent="0.25">
      <c r="A2155" s="12">
        <v>44725</v>
      </c>
      <c r="B2155">
        <v>286.92599999999999</v>
      </c>
      <c r="C2155">
        <v>238.27199999999999</v>
      </c>
      <c r="D2155">
        <f t="shared" si="19"/>
        <v>123.208</v>
      </c>
      <c r="E2155">
        <v>213.93199999999999</v>
      </c>
      <c r="F2155">
        <v>151.74799999999999</v>
      </c>
      <c r="G2155">
        <v>270.14100000000002</v>
      </c>
      <c r="H2155">
        <v>191.32400000000001</v>
      </c>
      <c r="I2155">
        <v>246.77</v>
      </c>
      <c r="L2155">
        <v>123.208</v>
      </c>
    </row>
    <row r="2156" spans="1:12" x14ac:dyDescent="0.25">
      <c r="A2156" s="12">
        <v>44726</v>
      </c>
      <c r="B2156">
        <v>282.71600000000001</v>
      </c>
      <c r="C2156">
        <v>236.34100000000001</v>
      </c>
      <c r="D2156">
        <f t="shared" si="19"/>
        <v>121.636</v>
      </c>
      <c r="E2156">
        <v>209.88200000000001</v>
      </c>
      <c r="F2156">
        <v>149.529</v>
      </c>
      <c r="G2156">
        <v>267.05</v>
      </c>
      <c r="H2156">
        <v>190.24199999999999</v>
      </c>
      <c r="I2156">
        <v>242.929</v>
      </c>
      <c r="L2156">
        <v>121.636</v>
      </c>
    </row>
    <row r="2157" spans="1:12" x14ac:dyDescent="0.25">
      <c r="A2157" s="12">
        <v>44727</v>
      </c>
      <c r="B2157">
        <v>278.64999999999998</v>
      </c>
      <c r="C2157">
        <v>233.70500000000001</v>
      </c>
      <c r="D2157">
        <f t="shared" si="19"/>
        <v>119.899</v>
      </c>
      <c r="E2157">
        <v>208.42099999999999</v>
      </c>
      <c r="F2157">
        <v>148.76300000000001</v>
      </c>
      <c r="G2157">
        <v>262.37400000000002</v>
      </c>
      <c r="H2157">
        <v>187.995</v>
      </c>
      <c r="I2157">
        <v>241.114</v>
      </c>
      <c r="L2157">
        <v>119.899</v>
      </c>
    </row>
    <row r="2158" spans="1:12" x14ac:dyDescent="0.25">
      <c r="A2158" s="12">
        <v>44728</v>
      </c>
      <c r="B2158">
        <v>278.19299999999998</v>
      </c>
      <c r="C2158">
        <v>233.77099999999999</v>
      </c>
      <c r="D2158">
        <f t="shared" si="19"/>
        <v>119.691</v>
      </c>
      <c r="E2158">
        <v>209.29400000000001</v>
      </c>
      <c r="F2158">
        <v>149.327</v>
      </c>
      <c r="G2158">
        <v>260.10000000000002</v>
      </c>
      <c r="H2158">
        <v>186.916</v>
      </c>
      <c r="I2158">
        <v>242.251</v>
      </c>
      <c r="L2158">
        <v>119.691</v>
      </c>
    </row>
    <row r="2159" spans="1:12" x14ac:dyDescent="0.25">
      <c r="A2159" s="12">
        <v>44729</v>
      </c>
      <c r="B2159">
        <v>278.06099999999998</v>
      </c>
      <c r="C2159">
        <v>233.64400000000001</v>
      </c>
      <c r="D2159">
        <f t="shared" si="19"/>
        <v>119.572</v>
      </c>
      <c r="E2159">
        <v>207.11099999999999</v>
      </c>
      <c r="F2159">
        <v>148.65799999999999</v>
      </c>
      <c r="G2159">
        <v>260.98599999999999</v>
      </c>
      <c r="H2159">
        <v>187.428</v>
      </c>
      <c r="I2159">
        <v>239.37</v>
      </c>
      <c r="L2159">
        <v>119.572</v>
      </c>
    </row>
    <row r="2160" spans="1:12" x14ac:dyDescent="0.25">
      <c r="A2160" s="12">
        <v>44732</v>
      </c>
      <c r="B2160">
        <v>276.28100000000001</v>
      </c>
      <c r="C2160">
        <v>233.36199999999999</v>
      </c>
      <c r="D2160">
        <f t="shared" si="19"/>
        <v>118.238</v>
      </c>
      <c r="E2160">
        <v>206.64400000000001</v>
      </c>
      <c r="F2160">
        <v>148.9</v>
      </c>
      <c r="G2160">
        <v>259</v>
      </c>
      <c r="H2160">
        <v>186.69499999999999</v>
      </c>
      <c r="I2160">
        <v>239.81399999999999</v>
      </c>
      <c r="L2160">
        <v>118.238</v>
      </c>
    </row>
    <row r="2161" spans="1:12" x14ac:dyDescent="0.25">
      <c r="A2161" s="12">
        <v>44733</v>
      </c>
      <c r="B2161">
        <v>276.52499999999998</v>
      </c>
      <c r="C2161">
        <v>233.364</v>
      </c>
      <c r="D2161">
        <f t="shared" si="19"/>
        <v>118.413</v>
      </c>
      <c r="E2161">
        <v>206.50899999999999</v>
      </c>
      <c r="F2161">
        <v>148.40199999999999</v>
      </c>
      <c r="G2161">
        <v>258.05200000000002</v>
      </c>
      <c r="H2161">
        <v>186.94800000000001</v>
      </c>
      <c r="I2161">
        <v>239.62100000000001</v>
      </c>
      <c r="L2161">
        <v>118.413</v>
      </c>
    </row>
    <row r="2162" spans="1:12" x14ac:dyDescent="0.25">
      <c r="A2162" s="12">
        <v>44734</v>
      </c>
      <c r="B2162">
        <v>276.77600000000001</v>
      </c>
      <c r="C2162">
        <v>233.15</v>
      </c>
      <c r="D2162">
        <f t="shared" si="19"/>
        <v>118.35599999999999</v>
      </c>
      <c r="E2162">
        <v>207.04599999999999</v>
      </c>
      <c r="F2162">
        <v>148.27500000000001</v>
      </c>
      <c r="G2162">
        <v>257.94400000000002</v>
      </c>
      <c r="H2162">
        <v>186.642</v>
      </c>
      <c r="I2162">
        <v>240.17599999999999</v>
      </c>
      <c r="L2162">
        <v>118.35599999999999</v>
      </c>
    </row>
    <row r="2163" spans="1:12" x14ac:dyDescent="0.25">
      <c r="A2163" s="12">
        <v>44739</v>
      </c>
      <c r="B2163">
        <v>278.22800000000001</v>
      </c>
      <c r="C2163">
        <v>233.67400000000001</v>
      </c>
      <c r="D2163">
        <f t="shared" si="19"/>
        <v>118.812</v>
      </c>
      <c r="E2163">
        <v>207.25700000000001</v>
      </c>
      <c r="F2163">
        <v>148.54900000000001</v>
      </c>
      <c r="G2163">
        <v>258.73200000000003</v>
      </c>
      <c r="H2163">
        <v>186.51400000000001</v>
      </c>
      <c r="I2163">
        <v>240.52500000000001</v>
      </c>
      <c r="L2163">
        <v>118.812</v>
      </c>
    </row>
    <row r="2164" spans="1:12" x14ac:dyDescent="0.25">
      <c r="A2164" s="12">
        <v>44740</v>
      </c>
      <c r="B2164">
        <v>281.55</v>
      </c>
      <c r="C2164">
        <v>234.26300000000001</v>
      </c>
      <c r="D2164">
        <f t="shared" si="19"/>
        <v>121.31</v>
      </c>
      <c r="E2164">
        <v>209.90700000000001</v>
      </c>
      <c r="F2164">
        <v>148.63200000000001</v>
      </c>
      <c r="G2164">
        <v>261.17099999999999</v>
      </c>
      <c r="H2164">
        <v>187.56200000000001</v>
      </c>
      <c r="I2164">
        <v>243.77099999999999</v>
      </c>
      <c r="L2164">
        <v>121.31</v>
      </c>
    </row>
    <row r="2165" spans="1:12" x14ac:dyDescent="0.25">
      <c r="A2165" s="12">
        <v>44741</v>
      </c>
      <c r="B2165">
        <v>280.38900000000001</v>
      </c>
      <c r="C2165">
        <v>233.50299999999999</v>
      </c>
      <c r="D2165">
        <f t="shared" si="19"/>
        <v>120.849</v>
      </c>
      <c r="E2165">
        <v>209.203</v>
      </c>
      <c r="F2165">
        <v>148.02199999999999</v>
      </c>
      <c r="G2165">
        <v>262.20299999999997</v>
      </c>
      <c r="H2165">
        <v>186.846</v>
      </c>
      <c r="I2165">
        <v>243.233</v>
      </c>
      <c r="L2165">
        <v>120.849</v>
      </c>
    </row>
    <row r="2166" spans="1:12" x14ac:dyDescent="0.25">
      <c r="A2166" s="12">
        <v>44742</v>
      </c>
      <c r="B2166">
        <v>279.37900000000002</v>
      </c>
      <c r="C2166">
        <v>233.37700000000001</v>
      </c>
      <c r="D2166">
        <f t="shared" si="19"/>
        <v>120.309</v>
      </c>
      <c r="E2166">
        <v>209.14500000000001</v>
      </c>
      <c r="F2166">
        <v>148.047</v>
      </c>
      <c r="G2166">
        <v>261.47899999999998</v>
      </c>
      <c r="H2166">
        <v>186.185</v>
      </c>
      <c r="I2166">
        <v>242.69499999999999</v>
      </c>
      <c r="L2166">
        <v>120.309</v>
      </c>
    </row>
    <row r="2167" spans="1:12" x14ac:dyDescent="0.25">
      <c r="A2167" s="12">
        <v>44743</v>
      </c>
      <c r="B2167">
        <v>279.23200000000003</v>
      </c>
      <c r="C2167">
        <v>233.608</v>
      </c>
      <c r="D2167">
        <f t="shared" si="19"/>
        <v>120.45</v>
      </c>
      <c r="E2167">
        <v>208.917</v>
      </c>
      <c r="F2167">
        <v>148.33000000000001</v>
      </c>
      <c r="G2167">
        <v>260.49900000000002</v>
      </c>
      <c r="H2167">
        <v>186.32499999999999</v>
      </c>
      <c r="I2167">
        <v>241.96</v>
      </c>
      <c r="L2167">
        <v>120.45</v>
      </c>
    </row>
    <row r="2168" spans="1:12" x14ac:dyDescent="0.25">
      <c r="A2168" s="12">
        <v>44746</v>
      </c>
      <c r="B2168">
        <v>278.86399999999998</v>
      </c>
      <c r="C2168">
        <v>234.131</v>
      </c>
      <c r="D2168">
        <f t="shared" si="19"/>
        <v>120.646</v>
      </c>
      <c r="E2168">
        <v>210.13900000000001</v>
      </c>
      <c r="F2168">
        <v>149.45599999999999</v>
      </c>
      <c r="G2168">
        <v>259.68700000000001</v>
      </c>
      <c r="H2168">
        <v>186.387</v>
      </c>
      <c r="I2168">
        <v>243.47399999999999</v>
      </c>
      <c r="L2168">
        <v>120.646</v>
      </c>
    </row>
    <row r="2169" spans="1:12" x14ac:dyDescent="0.25">
      <c r="A2169" s="12">
        <v>44747</v>
      </c>
      <c r="B2169">
        <v>279.93200000000002</v>
      </c>
      <c r="C2169">
        <v>234.31700000000001</v>
      </c>
      <c r="D2169">
        <f t="shared" si="19"/>
        <v>121.56699999999999</v>
      </c>
      <c r="E2169">
        <v>209.84399999999999</v>
      </c>
      <c r="F2169">
        <v>149.05000000000001</v>
      </c>
      <c r="G2169">
        <v>260.23500000000001</v>
      </c>
      <c r="H2169">
        <v>187.10900000000001</v>
      </c>
      <c r="I2169">
        <v>243.256</v>
      </c>
      <c r="L2169">
        <v>121.56699999999999</v>
      </c>
    </row>
    <row r="2170" spans="1:12" x14ac:dyDescent="0.25">
      <c r="A2170" s="12">
        <v>44748</v>
      </c>
      <c r="B2170">
        <v>280.19400000000002</v>
      </c>
      <c r="C2170">
        <v>235.12100000000001</v>
      </c>
      <c r="D2170">
        <f t="shared" si="19"/>
        <v>121.264</v>
      </c>
      <c r="E2170">
        <v>210.44900000000001</v>
      </c>
      <c r="F2170">
        <v>149.60400000000001</v>
      </c>
      <c r="G2170">
        <v>260.10000000000002</v>
      </c>
      <c r="H2170">
        <v>186.8</v>
      </c>
      <c r="I2170">
        <v>243.95</v>
      </c>
      <c r="L2170">
        <v>121.264</v>
      </c>
    </row>
    <row r="2171" spans="1:12" x14ac:dyDescent="0.25">
      <c r="A2171" s="12">
        <v>44749</v>
      </c>
      <c r="B2171">
        <v>281.34100000000001</v>
      </c>
      <c r="C2171">
        <v>235.44</v>
      </c>
      <c r="D2171">
        <f t="shared" si="19"/>
        <v>122.812</v>
      </c>
      <c r="E2171">
        <v>211.893</v>
      </c>
      <c r="F2171">
        <v>149.74</v>
      </c>
      <c r="G2171">
        <v>260.65899999999999</v>
      </c>
      <c r="H2171">
        <v>187.24100000000001</v>
      </c>
      <c r="I2171">
        <v>246.26900000000001</v>
      </c>
      <c r="L2171">
        <v>122.812</v>
      </c>
    </row>
    <row r="2172" spans="1:12" x14ac:dyDescent="0.25">
      <c r="A2172" s="12">
        <v>44750</v>
      </c>
      <c r="B2172">
        <v>281.96899999999999</v>
      </c>
      <c r="C2172">
        <v>234.892</v>
      </c>
      <c r="D2172">
        <f t="shared" si="19"/>
        <v>123.52800000000001</v>
      </c>
      <c r="E2172">
        <v>212.85900000000001</v>
      </c>
      <c r="F2172">
        <v>149.61600000000001</v>
      </c>
      <c r="G2172">
        <v>262.59199999999998</v>
      </c>
      <c r="H2172">
        <v>187.32599999999999</v>
      </c>
      <c r="I2172">
        <v>247.376</v>
      </c>
      <c r="L2172">
        <v>123.52800000000001</v>
      </c>
    </row>
    <row r="2173" spans="1:12" x14ac:dyDescent="0.25">
      <c r="A2173" s="12">
        <v>44753</v>
      </c>
      <c r="B2173">
        <v>282.84199999999998</v>
      </c>
      <c r="C2173">
        <v>234.6</v>
      </c>
      <c r="D2173">
        <f t="shared" si="19"/>
        <v>124.128</v>
      </c>
      <c r="E2173">
        <v>213.13499999999999</v>
      </c>
      <c r="F2173">
        <v>149.435</v>
      </c>
      <c r="G2173">
        <v>264.19299999999998</v>
      </c>
      <c r="H2173">
        <v>187.119</v>
      </c>
      <c r="I2173">
        <v>247.709</v>
      </c>
      <c r="L2173">
        <v>124.128</v>
      </c>
    </row>
    <row r="2174" spans="1:12" x14ac:dyDescent="0.25">
      <c r="A2174" s="12">
        <v>44754</v>
      </c>
      <c r="B2174">
        <v>282.62400000000002</v>
      </c>
      <c r="C2174">
        <v>234.661</v>
      </c>
      <c r="D2174">
        <f t="shared" si="19"/>
        <v>124.134</v>
      </c>
      <c r="E2174">
        <v>213.244</v>
      </c>
      <c r="F2174">
        <v>149.774</v>
      </c>
      <c r="G2174">
        <v>265.27100000000002</v>
      </c>
      <c r="H2174">
        <v>187.21799999999999</v>
      </c>
      <c r="I2174">
        <v>247.77</v>
      </c>
      <c r="L2174">
        <v>124.134</v>
      </c>
    </row>
    <row r="2175" spans="1:12" x14ac:dyDescent="0.25">
      <c r="A2175" s="12">
        <v>44755</v>
      </c>
      <c r="B2175">
        <v>282.49</v>
      </c>
      <c r="C2175">
        <v>235.21700000000001</v>
      </c>
      <c r="D2175">
        <f t="shared" si="19"/>
        <v>124.539</v>
      </c>
      <c r="E2175">
        <v>213.446</v>
      </c>
      <c r="F2175">
        <v>149.90899999999999</v>
      </c>
      <c r="G2175">
        <v>265.09800000000001</v>
      </c>
      <c r="H2175">
        <v>187.56700000000001</v>
      </c>
      <c r="I2175">
        <v>248.506</v>
      </c>
      <c r="L2175">
        <v>124.539</v>
      </c>
    </row>
    <row r="2176" spans="1:12" x14ac:dyDescent="0.25">
      <c r="A2176" s="12">
        <v>44756</v>
      </c>
      <c r="B2176">
        <v>281.31799999999998</v>
      </c>
      <c r="C2176">
        <v>235.00800000000001</v>
      </c>
      <c r="D2176">
        <f t="shared" si="19"/>
        <v>124.20699999999999</v>
      </c>
      <c r="E2176">
        <v>212.41200000000001</v>
      </c>
      <c r="F2176">
        <v>149.49799999999999</v>
      </c>
      <c r="G2176">
        <v>264.86</v>
      </c>
      <c r="H2176">
        <v>187.78</v>
      </c>
      <c r="I2176">
        <v>246.9</v>
      </c>
      <c r="L2176">
        <v>124.20699999999999</v>
      </c>
    </row>
    <row r="2177" spans="1:12" x14ac:dyDescent="0.25">
      <c r="A2177" s="12">
        <v>44757</v>
      </c>
      <c r="B2177">
        <v>280.19</v>
      </c>
      <c r="C2177">
        <v>234.376</v>
      </c>
      <c r="D2177">
        <f t="shared" si="19"/>
        <v>123.42100000000001</v>
      </c>
      <c r="E2177">
        <v>211.56800000000001</v>
      </c>
      <c r="F2177">
        <v>149.04300000000001</v>
      </c>
      <c r="G2177">
        <v>263.45400000000001</v>
      </c>
      <c r="H2177">
        <v>187.495</v>
      </c>
      <c r="I2177">
        <v>245.86799999999999</v>
      </c>
      <c r="L2177">
        <v>123.42100000000001</v>
      </c>
    </row>
    <row r="2178" spans="1:12" x14ac:dyDescent="0.25">
      <c r="A2178" s="12">
        <v>44760</v>
      </c>
      <c r="B2178">
        <v>280.73399999999998</v>
      </c>
      <c r="C2178">
        <v>234.21</v>
      </c>
      <c r="D2178">
        <f t="shared" si="19"/>
        <v>124.012</v>
      </c>
      <c r="E2178">
        <v>212.50399999999999</v>
      </c>
      <c r="F2178">
        <v>149.15700000000001</v>
      </c>
      <c r="G2178">
        <v>262.33199999999999</v>
      </c>
      <c r="H2178">
        <v>186.92699999999999</v>
      </c>
      <c r="I2178">
        <v>247.55099999999999</v>
      </c>
      <c r="L2178">
        <v>124.012</v>
      </c>
    </row>
    <row r="2179" spans="1:12" x14ac:dyDescent="0.25">
      <c r="A2179" s="12">
        <v>44761</v>
      </c>
      <c r="B2179">
        <v>281.37</v>
      </c>
      <c r="C2179">
        <v>234.04</v>
      </c>
      <c r="D2179">
        <f t="shared" si="19"/>
        <v>124.455</v>
      </c>
      <c r="E2179">
        <v>212.50899999999999</v>
      </c>
      <c r="F2179">
        <v>149.05799999999999</v>
      </c>
      <c r="G2179">
        <v>263.45499999999998</v>
      </c>
      <c r="H2179">
        <v>187.17400000000001</v>
      </c>
      <c r="I2179">
        <v>247.79300000000001</v>
      </c>
      <c r="L2179">
        <v>124.455</v>
      </c>
    </row>
    <row r="2180" spans="1:12" x14ac:dyDescent="0.25">
      <c r="A2180" s="12">
        <v>44762</v>
      </c>
      <c r="B2180">
        <v>281.62599999999998</v>
      </c>
      <c r="C2180">
        <v>233.82599999999999</v>
      </c>
      <c r="D2180">
        <f t="shared" si="19"/>
        <v>123.78700000000001</v>
      </c>
      <c r="E2180">
        <v>212.64500000000001</v>
      </c>
      <c r="F2180">
        <v>148.96</v>
      </c>
      <c r="G2180">
        <v>264.154</v>
      </c>
      <c r="H2180">
        <v>186.92699999999999</v>
      </c>
      <c r="I2180">
        <v>247.619</v>
      </c>
      <c r="L2180">
        <v>123.78700000000001</v>
      </c>
    </row>
    <row r="2181" spans="1:12" x14ac:dyDescent="0.25">
      <c r="A2181" s="12">
        <v>44763</v>
      </c>
      <c r="B2181">
        <v>283.17399999999998</v>
      </c>
      <c r="C2181">
        <v>234.19499999999999</v>
      </c>
      <c r="D2181">
        <f t="shared" si="19"/>
        <v>124.497</v>
      </c>
      <c r="E2181">
        <v>213.79</v>
      </c>
      <c r="F2181">
        <v>149.51599999999999</v>
      </c>
      <c r="G2181">
        <v>263.78100000000001</v>
      </c>
      <c r="H2181">
        <v>186.703</v>
      </c>
      <c r="I2181">
        <v>249.22800000000001</v>
      </c>
      <c r="L2181">
        <v>124.497</v>
      </c>
    </row>
    <row r="2182" spans="1:12" x14ac:dyDescent="0.25">
      <c r="A2182" s="12">
        <v>44764</v>
      </c>
      <c r="B2182">
        <v>284.44799999999998</v>
      </c>
      <c r="C2182">
        <v>234.86500000000001</v>
      </c>
      <c r="D2182">
        <f t="shared" si="19"/>
        <v>125.154</v>
      </c>
      <c r="E2182">
        <v>214.55600000000001</v>
      </c>
      <c r="F2182">
        <v>149.80500000000001</v>
      </c>
      <c r="G2182">
        <v>265.98899999999998</v>
      </c>
      <c r="H2182">
        <v>187.32599999999999</v>
      </c>
      <c r="I2182">
        <v>249.971</v>
      </c>
      <c r="L2182">
        <v>125.154</v>
      </c>
    </row>
    <row r="2183" spans="1:12" x14ac:dyDescent="0.25">
      <c r="A2183" s="12">
        <v>44767</v>
      </c>
      <c r="B2183">
        <v>285.89499999999998</v>
      </c>
      <c r="C2183">
        <v>236.12200000000001</v>
      </c>
      <c r="D2183">
        <f t="shared" si="19"/>
        <v>125.956</v>
      </c>
      <c r="E2183">
        <v>215.66</v>
      </c>
      <c r="F2183">
        <v>150.83500000000001</v>
      </c>
      <c r="G2183">
        <v>266.89600000000002</v>
      </c>
      <c r="H2183">
        <v>187.61699999999999</v>
      </c>
      <c r="I2183">
        <v>251.32900000000001</v>
      </c>
      <c r="L2183">
        <v>125.956</v>
      </c>
    </row>
    <row r="2184" spans="1:12" x14ac:dyDescent="0.25">
      <c r="A2184" s="12">
        <v>44768</v>
      </c>
      <c r="B2184">
        <v>285.78500000000003</v>
      </c>
      <c r="C2184">
        <v>237.286</v>
      </c>
      <c r="D2184">
        <f t="shared" si="19"/>
        <v>126.03700000000001</v>
      </c>
      <c r="E2184">
        <v>215.61799999999999</v>
      </c>
      <c r="F2184">
        <v>151.18299999999999</v>
      </c>
      <c r="G2184">
        <v>268.33600000000001</v>
      </c>
      <c r="H2184">
        <v>188.88</v>
      </c>
      <c r="I2184">
        <v>251.20500000000001</v>
      </c>
      <c r="L2184">
        <v>126.03700000000001</v>
      </c>
    </row>
    <row r="2185" spans="1:12" x14ac:dyDescent="0.25">
      <c r="A2185" s="12">
        <v>44769</v>
      </c>
      <c r="B2185">
        <v>285.77100000000002</v>
      </c>
      <c r="C2185">
        <v>237.63300000000001</v>
      </c>
      <c r="D2185">
        <f t="shared" si="19"/>
        <v>126.24299999999999</v>
      </c>
      <c r="E2185">
        <v>216.08</v>
      </c>
      <c r="F2185">
        <v>151.44800000000001</v>
      </c>
      <c r="G2185">
        <v>267.91699999999997</v>
      </c>
      <c r="H2185">
        <v>189.21799999999999</v>
      </c>
      <c r="I2185">
        <v>251.65600000000001</v>
      </c>
      <c r="L2185">
        <v>126.24299999999999</v>
      </c>
    </row>
    <row r="2186" spans="1:12" x14ac:dyDescent="0.25">
      <c r="A2186" s="12">
        <v>44770</v>
      </c>
      <c r="B2186">
        <v>285.613</v>
      </c>
      <c r="C2186">
        <v>237.77099999999999</v>
      </c>
      <c r="D2186">
        <f t="shared" si="19"/>
        <v>126.563</v>
      </c>
      <c r="E2186">
        <v>216.613</v>
      </c>
      <c r="F2186">
        <v>151.46799999999999</v>
      </c>
      <c r="G2186">
        <v>268.17599999999999</v>
      </c>
      <c r="H2186">
        <v>189.61699999999999</v>
      </c>
      <c r="I2186">
        <v>252.54599999999999</v>
      </c>
      <c r="L2186">
        <v>126.563</v>
      </c>
    </row>
    <row r="2187" spans="1:12" x14ac:dyDescent="0.25">
      <c r="A2187" s="12">
        <v>44771</v>
      </c>
      <c r="B2187">
        <v>288.19200000000001</v>
      </c>
      <c r="C2187">
        <v>238.35400000000001</v>
      </c>
      <c r="D2187">
        <f t="shared" si="19"/>
        <v>127.86499999999999</v>
      </c>
      <c r="E2187">
        <v>218.72399999999999</v>
      </c>
      <c r="F2187">
        <v>152.56</v>
      </c>
      <c r="G2187">
        <v>268.82600000000002</v>
      </c>
      <c r="H2187">
        <v>189.6</v>
      </c>
      <c r="I2187">
        <v>255.08799999999999</v>
      </c>
      <c r="L2187">
        <v>127.86499999999999</v>
      </c>
    </row>
    <row r="2188" spans="1:12" x14ac:dyDescent="0.25">
      <c r="A2188" s="12">
        <v>44774</v>
      </c>
      <c r="B2188">
        <v>289.99299999999999</v>
      </c>
      <c r="C2188">
        <v>239.11799999999999</v>
      </c>
      <c r="D2188">
        <f t="shared" si="19"/>
        <v>128.83000000000001</v>
      </c>
      <c r="E2188">
        <v>219.74799999999999</v>
      </c>
      <c r="F2188">
        <v>153.23400000000001</v>
      </c>
      <c r="G2188">
        <v>271.529</v>
      </c>
      <c r="H2188">
        <v>190.69499999999999</v>
      </c>
      <c r="I2188">
        <v>256.447</v>
      </c>
      <c r="L2188">
        <v>128.83000000000001</v>
      </c>
    </row>
    <row r="2189" spans="1:12" x14ac:dyDescent="0.25">
      <c r="A2189" s="12">
        <v>44775</v>
      </c>
      <c r="B2189">
        <v>291.06</v>
      </c>
      <c r="C2189">
        <v>239.77600000000001</v>
      </c>
      <c r="D2189">
        <f t="shared" si="19"/>
        <v>129.21899999999999</v>
      </c>
      <c r="E2189">
        <v>220.12799999999999</v>
      </c>
      <c r="F2189">
        <v>153.61099999999999</v>
      </c>
      <c r="G2189">
        <v>273.00099999999998</v>
      </c>
      <c r="H2189">
        <v>191.137</v>
      </c>
      <c r="I2189">
        <v>257.02300000000002</v>
      </c>
      <c r="L2189">
        <v>129.21899999999999</v>
      </c>
    </row>
    <row r="2190" spans="1:12" x14ac:dyDescent="0.25">
      <c r="A2190" s="12">
        <v>44776</v>
      </c>
      <c r="B2190">
        <v>290.95800000000003</v>
      </c>
      <c r="C2190">
        <v>240.33199999999999</v>
      </c>
      <c r="D2190">
        <f t="shared" si="19"/>
        <v>129.12</v>
      </c>
      <c r="E2190">
        <v>219.82300000000001</v>
      </c>
      <c r="F2190">
        <v>153.50800000000001</v>
      </c>
      <c r="G2190">
        <v>273.45100000000002</v>
      </c>
      <c r="H2190">
        <v>191.65799999999999</v>
      </c>
      <c r="I2190">
        <v>256.83699999999999</v>
      </c>
      <c r="L2190">
        <v>129.12</v>
      </c>
    </row>
    <row r="2191" spans="1:12" x14ac:dyDescent="0.25">
      <c r="A2191" s="12">
        <v>44777</v>
      </c>
      <c r="B2191">
        <v>290.84800000000001</v>
      </c>
      <c r="C2191">
        <v>239.86199999999999</v>
      </c>
      <c r="D2191">
        <f t="shared" si="19"/>
        <v>129.11099999999999</v>
      </c>
      <c r="E2191">
        <v>220.006</v>
      </c>
      <c r="F2191">
        <v>153.37</v>
      </c>
      <c r="G2191">
        <v>272.96100000000001</v>
      </c>
      <c r="H2191">
        <v>191.61799999999999</v>
      </c>
      <c r="I2191">
        <v>257.404</v>
      </c>
      <c r="L2191">
        <v>129.11099999999999</v>
      </c>
    </row>
    <row r="2192" spans="1:12" x14ac:dyDescent="0.25">
      <c r="A2192" s="12">
        <v>44778</v>
      </c>
      <c r="B2192">
        <v>292.303</v>
      </c>
      <c r="C2192">
        <v>240.04599999999999</v>
      </c>
      <c r="D2192">
        <f t="shared" si="19"/>
        <v>129.65899999999999</v>
      </c>
      <c r="E2192">
        <v>220.87899999999999</v>
      </c>
      <c r="F2192">
        <v>153.90899999999999</v>
      </c>
      <c r="G2192">
        <v>273.58499999999998</v>
      </c>
      <c r="H2192">
        <v>191.37200000000001</v>
      </c>
      <c r="I2192">
        <v>257.91699999999997</v>
      </c>
      <c r="L2192">
        <v>129.65899999999999</v>
      </c>
    </row>
    <row r="2193" spans="1:12" x14ac:dyDescent="0.25">
      <c r="A2193" s="12">
        <v>44781</v>
      </c>
      <c r="B2193">
        <v>291.56099999999998</v>
      </c>
      <c r="C2193">
        <v>239.86099999999999</v>
      </c>
      <c r="D2193">
        <f t="shared" si="19"/>
        <v>129.28399999999999</v>
      </c>
      <c r="E2193">
        <v>220.09700000000001</v>
      </c>
      <c r="F2193">
        <v>153.52199999999999</v>
      </c>
      <c r="G2193">
        <v>274.70800000000003</v>
      </c>
      <c r="H2193">
        <v>191.876</v>
      </c>
      <c r="I2193">
        <v>257.21300000000002</v>
      </c>
      <c r="L2193">
        <v>129.28399999999999</v>
      </c>
    </row>
    <row r="2194" spans="1:12" x14ac:dyDescent="0.25">
      <c r="A2194" s="12">
        <v>44782</v>
      </c>
      <c r="B2194">
        <v>291.57100000000003</v>
      </c>
      <c r="C2194">
        <v>239.45099999999999</v>
      </c>
      <c r="D2194">
        <f t="shared" si="19"/>
        <v>129.32</v>
      </c>
      <c r="E2194">
        <v>220.727</v>
      </c>
      <c r="F2194">
        <v>153.941</v>
      </c>
      <c r="G2194">
        <v>274.03300000000002</v>
      </c>
      <c r="H2194">
        <v>191.304</v>
      </c>
      <c r="I2194">
        <v>258.34699999999998</v>
      </c>
      <c r="L2194">
        <v>129.32</v>
      </c>
    </row>
    <row r="2195" spans="1:12" x14ac:dyDescent="0.25">
      <c r="A2195" s="12">
        <v>44783</v>
      </c>
      <c r="B2195">
        <v>291.24</v>
      </c>
      <c r="C2195">
        <v>239.59200000000001</v>
      </c>
      <c r="D2195">
        <f t="shared" ref="D2195:D2232" si="20">IF(L2195&gt;1,L2195,L2195*100)</f>
        <v>128.92699999999999</v>
      </c>
      <c r="E2195">
        <v>219.91499999999999</v>
      </c>
      <c r="F2195">
        <v>153.708</v>
      </c>
      <c r="G2195">
        <v>274.94099999999997</v>
      </c>
      <c r="H2195">
        <v>191.685</v>
      </c>
      <c r="I2195">
        <v>257.02300000000002</v>
      </c>
      <c r="L2195">
        <v>128.92699999999999</v>
      </c>
    </row>
    <row r="2196" spans="1:12" x14ac:dyDescent="0.25">
      <c r="A2196" s="12">
        <v>44784</v>
      </c>
      <c r="B2196">
        <v>291.51900000000001</v>
      </c>
      <c r="C2196">
        <v>239.74199999999999</v>
      </c>
      <c r="D2196">
        <f t="shared" si="20"/>
        <v>128.88</v>
      </c>
      <c r="E2196">
        <v>220.41499999999999</v>
      </c>
      <c r="F2196">
        <v>153.94999999999999</v>
      </c>
      <c r="G2196">
        <v>273.91500000000002</v>
      </c>
      <c r="H2196">
        <v>191.506</v>
      </c>
      <c r="I2196">
        <v>258.07100000000003</v>
      </c>
      <c r="L2196">
        <v>128.88</v>
      </c>
    </row>
    <row r="2197" spans="1:12" x14ac:dyDescent="0.25">
      <c r="A2197" s="12">
        <v>44785</v>
      </c>
      <c r="B2197">
        <v>292.06</v>
      </c>
      <c r="C2197">
        <v>239.83500000000001</v>
      </c>
      <c r="D2197">
        <f t="shared" si="20"/>
        <v>129.261</v>
      </c>
      <c r="E2197">
        <v>220.696</v>
      </c>
      <c r="F2197">
        <v>154.04599999999999</v>
      </c>
      <c r="G2197">
        <v>274.42399999999998</v>
      </c>
      <c r="H2197">
        <v>191.81399999999999</v>
      </c>
      <c r="I2197">
        <v>258.50400000000002</v>
      </c>
      <c r="L2197">
        <v>129.261</v>
      </c>
    </row>
    <row r="2198" spans="1:12" x14ac:dyDescent="0.25">
      <c r="A2198" s="12">
        <v>44788</v>
      </c>
      <c r="B2198">
        <v>292.815</v>
      </c>
      <c r="C2198">
        <v>239.99600000000001</v>
      </c>
      <c r="D2198">
        <f t="shared" si="20"/>
        <v>129.30199999999999</v>
      </c>
      <c r="E2198">
        <v>221.22800000000001</v>
      </c>
      <c r="F2198">
        <v>153.98599999999999</v>
      </c>
      <c r="G2198">
        <v>275.57100000000003</v>
      </c>
      <c r="H2198">
        <v>191.93</v>
      </c>
      <c r="I2198">
        <v>259.06700000000001</v>
      </c>
      <c r="L2198">
        <v>129.30199999999999</v>
      </c>
    </row>
    <row r="2199" spans="1:12" x14ac:dyDescent="0.25">
      <c r="A2199" s="12">
        <v>44789</v>
      </c>
      <c r="B2199">
        <v>294.43299999999999</v>
      </c>
      <c r="C2199">
        <v>240.62</v>
      </c>
      <c r="D2199">
        <f t="shared" si="20"/>
        <v>130.476</v>
      </c>
      <c r="E2199">
        <v>222.67400000000001</v>
      </c>
      <c r="F2199">
        <v>154.316</v>
      </c>
      <c r="G2199">
        <v>276.51600000000002</v>
      </c>
      <c r="H2199">
        <v>192.21199999999999</v>
      </c>
      <c r="I2199">
        <v>260.68299999999999</v>
      </c>
      <c r="L2199">
        <v>130.476</v>
      </c>
    </row>
    <row r="2200" spans="1:12" x14ac:dyDescent="0.25">
      <c r="A2200" s="12">
        <v>44790</v>
      </c>
      <c r="B2200">
        <v>295.52499999999998</v>
      </c>
      <c r="C2200">
        <v>240.75800000000001</v>
      </c>
      <c r="D2200">
        <f t="shared" si="20"/>
        <v>131.214</v>
      </c>
      <c r="E2200">
        <v>222.87100000000001</v>
      </c>
      <c r="F2200">
        <v>154.047</v>
      </c>
      <c r="G2200">
        <v>277.73500000000001</v>
      </c>
      <c r="H2200">
        <v>192.626</v>
      </c>
      <c r="I2200">
        <v>260.84699999999998</v>
      </c>
      <c r="L2200">
        <v>131.214</v>
      </c>
    </row>
    <row r="2201" spans="1:12" x14ac:dyDescent="0.25">
      <c r="A2201" s="12">
        <v>44791</v>
      </c>
      <c r="B2201">
        <v>294.77499999999998</v>
      </c>
      <c r="C2201">
        <v>240.01499999999999</v>
      </c>
      <c r="D2201">
        <f t="shared" si="20"/>
        <v>130.756</v>
      </c>
      <c r="E2201">
        <v>221.83600000000001</v>
      </c>
      <c r="F2201">
        <v>153.09200000000001</v>
      </c>
      <c r="G2201">
        <v>278.49</v>
      </c>
      <c r="H2201">
        <v>192.304</v>
      </c>
      <c r="I2201">
        <v>259.37700000000001</v>
      </c>
      <c r="L2201">
        <v>130.756</v>
      </c>
    </row>
    <row r="2202" spans="1:12" x14ac:dyDescent="0.25">
      <c r="A2202" s="12">
        <v>44792</v>
      </c>
      <c r="B2202">
        <v>294.08600000000001</v>
      </c>
      <c r="C2202">
        <v>239.37200000000001</v>
      </c>
      <c r="D2202">
        <f t="shared" si="20"/>
        <v>130.44999999999999</v>
      </c>
      <c r="E2202">
        <v>221.786</v>
      </c>
      <c r="F2202">
        <v>152.94999999999999</v>
      </c>
      <c r="G2202">
        <v>277.53500000000003</v>
      </c>
      <c r="H2202">
        <v>191.40299999999999</v>
      </c>
      <c r="I2202">
        <v>259.77999999999997</v>
      </c>
      <c r="L2202">
        <v>130.44999999999999</v>
      </c>
    </row>
    <row r="2203" spans="1:12" x14ac:dyDescent="0.25">
      <c r="A2203" s="12">
        <v>44795</v>
      </c>
      <c r="B2203">
        <v>293.43400000000003</v>
      </c>
      <c r="C2203">
        <v>238.977</v>
      </c>
      <c r="D2203">
        <f t="shared" si="20"/>
        <v>130.31700000000001</v>
      </c>
      <c r="E2203">
        <v>221.17599999999999</v>
      </c>
      <c r="F2203">
        <v>152.31</v>
      </c>
      <c r="G2203">
        <v>277.40800000000002</v>
      </c>
      <c r="H2203">
        <v>191.065</v>
      </c>
      <c r="I2203">
        <v>258.351</v>
      </c>
      <c r="L2203">
        <v>130.31700000000001</v>
      </c>
    </row>
    <row r="2204" spans="1:12" x14ac:dyDescent="0.25">
      <c r="A2204" s="12">
        <v>44796</v>
      </c>
      <c r="B2204">
        <v>291.255</v>
      </c>
      <c r="C2204">
        <v>238.02</v>
      </c>
      <c r="D2204">
        <f t="shared" si="20"/>
        <v>129.61000000000001</v>
      </c>
      <c r="E2204">
        <v>219.988</v>
      </c>
      <c r="F2204">
        <v>151.61699999999999</v>
      </c>
      <c r="G2204">
        <v>276.649</v>
      </c>
      <c r="H2204">
        <v>190.18700000000001</v>
      </c>
      <c r="I2204">
        <v>257.10599999999999</v>
      </c>
      <c r="L2204">
        <v>129.61000000000001</v>
      </c>
    </row>
    <row r="2205" spans="1:12" x14ac:dyDescent="0.25">
      <c r="A2205" s="12">
        <v>44797</v>
      </c>
      <c r="B2205">
        <v>290.04300000000001</v>
      </c>
      <c r="C2205">
        <v>237.45</v>
      </c>
      <c r="D2205">
        <f t="shared" si="20"/>
        <v>128.78</v>
      </c>
      <c r="E2205">
        <v>219.459</v>
      </c>
      <c r="F2205">
        <v>151.702</v>
      </c>
      <c r="G2205">
        <v>275.01499999999999</v>
      </c>
      <c r="H2205">
        <v>189.404</v>
      </c>
      <c r="I2205">
        <v>255.86600000000001</v>
      </c>
      <c r="L2205">
        <v>128.78</v>
      </c>
    </row>
    <row r="2206" spans="1:12" x14ac:dyDescent="0.25">
      <c r="A2206" s="12">
        <v>44798</v>
      </c>
      <c r="B2206">
        <v>289.33499999999998</v>
      </c>
      <c r="C2206">
        <v>236.90100000000001</v>
      </c>
      <c r="D2206">
        <f t="shared" si="20"/>
        <v>128.55199999999999</v>
      </c>
      <c r="E2206">
        <v>219.33</v>
      </c>
      <c r="F2206">
        <v>151.62299999999999</v>
      </c>
      <c r="G2206">
        <v>273.87799999999999</v>
      </c>
      <c r="H2206">
        <v>189.09299999999999</v>
      </c>
      <c r="I2206">
        <v>255.91300000000001</v>
      </c>
      <c r="L2206">
        <v>128.55199999999999</v>
      </c>
    </row>
    <row r="2207" spans="1:12" x14ac:dyDescent="0.25">
      <c r="A2207" s="12">
        <v>44799</v>
      </c>
      <c r="B2207">
        <v>289.92500000000001</v>
      </c>
      <c r="C2207">
        <v>236.89400000000001</v>
      </c>
      <c r="D2207">
        <f t="shared" si="20"/>
        <v>128.583</v>
      </c>
      <c r="E2207">
        <v>220.262</v>
      </c>
      <c r="F2207">
        <v>151.87700000000001</v>
      </c>
      <c r="G2207">
        <v>273.85399999999998</v>
      </c>
      <c r="H2207">
        <v>188.976</v>
      </c>
      <c r="I2207">
        <v>256.428</v>
      </c>
      <c r="L2207">
        <v>128.583</v>
      </c>
    </row>
    <row r="2208" spans="1:12" x14ac:dyDescent="0.25">
      <c r="A2208" s="12">
        <v>44802</v>
      </c>
      <c r="B2208">
        <v>289.8</v>
      </c>
      <c r="C2208">
        <v>236.94300000000001</v>
      </c>
      <c r="D2208">
        <f t="shared" si="20"/>
        <v>128.85900000000001</v>
      </c>
      <c r="E2208">
        <v>219.577</v>
      </c>
      <c r="F2208">
        <v>151.548</v>
      </c>
      <c r="G2208">
        <v>274.67399999999998</v>
      </c>
      <c r="H2208">
        <v>189.42500000000001</v>
      </c>
      <c r="I2208">
        <v>254.97</v>
      </c>
      <c r="L2208">
        <v>128.85900000000001</v>
      </c>
    </row>
    <row r="2209" spans="1:12" x14ac:dyDescent="0.25">
      <c r="A2209" s="12">
        <v>44803</v>
      </c>
      <c r="B2209">
        <v>287.43</v>
      </c>
      <c r="C2209">
        <v>236.727</v>
      </c>
      <c r="D2209">
        <f t="shared" si="20"/>
        <v>126.97199999999999</v>
      </c>
      <c r="E2209">
        <v>217.04400000000001</v>
      </c>
      <c r="F2209">
        <v>150.76599999999999</v>
      </c>
      <c r="G2209">
        <v>274.01600000000002</v>
      </c>
      <c r="H2209">
        <v>189.15299999999999</v>
      </c>
      <c r="I2209">
        <v>252.62799999999999</v>
      </c>
      <c r="L2209">
        <v>126.97199999999999</v>
      </c>
    </row>
    <row r="2210" spans="1:12" x14ac:dyDescent="0.25">
      <c r="A2210" s="12">
        <v>44804</v>
      </c>
      <c r="B2210">
        <v>285.90300000000002</v>
      </c>
      <c r="C2210">
        <v>235.648</v>
      </c>
      <c r="D2210">
        <f t="shared" si="20"/>
        <v>126.745</v>
      </c>
      <c r="E2210">
        <v>216.02600000000001</v>
      </c>
      <c r="F2210">
        <v>150.208</v>
      </c>
      <c r="G2210">
        <v>271.55</v>
      </c>
      <c r="H2210">
        <v>188.61500000000001</v>
      </c>
      <c r="I2210">
        <v>251.57400000000001</v>
      </c>
      <c r="L2210">
        <v>126.745</v>
      </c>
    </row>
    <row r="2211" spans="1:12" x14ac:dyDescent="0.25">
      <c r="A2211" s="12">
        <v>44805</v>
      </c>
      <c r="B2211">
        <v>285.20699999999999</v>
      </c>
      <c r="C2211">
        <v>235.255</v>
      </c>
      <c r="D2211">
        <f t="shared" si="20"/>
        <v>125.559</v>
      </c>
      <c r="E2211">
        <v>214.80099999999999</v>
      </c>
      <c r="F2211">
        <v>149.58000000000001</v>
      </c>
      <c r="G2211">
        <v>269.529</v>
      </c>
      <c r="H2211">
        <v>187.999</v>
      </c>
      <c r="I2211">
        <v>250.72399999999999</v>
      </c>
      <c r="L2211">
        <v>125.559</v>
      </c>
    </row>
    <row r="2212" spans="1:12" x14ac:dyDescent="0.25">
      <c r="A2212" s="12">
        <v>44806</v>
      </c>
      <c r="B2212">
        <v>283.54599999999999</v>
      </c>
      <c r="C2212">
        <v>234.24199999999999</v>
      </c>
      <c r="D2212">
        <f t="shared" si="20"/>
        <v>124.562</v>
      </c>
      <c r="E2212">
        <v>213.83699999999999</v>
      </c>
      <c r="F2212">
        <v>149.07900000000001</v>
      </c>
      <c r="G2212">
        <v>268.20699999999999</v>
      </c>
      <c r="H2212">
        <v>187.38900000000001</v>
      </c>
      <c r="I2212">
        <v>249.249</v>
      </c>
      <c r="L2212">
        <v>124.562</v>
      </c>
    </row>
    <row r="2213" spans="1:12" x14ac:dyDescent="0.25">
      <c r="A2213" s="12">
        <v>44809</v>
      </c>
      <c r="B2213">
        <v>283.44900000000001</v>
      </c>
      <c r="C2213">
        <v>233.74799999999999</v>
      </c>
      <c r="D2213">
        <f t="shared" si="20"/>
        <v>125.22799999999999</v>
      </c>
      <c r="E2213">
        <v>214.30500000000001</v>
      </c>
      <c r="F2213">
        <v>149.49100000000001</v>
      </c>
      <c r="G2213">
        <v>266.74299999999999</v>
      </c>
      <c r="H2213">
        <v>186.90299999999999</v>
      </c>
      <c r="I2213">
        <v>250.60400000000001</v>
      </c>
      <c r="L2213">
        <v>125.22799999999999</v>
      </c>
    </row>
    <row r="2214" spans="1:12" x14ac:dyDescent="0.25">
      <c r="A2214" s="12">
        <v>44810</v>
      </c>
      <c r="B2214">
        <v>282.80500000000001</v>
      </c>
      <c r="C2214">
        <v>233.916</v>
      </c>
      <c r="D2214">
        <f t="shared" si="20"/>
        <v>124.568</v>
      </c>
      <c r="E2214">
        <v>213.78800000000001</v>
      </c>
      <c r="F2214">
        <v>149.286</v>
      </c>
      <c r="G2214">
        <v>267.69200000000001</v>
      </c>
      <c r="H2214">
        <v>187.10300000000001</v>
      </c>
      <c r="I2214">
        <v>249.61199999999999</v>
      </c>
      <c r="L2214">
        <v>124.568</v>
      </c>
    </row>
    <row r="2215" spans="1:12" x14ac:dyDescent="0.25">
      <c r="A2215" s="12">
        <v>44811</v>
      </c>
      <c r="B2215">
        <v>282.80900000000003</v>
      </c>
      <c r="C2215">
        <v>233.721</v>
      </c>
      <c r="D2215">
        <f t="shared" si="20"/>
        <v>124.452</v>
      </c>
      <c r="E2215">
        <v>213.506</v>
      </c>
      <c r="F2215">
        <v>149.12700000000001</v>
      </c>
      <c r="G2215">
        <v>267.12099999999998</v>
      </c>
      <c r="H2215">
        <v>186.84200000000001</v>
      </c>
      <c r="I2215">
        <v>249.49299999999999</v>
      </c>
      <c r="L2215">
        <v>124.452</v>
      </c>
    </row>
    <row r="2216" spans="1:12" x14ac:dyDescent="0.25">
      <c r="A2216" s="12">
        <v>44812</v>
      </c>
      <c r="B2216">
        <v>282.91399999999999</v>
      </c>
      <c r="C2216">
        <v>233.357</v>
      </c>
      <c r="D2216">
        <f t="shared" si="20"/>
        <v>124.544</v>
      </c>
      <c r="E2216">
        <v>213.85499999999999</v>
      </c>
      <c r="F2216">
        <v>149.27699999999999</v>
      </c>
      <c r="G2216">
        <v>266.702</v>
      </c>
      <c r="H2216">
        <v>186.56800000000001</v>
      </c>
      <c r="I2216">
        <v>249.374</v>
      </c>
      <c r="L2216">
        <v>124.544</v>
      </c>
    </row>
    <row r="2217" spans="1:12" x14ac:dyDescent="0.25">
      <c r="A2217" s="12">
        <v>44813</v>
      </c>
      <c r="B2217">
        <v>283.54000000000002</v>
      </c>
      <c r="C2217">
        <v>233.06700000000001</v>
      </c>
      <c r="D2217">
        <f t="shared" si="20"/>
        <v>125.074</v>
      </c>
      <c r="E2217">
        <v>214.166</v>
      </c>
      <c r="F2217">
        <v>149.18299999999999</v>
      </c>
      <c r="G2217">
        <v>266.63900000000001</v>
      </c>
      <c r="H2217">
        <v>186.679</v>
      </c>
      <c r="I2217">
        <v>250.52</v>
      </c>
      <c r="L2217">
        <v>125.074</v>
      </c>
    </row>
    <row r="2218" spans="1:12" x14ac:dyDescent="0.25">
      <c r="A2218" s="12">
        <v>44816</v>
      </c>
      <c r="B2218">
        <v>284.71699999999998</v>
      </c>
      <c r="C2218">
        <v>233.38399999999999</v>
      </c>
      <c r="D2218">
        <f t="shared" si="20"/>
        <v>125.295</v>
      </c>
      <c r="E2218">
        <v>214.91499999999999</v>
      </c>
      <c r="F2218">
        <v>149.26499999999999</v>
      </c>
      <c r="G2218">
        <v>267.45999999999998</v>
      </c>
      <c r="H2218">
        <v>186.489</v>
      </c>
      <c r="I2218">
        <v>251.07900000000001</v>
      </c>
      <c r="L2218">
        <v>125.295</v>
      </c>
    </row>
    <row r="2219" spans="1:12" x14ac:dyDescent="0.25">
      <c r="A2219" s="12">
        <v>44817</v>
      </c>
      <c r="B2219">
        <v>285.90800000000002</v>
      </c>
      <c r="C2219">
        <v>233.71299999999999</v>
      </c>
      <c r="D2219">
        <f t="shared" si="20"/>
        <v>125.786</v>
      </c>
      <c r="E2219">
        <v>215.541</v>
      </c>
      <c r="F2219">
        <v>149.423</v>
      </c>
      <c r="G2219">
        <v>268.892</v>
      </c>
      <c r="H2219">
        <v>186.78200000000001</v>
      </c>
      <c r="I2219">
        <v>251.821</v>
      </c>
      <c r="L2219">
        <v>125.786</v>
      </c>
    </row>
    <row r="2220" spans="1:12" x14ac:dyDescent="0.25">
      <c r="A2220" s="12">
        <v>44818</v>
      </c>
      <c r="B2220">
        <v>284.839</v>
      </c>
      <c r="C2220">
        <v>233.35499999999999</v>
      </c>
      <c r="D2220">
        <f t="shared" si="20"/>
        <v>125.61</v>
      </c>
      <c r="E2220">
        <v>214.256</v>
      </c>
      <c r="F2220">
        <v>148.95500000000001</v>
      </c>
      <c r="G2220">
        <v>270.12599999999998</v>
      </c>
      <c r="H2220">
        <v>187.09200000000001</v>
      </c>
      <c r="I2220">
        <v>250</v>
      </c>
      <c r="L2220">
        <v>125.61</v>
      </c>
    </row>
    <row r="2221" spans="1:12" x14ac:dyDescent="0.25">
      <c r="A2221" s="12">
        <v>44819</v>
      </c>
      <c r="B2221">
        <v>282.66500000000002</v>
      </c>
      <c r="C2221">
        <v>233.00700000000001</v>
      </c>
      <c r="D2221">
        <f t="shared" si="20"/>
        <v>124.267</v>
      </c>
      <c r="E2221">
        <v>213.26400000000001</v>
      </c>
      <c r="F2221">
        <v>148.77500000000001</v>
      </c>
      <c r="G2221">
        <v>268.68299999999999</v>
      </c>
      <c r="H2221">
        <v>186.625</v>
      </c>
      <c r="I2221">
        <v>249.26</v>
      </c>
      <c r="L2221">
        <v>124.267</v>
      </c>
    </row>
    <row r="2222" spans="1:12" x14ac:dyDescent="0.25">
      <c r="A2222" s="12">
        <v>44820</v>
      </c>
      <c r="B2222">
        <v>282.07600000000002</v>
      </c>
      <c r="C2222">
        <v>232.49100000000001</v>
      </c>
      <c r="D2222">
        <f t="shared" si="20"/>
        <v>124.188</v>
      </c>
      <c r="E2222">
        <v>212.506</v>
      </c>
      <c r="F2222">
        <v>148.357</v>
      </c>
      <c r="G2222">
        <v>266.767</v>
      </c>
      <c r="H2222">
        <v>186.209</v>
      </c>
      <c r="I2222">
        <v>248.61699999999999</v>
      </c>
      <c r="L2222">
        <v>124.188</v>
      </c>
    </row>
    <row r="2223" spans="1:12" x14ac:dyDescent="0.25">
      <c r="A2223" s="12">
        <v>44823</v>
      </c>
      <c r="B2223">
        <v>280.827</v>
      </c>
      <c r="C2223">
        <v>232.126</v>
      </c>
      <c r="D2223">
        <f t="shared" si="20"/>
        <v>123.288</v>
      </c>
      <c r="E2223">
        <v>211.13800000000001</v>
      </c>
      <c r="F2223">
        <v>147.91499999999999</v>
      </c>
      <c r="G2223">
        <v>266.02699999999999</v>
      </c>
      <c r="H2223">
        <v>185.92699999999999</v>
      </c>
      <c r="I2223">
        <v>246.64400000000001</v>
      </c>
      <c r="L2223">
        <v>123.288</v>
      </c>
    </row>
    <row r="2224" spans="1:12" x14ac:dyDescent="0.25">
      <c r="A2224" s="12">
        <v>44824</v>
      </c>
      <c r="B2224">
        <v>279.78399999999999</v>
      </c>
      <c r="C2224">
        <v>231.56</v>
      </c>
      <c r="D2224">
        <f t="shared" si="20"/>
        <v>122.73099999999999</v>
      </c>
      <c r="E2224">
        <v>210.72800000000001</v>
      </c>
      <c r="F2224">
        <v>147.876</v>
      </c>
      <c r="G2224">
        <v>263.84699999999998</v>
      </c>
      <c r="H2224">
        <v>185.43</v>
      </c>
      <c r="I2224">
        <v>246.619</v>
      </c>
      <c r="L2224">
        <v>122.73099999999999</v>
      </c>
    </row>
    <row r="2225" spans="1:12" x14ac:dyDescent="0.25">
      <c r="A2225" s="12">
        <v>44825</v>
      </c>
      <c r="B2225">
        <v>278.91199999999998</v>
      </c>
      <c r="C2225">
        <v>230.71299999999999</v>
      </c>
      <c r="D2225">
        <f t="shared" si="20"/>
        <v>122.523</v>
      </c>
      <c r="E2225">
        <v>210.08799999999999</v>
      </c>
      <c r="F2225">
        <v>147.28</v>
      </c>
      <c r="G2225">
        <v>263.33600000000001</v>
      </c>
      <c r="H2225">
        <v>185.30699999999999</v>
      </c>
      <c r="I2225">
        <v>245.40700000000001</v>
      </c>
      <c r="L2225">
        <v>122.523</v>
      </c>
    </row>
    <row r="2226" spans="1:12" x14ac:dyDescent="0.25">
      <c r="A2226" s="12">
        <v>44826</v>
      </c>
      <c r="B2226">
        <v>278.92500000000001</v>
      </c>
      <c r="C2226">
        <v>230.56100000000001</v>
      </c>
      <c r="D2226">
        <f t="shared" si="20"/>
        <v>122.491</v>
      </c>
      <c r="E2226">
        <v>210.24</v>
      </c>
      <c r="F2226">
        <v>147.37</v>
      </c>
      <c r="G2226">
        <v>263</v>
      </c>
      <c r="H2226">
        <v>184.678</v>
      </c>
      <c r="I2226">
        <v>246.32400000000001</v>
      </c>
      <c r="L2226">
        <v>122.491</v>
      </c>
    </row>
    <row r="2227" spans="1:12" x14ac:dyDescent="0.25">
      <c r="A2227" s="12">
        <v>44827</v>
      </c>
      <c r="B2227">
        <v>277.27199999999999</v>
      </c>
      <c r="C2227">
        <v>230.095</v>
      </c>
      <c r="D2227">
        <f t="shared" si="20"/>
        <v>121.905</v>
      </c>
      <c r="E2227">
        <v>209.13</v>
      </c>
      <c r="F2227">
        <v>146.83699999999999</v>
      </c>
      <c r="G2227">
        <v>263.34300000000002</v>
      </c>
      <c r="H2227">
        <v>184.749</v>
      </c>
      <c r="I2227">
        <v>244.053</v>
      </c>
      <c r="L2227">
        <v>121.905</v>
      </c>
    </row>
    <row r="2228" spans="1:12" x14ac:dyDescent="0.25">
      <c r="A2228" s="12">
        <v>44830</v>
      </c>
      <c r="B2228">
        <v>275.44099999999997</v>
      </c>
      <c r="C2228">
        <v>229.303</v>
      </c>
      <c r="D2228">
        <f t="shared" si="20"/>
        <v>121.36</v>
      </c>
      <c r="E2228">
        <v>207.99700000000001</v>
      </c>
      <c r="F2228">
        <v>146.16499999999999</v>
      </c>
      <c r="G2228">
        <v>261.44</v>
      </c>
      <c r="H2228">
        <v>184.11600000000001</v>
      </c>
      <c r="I2228">
        <v>242.54400000000001</v>
      </c>
      <c r="L2228">
        <v>121.36</v>
      </c>
    </row>
    <row r="2229" spans="1:12" x14ac:dyDescent="0.25">
      <c r="A2229" s="12">
        <v>44831</v>
      </c>
      <c r="B2229">
        <v>274.27100000000002</v>
      </c>
      <c r="C2229">
        <v>228.22300000000001</v>
      </c>
      <c r="D2229">
        <f t="shared" si="20"/>
        <v>120.97799999999999</v>
      </c>
      <c r="E2229">
        <v>206.97499999999999</v>
      </c>
      <c r="F2229">
        <v>145.30199999999999</v>
      </c>
      <c r="G2229">
        <v>259.70299999999997</v>
      </c>
      <c r="H2229">
        <v>183.477</v>
      </c>
      <c r="I2229">
        <v>241.959</v>
      </c>
      <c r="L2229">
        <v>120.97799999999999</v>
      </c>
    </row>
    <row r="2230" spans="1:12" x14ac:dyDescent="0.25">
      <c r="A2230" s="12">
        <v>44832</v>
      </c>
      <c r="B2230">
        <v>272.59800000000001</v>
      </c>
      <c r="C2230">
        <v>226.49700000000001</v>
      </c>
      <c r="D2230">
        <f t="shared" si="20"/>
        <v>120.345</v>
      </c>
      <c r="E2230">
        <v>206.102</v>
      </c>
      <c r="F2230">
        <v>144.53700000000001</v>
      </c>
      <c r="G2230">
        <v>258.601</v>
      </c>
      <c r="H2230">
        <v>182.10300000000001</v>
      </c>
      <c r="I2230">
        <v>241.15100000000001</v>
      </c>
      <c r="L2230">
        <v>120.345</v>
      </c>
    </row>
    <row r="2231" spans="1:12" x14ac:dyDescent="0.25">
      <c r="A2231" s="12">
        <v>44833</v>
      </c>
      <c r="B2231">
        <v>272.89</v>
      </c>
      <c r="C2231">
        <v>225.89599999999999</v>
      </c>
      <c r="D2231">
        <f t="shared" si="20"/>
        <v>120.20699999999999</v>
      </c>
      <c r="E2231">
        <v>205.959</v>
      </c>
      <c r="F2231">
        <v>144.18</v>
      </c>
      <c r="G2231">
        <v>257.89800000000002</v>
      </c>
      <c r="H2231">
        <v>181.41800000000001</v>
      </c>
      <c r="I2231">
        <v>240.626</v>
      </c>
      <c r="L2231">
        <v>120.20699999999999</v>
      </c>
    </row>
    <row r="2232" spans="1:12" x14ac:dyDescent="0.25">
      <c r="A2232" s="12">
        <v>44834</v>
      </c>
      <c r="B2232">
        <v>272.13499999999999</v>
      </c>
      <c r="C2232">
        <v>225.32400000000001</v>
      </c>
      <c r="D2232">
        <f t="shared" si="20"/>
        <v>120.154</v>
      </c>
      <c r="E2232">
        <v>204.36799999999999</v>
      </c>
      <c r="F2232">
        <v>143.251</v>
      </c>
      <c r="G2232">
        <v>257.75</v>
      </c>
      <c r="H2232">
        <v>181.084</v>
      </c>
      <c r="I2232">
        <v>238.13200000000001</v>
      </c>
      <c r="L2232">
        <v>120.154</v>
      </c>
    </row>
  </sheetData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232"/>
  <sheetViews>
    <sheetView topLeftCell="A1459" workbookViewId="0">
      <selection activeCell="I1" sqref="I1"/>
    </sheetView>
  </sheetViews>
  <sheetFormatPr defaultRowHeight="15" x14ac:dyDescent="0.25"/>
  <cols>
    <col min="1" max="1" width="18.28515625" bestFit="1" customWidth="1"/>
    <col min="2" max="2" width="28.42578125" bestFit="1" customWidth="1"/>
    <col min="3" max="3" width="32.42578125" bestFit="1" customWidth="1"/>
    <col min="4" max="4" width="41" bestFit="1" customWidth="1"/>
    <col min="5" max="5" width="13.5703125" bestFit="1" customWidth="1"/>
    <col min="6" max="6" width="25.140625" customWidth="1"/>
    <col min="7" max="7" width="16.5703125" bestFit="1" customWidth="1"/>
    <col min="8" max="8" width="22.85546875" bestFit="1" customWidth="1"/>
    <col min="9" max="9" width="45.285156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2">
        <v>41579</v>
      </c>
      <c r="B2">
        <v>0</v>
      </c>
      <c r="C2">
        <v>0</v>
      </c>
      <c r="E2">
        <v>0</v>
      </c>
      <c r="F2">
        <v>0</v>
      </c>
      <c r="G2">
        <v>0</v>
      </c>
      <c r="H2">
        <v>0</v>
      </c>
      <c r="I2">
        <v>0</v>
      </c>
    </row>
    <row r="3" spans="1:9" x14ac:dyDescent="0.25">
      <c r="A3" s="2">
        <v>41582</v>
      </c>
      <c r="B3">
        <v>-0.1</v>
      </c>
      <c r="C3">
        <v>-0.04</v>
      </c>
      <c r="E3">
        <v>0.24</v>
      </c>
      <c r="F3">
        <v>0.11</v>
      </c>
      <c r="G3">
        <v>0.13</v>
      </c>
      <c r="H3">
        <v>0.04</v>
      </c>
      <c r="I3">
        <v>-0.01</v>
      </c>
    </row>
    <row r="4" spans="1:9" x14ac:dyDescent="0.25">
      <c r="A4" s="2">
        <v>41583</v>
      </c>
      <c r="B4">
        <v>-0.06</v>
      </c>
      <c r="C4">
        <v>0.02</v>
      </c>
      <c r="E4">
        <v>0.28000000000000003</v>
      </c>
      <c r="F4">
        <v>0.11</v>
      </c>
      <c r="G4">
        <v>0.22</v>
      </c>
      <c r="H4">
        <v>0.2</v>
      </c>
      <c r="I4">
        <v>0.12</v>
      </c>
    </row>
    <row r="5" spans="1:9" x14ac:dyDescent="0.25">
      <c r="A5" s="2">
        <v>41584</v>
      </c>
      <c r="B5">
        <v>-0.15</v>
      </c>
      <c r="C5">
        <v>-0.01</v>
      </c>
      <c r="E5">
        <v>0.41</v>
      </c>
      <c r="F5">
        <v>0.12</v>
      </c>
      <c r="G5">
        <v>0.23</v>
      </c>
      <c r="H5">
        <v>0.23</v>
      </c>
      <c r="I5">
        <v>0</v>
      </c>
    </row>
    <row r="6" spans="1:9" x14ac:dyDescent="0.25">
      <c r="A6" s="2">
        <v>41585</v>
      </c>
      <c r="B6">
        <v>-0.24</v>
      </c>
      <c r="C6">
        <v>-0.03</v>
      </c>
      <c r="E6">
        <v>0.23</v>
      </c>
      <c r="F6">
        <v>-0.06</v>
      </c>
      <c r="G6">
        <v>0.16</v>
      </c>
      <c r="H6">
        <v>0.18</v>
      </c>
      <c r="I6">
        <v>0.02</v>
      </c>
    </row>
    <row r="7" spans="1:9" x14ac:dyDescent="0.25">
      <c r="A7" s="2">
        <v>41586</v>
      </c>
      <c r="B7">
        <v>-0.03</v>
      </c>
      <c r="C7">
        <v>0.01</v>
      </c>
      <c r="E7">
        <v>0.28999999999999998</v>
      </c>
      <c r="F7">
        <v>-0.09</v>
      </c>
      <c r="G7">
        <v>0.2</v>
      </c>
      <c r="H7">
        <v>0.13</v>
      </c>
      <c r="I7">
        <v>0.1</v>
      </c>
    </row>
    <row r="8" spans="1:9" x14ac:dyDescent="0.25">
      <c r="A8" s="2">
        <v>41589</v>
      </c>
      <c r="B8">
        <v>-0.12</v>
      </c>
      <c r="C8">
        <v>-0.03</v>
      </c>
      <c r="E8">
        <v>0.43</v>
      </c>
      <c r="F8">
        <v>0.15</v>
      </c>
      <c r="G8">
        <v>0.23</v>
      </c>
      <c r="H8">
        <v>0.09</v>
      </c>
      <c r="I8">
        <v>-0.09</v>
      </c>
    </row>
    <row r="9" spans="1:9" x14ac:dyDescent="0.25">
      <c r="A9" s="2">
        <v>41590</v>
      </c>
      <c r="B9">
        <v>-0.22</v>
      </c>
      <c r="C9">
        <v>0.01</v>
      </c>
      <c r="E9">
        <v>0.28000000000000003</v>
      </c>
      <c r="F9">
        <v>-0.04</v>
      </c>
      <c r="G9">
        <v>0.13</v>
      </c>
      <c r="H9">
        <v>0.22</v>
      </c>
      <c r="I9">
        <v>-0.09</v>
      </c>
    </row>
    <row r="10" spans="1:9" x14ac:dyDescent="0.25">
      <c r="A10" s="2">
        <v>41591</v>
      </c>
      <c r="B10">
        <v>-0.23</v>
      </c>
      <c r="C10">
        <v>-0.09</v>
      </c>
      <c r="E10">
        <v>0.26</v>
      </c>
      <c r="F10">
        <v>-0.15</v>
      </c>
      <c r="G10">
        <v>0.19</v>
      </c>
      <c r="H10">
        <v>0.17</v>
      </c>
      <c r="I10">
        <v>-0.16</v>
      </c>
    </row>
    <row r="11" spans="1:9" x14ac:dyDescent="0.25">
      <c r="A11" s="2">
        <v>41592</v>
      </c>
      <c r="B11">
        <v>-0.33</v>
      </c>
      <c r="C11">
        <v>-0.12</v>
      </c>
      <c r="E11">
        <v>0.08</v>
      </c>
      <c r="F11">
        <v>-0.26</v>
      </c>
      <c r="G11">
        <v>0.03</v>
      </c>
      <c r="H11">
        <v>0.14000000000000001</v>
      </c>
      <c r="I11">
        <v>-0.23</v>
      </c>
    </row>
    <row r="12" spans="1:9" x14ac:dyDescent="0.25">
      <c r="A12" s="2">
        <v>41593</v>
      </c>
      <c r="B12">
        <v>-0.44</v>
      </c>
      <c r="C12">
        <v>-0.14000000000000001</v>
      </c>
      <c r="E12">
        <v>-0.14000000000000001</v>
      </c>
      <c r="F12">
        <v>-0.22</v>
      </c>
      <c r="G12">
        <v>-0.14000000000000001</v>
      </c>
      <c r="H12">
        <v>0.08</v>
      </c>
      <c r="I12">
        <v>0.01</v>
      </c>
    </row>
    <row r="13" spans="1:9" x14ac:dyDescent="0.25">
      <c r="A13" s="2">
        <v>41598</v>
      </c>
      <c r="B13">
        <v>0.06</v>
      </c>
      <c r="C13">
        <v>0.08</v>
      </c>
      <c r="E13">
        <v>0.81</v>
      </c>
      <c r="F13">
        <v>0.06</v>
      </c>
      <c r="G13">
        <v>0.54</v>
      </c>
      <c r="H13">
        <v>0.21</v>
      </c>
      <c r="I13">
        <v>0.33</v>
      </c>
    </row>
    <row r="14" spans="1:9" x14ac:dyDescent="0.25">
      <c r="A14" s="2">
        <v>41599</v>
      </c>
      <c r="B14">
        <v>-7.0000000000000007E-2</v>
      </c>
      <c r="C14">
        <v>0.04</v>
      </c>
      <c r="E14">
        <v>0.53</v>
      </c>
      <c r="F14">
        <v>0.01</v>
      </c>
      <c r="G14">
        <v>0.39</v>
      </c>
      <c r="H14">
        <v>0.2</v>
      </c>
      <c r="I14">
        <v>0.27</v>
      </c>
    </row>
    <row r="15" spans="1:9" x14ac:dyDescent="0.25">
      <c r="A15" s="2">
        <v>41600</v>
      </c>
      <c r="B15">
        <v>-0.18</v>
      </c>
      <c r="C15">
        <v>0.01</v>
      </c>
      <c r="E15">
        <v>0.61</v>
      </c>
      <c r="F15">
        <v>0</v>
      </c>
      <c r="G15">
        <v>0.31</v>
      </c>
      <c r="H15">
        <v>0.18</v>
      </c>
      <c r="I15">
        <v>0.17</v>
      </c>
    </row>
    <row r="16" spans="1:9" x14ac:dyDescent="0.25">
      <c r="A16" s="2">
        <v>41603</v>
      </c>
      <c r="B16">
        <v>-0.28000000000000003</v>
      </c>
      <c r="C16">
        <v>-0.01</v>
      </c>
      <c r="E16">
        <v>0.43</v>
      </c>
      <c r="F16">
        <v>-0.13</v>
      </c>
      <c r="G16">
        <v>0.33</v>
      </c>
      <c r="H16">
        <v>0.22</v>
      </c>
      <c r="I16">
        <v>0.3</v>
      </c>
    </row>
    <row r="17" spans="1:9" x14ac:dyDescent="0.25">
      <c r="A17" s="2">
        <v>41604</v>
      </c>
      <c r="B17">
        <v>-0.21</v>
      </c>
      <c r="C17">
        <v>-0.01</v>
      </c>
      <c r="E17">
        <v>0.42</v>
      </c>
      <c r="F17">
        <v>-0.14000000000000001</v>
      </c>
      <c r="G17">
        <v>0.34</v>
      </c>
      <c r="H17">
        <v>0.21</v>
      </c>
      <c r="I17">
        <v>0.4</v>
      </c>
    </row>
    <row r="18" spans="1:9" x14ac:dyDescent="0.25">
      <c r="A18" s="2">
        <v>41605</v>
      </c>
      <c r="B18">
        <v>-0.15</v>
      </c>
      <c r="C18">
        <v>0.01</v>
      </c>
      <c r="E18">
        <v>0.6</v>
      </c>
      <c r="F18">
        <v>-0.05</v>
      </c>
      <c r="G18">
        <v>0.45</v>
      </c>
      <c r="H18">
        <v>0.15</v>
      </c>
      <c r="I18">
        <v>0.19</v>
      </c>
    </row>
    <row r="19" spans="1:9" x14ac:dyDescent="0.25">
      <c r="A19" s="2">
        <v>41606</v>
      </c>
      <c r="B19">
        <v>-0.15</v>
      </c>
      <c r="C19">
        <v>0.01</v>
      </c>
      <c r="E19">
        <v>0.36</v>
      </c>
      <c r="F19">
        <v>-0.04</v>
      </c>
      <c r="G19">
        <v>0.28000000000000003</v>
      </c>
      <c r="H19">
        <v>0.18</v>
      </c>
      <c r="I19">
        <v>0.23</v>
      </c>
    </row>
    <row r="20" spans="1:9" x14ac:dyDescent="0.25">
      <c r="A20" s="2">
        <v>41607</v>
      </c>
      <c r="B20">
        <v>-0.16</v>
      </c>
      <c r="C20">
        <v>-0.01</v>
      </c>
      <c r="E20">
        <v>0.43</v>
      </c>
      <c r="F20">
        <v>-0.12</v>
      </c>
      <c r="G20">
        <v>0.2</v>
      </c>
      <c r="H20">
        <v>0.13</v>
      </c>
      <c r="I20">
        <v>0.21</v>
      </c>
    </row>
    <row r="21" spans="1:9" x14ac:dyDescent="0.25">
      <c r="A21" s="2">
        <v>41610</v>
      </c>
      <c r="B21">
        <v>-0.15</v>
      </c>
      <c r="C21">
        <v>-0.01</v>
      </c>
      <c r="E21">
        <v>0.42</v>
      </c>
      <c r="F21">
        <v>-0.16</v>
      </c>
      <c r="G21">
        <v>0.23</v>
      </c>
      <c r="H21">
        <v>0.11</v>
      </c>
      <c r="I21">
        <v>0.32</v>
      </c>
    </row>
    <row r="22" spans="1:9" x14ac:dyDescent="0.25">
      <c r="A22" s="2">
        <v>41611</v>
      </c>
      <c r="B22">
        <v>-0.13</v>
      </c>
      <c r="C22">
        <v>-0.03</v>
      </c>
      <c r="E22">
        <v>0.46</v>
      </c>
      <c r="F22">
        <v>-0.17</v>
      </c>
      <c r="G22">
        <v>0.22</v>
      </c>
      <c r="H22">
        <v>0.11</v>
      </c>
      <c r="I22">
        <v>0.15</v>
      </c>
    </row>
    <row r="23" spans="1:9" x14ac:dyDescent="0.25">
      <c r="A23" s="2">
        <v>41612</v>
      </c>
      <c r="B23">
        <v>-0.27</v>
      </c>
      <c r="C23">
        <v>-0.06</v>
      </c>
      <c r="E23">
        <v>0.33</v>
      </c>
      <c r="F23">
        <v>-0.22</v>
      </c>
      <c r="G23">
        <v>0.23</v>
      </c>
      <c r="H23">
        <v>0.15</v>
      </c>
      <c r="I23">
        <v>-0.05</v>
      </c>
    </row>
    <row r="24" spans="1:9" x14ac:dyDescent="0.25">
      <c r="A24" s="2">
        <v>41613</v>
      </c>
      <c r="B24">
        <v>-0.4</v>
      </c>
      <c r="C24">
        <v>-0.09</v>
      </c>
      <c r="E24">
        <v>-0.24</v>
      </c>
      <c r="F24">
        <v>-0.25</v>
      </c>
      <c r="G24">
        <v>-0.06</v>
      </c>
      <c r="H24">
        <v>0.17</v>
      </c>
      <c r="I24">
        <v>-0.23</v>
      </c>
    </row>
    <row r="25" spans="1:9" x14ac:dyDescent="0.25">
      <c r="A25" s="2">
        <v>41614</v>
      </c>
      <c r="B25">
        <v>-0.57999999999999996</v>
      </c>
      <c r="C25">
        <v>-0.17</v>
      </c>
      <c r="E25">
        <v>-0.45</v>
      </c>
      <c r="F25">
        <v>-0.42</v>
      </c>
      <c r="G25">
        <v>-0.28000000000000003</v>
      </c>
      <c r="H25">
        <v>0.12</v>
      </c>
      <c r="I25">
        <v>-0.41</v>
      </c>
    </row>
    <row r="26" spans="1:9" x14ac:dyDescent="0.25">
      <c r="A26" s="2">
        <v>41617</v>
      </c>
      <c r="B26">
        <v>-0.68</v>
      </c>
      <c r="C26">
        <v>-0.23</v>
      </c>
      <c r="E26">
        <v>-0.84</v>
      </c>
      <c r="F26">
        <v>-0.54</v>
      </c>
      <c r="G26">
        <v>-0.43</v>
      </c>
      <c r="H26">
        <v>0.1</v>
      </c>
      <c r="I26">
        <v>-0.33</v>
      </c>
    </row>
    <row r="27" spans="1:9" x14ac:dyDescent="0.25">
      <c r="A27" s="2">
        <v>41618</v>
      </c>
      <c r="B27">
        <v>-0.62</v>
      </c>
      <c r="C27">
        <v>-0.22</v>
      </c>
      <c r="E27">
        <v>-0.5</v>
      </c>
      <c r="F27">
        <v>-0.51</v>
      </c>
      <c r="G27">
        <v>-0.41</v>
      </c>
      <c r="H27">
        <v>0.09</v>
      </c>
      <c r="I27">
        <v>-0.22</v>
      </c>
    </row>
    <row r="28" spans="1:9" x14ac:dyDescent="0.25">
      <c r="A28" s="2">
        <v>41619</v>
      </c>
      <c r="B28">
        <v>-0.52</v>
      </c>
      <c r="C28">
        <v>-0.18</v>
      </c>
      <c r="E28">
        <v>-0.41</v>
      </c>
      <c r="F28">
        <v>-0.46</v>
      </c>
      <c r="G28">
        <v>-0.26</v>
      </c>
      <c r="H28">
        <v>0.09</v>
      </c>
      <c r="I28">
        <v>-0.26</v>
      </c>
    </row>
    <row r="29" spans="1:9" x14ac:dyDescent="0.25">
      <c r="A29" s="2">
        <v>41620</v>
      </c>
      <c r="B29">
        <v>-0.53</v>
      </c>
      <c r="C29">
        <v>-0.15</v>
      </c>
      <c r="E29">
        <v>-0.64</v>
      </c>
      <c r="F29">
        <v>-0.38</v>
      </c>
      <c r="G29">
        <v>-0.32</v>
      </c>
      <c r="H29">
        <v>0.08</v>
      </c>
      <c r="I29">
        <v>-0.39</v>
      </c>
    </row>
    <row r="30" spans="1:9" x14ac:dyDescent="0.25">
      <c r="A30" s="2">
        <v>41621</v>
      </c>
      <c r="B30">
        <v>-0.64</v>
      </c>
      <c r="C30">
        <v>-0.16</v>
      </c>
      <c r="E30">
        <v>-1</v>
      </c>
      <c r="F30">
        <v>-0.38</v>
      </c>
      <c r="G30">
        <v>-0.45</v>
      </c>
      <c r="H30">
        <v>0.09</v>
      </c>
      <c r="I30">
        <v>-0.55000000000000004</v>
      </c>
    </row>
    <row r="31" spans="1:9" x14ac:dyDescent="0.25">
      <c r="A31" s="2">
        <v>41624</v>
      </c>
      <c r="B31">
        <v>-0.8</v>
      </c>
      <c r="C31">
        <v>-0.14000000000000001</v>
      </c>
      <c r="E31">
        <v>-1.31</v>
      </c>
      <c r="F31">
        <v>-0.39</v>
      </c>
      <c r="G31">
        <v>-0.71</v>
      </c>
      <c r="H31">
        <v>0.12</v>
      </c>
      <c r="I31">
        <v>-0.61</v>
      </c>
    </row>
    <row r="32" spans="1:9" x14ac:dyDescent="0.25">
      <c r="A32" s="2">
        <v>41625</v>
      </c>
      <c r="B32">
        <v>-0.83</v>
      </c>
      <c r="C32">
        <v>-0.13</v>
      </c>
      <c r="E32">
        <v>-1.32</v>
      </c>
      <c r="F32">
        <v>-0.36</v>
      </c>
      <c r="G32">
        <v>-0.69</v>
      </c>
      <c r="H32">
        <v>0.14000000000000001</v>
      </c>
      <c r="I32">
        <v>-0.48</v>
      </c>
    </row>
    <row r="33" spans="1:9" x14ac:dyDescent="0.25">
      <c r="A33" s="2">
        <v>41626</v>
      </c>
      <c r="B33">
        <v>-0.64</v>
      </c>
      <c r="C33">
        <v>-0.03</v>
      </c>
      <c r="E33">
        <v>-0.92</v>
      </c>
      <c r="F33">
        <v>-0.35</v>
      </c>
      <c r="G33">
        <v>-0.54</v>
      </c>
      <c r="H33">
        <v>0.18</v>
      </c>
      <c r="I33">
        <v>-0.51</v>
      </c>
    </row>
    <row r="34" spans="1:9" x14ac:dyDescent="0.25">
      <c r="A34" s="2">
        <v>41627</v>
      </c>
      <c r="B34">
        <v>-0.56999999999999995</v>
      </c>
      <c r="C34">
        <v>0.03</v>
      </c>
      <c r="E34">
        <v>-1.18</v>
      </c>
      <c r="F34">
        <v>-0.35</v>
      </c>
      <c r="G34">
        <v>-0.57999999999999996</v>
      </c>
      <c r="H34">
        <v>0.17</v>
      </c>
      <c r="I34">
        <v>-0.56999999999999995</v>
      </c>
    </row>
    <row r="35" spans="1:9" x14ac:dyDescent="0.25">
      <c r="A35" s="2">
        <v>41628</v>
      </c>
      <c r="B35">
        <v>-0.39</v>
      </c>
      <c r="C35">
        <v>0.1</v>
      </c>
      <c r="E35">
        <v>-1.1200000000000001</v>
      </c>
      <c r="F35">
        <v>-0.67</v>
      </c>
      <c r="G35">
        <v>-0.45</v>
      </c>
      <c r="H35">
        <v>0.17</v>
      </c>
      <c r="I35">
        <v>-0.25</v>
      </c>
    </row>
    <row r="36" spans="1:9" x14ac:dyDescent="0.25">
      <c r="A36" s="2">
        <v>41635</v>
      </c>
      <c r="B36">
        <v>-0.25</v>
      </c>
      <c r="C36">
        <v>0.1</v>
      </c>
      <c r="E36">
        <v>-0.42</v>
      </c>
      <c r="F36">
        <v>-0.56999999999999995</v>
      </c>
      <c r="G36">
        <v>-0.09</v>
      </c>
      <c r="H36">
        <v>0.22</v>
      </c>
      <c r="I36">
        <v>0</v>
      </c>
    </row>
    <row r="37" spans="1:9" x14ac:dyDescent="0.25">
      <c r="A37" s="2">
        <v>41636</v>
      </c>
      <c r="B37">
        <v>-7.0000000000000007E-2</v>
      </c>
      <c r="C37">
        <v>0.12</v>
      </c>
      <c r="E37">
        <v>0.08</v>
      </c>
      <c r="F37">
        <v>-0.54</v>
      </c>
      <c r="G37">
        <v>0.21</v>
      </c>
      <c r="H37">
        <v>0.26</v>
      </c>
      <c r="I37">
        <v>0.08</v>
      </c>
    </row>
    <row r="38" spans="1:9" x14ac:dyDescent="0.25">
      <c r="A38" s="2">
        <v>41639</v>
      </c>
      <c r="B38">
        <v>-0.04</v>
      </c>
      <c r="C38">
        <v>0.12</v>
      </c>
      <c r="E38">
        <v>0.28999999999999998</v>
      </c>
      <c r="F38">
        <v>-0.62</v>
      </c>
      <c r="G38">
        <v>0.26</v>
      </c>
      <c r="H38">
        <v>0.27</v>
      </c>
      <c r="I38">
        <v>0.09</v>
      </c>
    </row>
    <row r="39" spans="1:9" x14ac:dyDescent="0.25">
      <c r="A39" s="2">
        <v>41640</v>
      </c>
      <c r="B39">
        <v>-0.04</v>
      </c>
      <c r="C39">
        <v>0.12</v>
      </c>
      <c r="E39">
        <v>0.28999999999999998</v>
      </c>
      <c r="F39">
        <v>-0.62</v>
      </c>
      <c r="G39">
        <v>0.26</v>
      </c>
      <c r="H39">
        <v>0.27</v>
      </c>
      <c r="I39">
        <v>0.09</v>
      </c>
    </row>
    <row r="40" spans="1:9" x14ac:dyDescent="0.25">
      <c r="A40" s="2">
        <v>41641</v>
      </c>
      <c r="B40">
        <v>-0.06</v>
      </c>
      <c r="C40">
        <v>0.1</v>
      </c>
      <c r="E40">
        <v>0.25</v>
      </c>
      <c r="F40">
        <v>-0.67</v>
      </c>
      <c r="G40">
        <v>0.26</v>
      </c>
      <c r="H40">
        <v>0.27</v>
      </c>
      <c r="I40">
        <v>0.09</v>
      </c>
    </row>
    <row r="41" spans="1:9" x14ac:dyDescent="0.25">
      <c r="A41" s="2">
        <v>41642</v>
      </c>
      <c r="B41">
        <v>0.23</v>
      </c>
      <c r="C41">
        <v>0.2</v>
      </c>
      <c r="E41">
        <v>0.28999999999999998</v>
      </c>
      <c r="F41">
        <v>-0.62</v>
      </c>
      <c r="G41">
        <v>0.32</v>
      </c>
      <c r="H41">
        <v>0.24</v>
      </c>
      <c r="I41">
        <v>0.25</v>
      </c>
    </row>
    <row r="42" spans="1:9" x14ac:dyDescent="0.25">
      <c r="A42" s="2">
        <v>41645</v>
      </c>
      <c r="B42">
        <v>0.18</v>
      </c>
      <c r="C42">
        <v>0.24</v>
      </c>
      <c r="E42">
        <v>0.19</v>
      </c>
      <c r="F42">
        <v>-0.55000000000000004</v>
      </c>
      <c r="G42">
        <v>0.37</v>
      </c>
      <c r="H42">
        <v>0.19</v>
      </c>
      <c r="I42">
        <v>0.21</v>
      </c>
    </row>
    <row r="43" spans="1:9" x14ac:dyDescent="0.25">
      <c r="A43" s="2">
        <v>41646</v>
      </c>
      <c r="B43">
        <v>0.17</v>
      </c>
      <c r="C43">
        <v>0.28999999999999998</v>
      </c>
      <c r="E43">
        <v>0.28000000000000003</v>
      </c>
      <c r="F43">
        <v>-0.47</v>
      </c>
      <c r="G43">
        <v>0.37</v>
      </c>
      <c r="H43">
        <v>0.22</v>
      </c>
      <c r="I43">
        <v>0.26</v>
      </c>
    </row>
    <row r="44" spans="1:9" x14ac:dyDescent="0.25">
      <c r="A44" s="2">
        <v>41647</v>
      </c>
      <c r="B44">
        <v>0.21</v>
      </c>
      <c r="C44">
        <v>0.37</v>
      </c>
      <c r="E44">
        <v>7.0000000000000007E-2</v>
      </c>
      <c r="F44">
        <v>-0.44</v>
      </c>
      <c r="G44">
        <v>0.26</v>
      </c>
      <c r="H44">
        <v>0.22</v>
      </c>
      <c r="I44">
        <v>0.31</v>
      </c>
    </row>
    <row r="45" spans="1:9" x14ac:dyDescent="0.25">
      <c r="A45" s="2">
        <v>41648</v>
      </c>
      <c r="B45">
        <v>0.28000000000000003</v>
      </c>
      <c r="C45">
        <v>0.41</v>
      </c>
      <c r="E45">
        <v>0.45</v>
      </c>
      <c r="F45">
        <v>-0.3</v>
      </c>
      <c r="G45">
        <v>0.28999999999999998</v>
      </c>
      <c r="H45">
        <v>0.24</v>
      </c>
      <c r="I45">
        <v>0.32</v>
      </c>
    </row>
    <row r="46" spans="1:9" x14ac:dyDescent="0.25">
      <c r="A46" s="2">
        <v>41649</v>
      </c>
      <c r="B46">
        <v>0.28000000000000003</v>
      </c>
      <c r="C46">
        <v>0.4</v>
      </c>
      <c r="E46">
        <v>0.47</v>
      </c>
      <c r="F46">
        <v>-0.35</v>
      </c>
      <c r="G46">
        <v>0.3</v>
      </c>
      <c r="H46">
        <v>0.17</v>
      </c>
      <c r="I46">
        <v>0.28000000000000003</v>
      </c>
    </row>
    <row r="47" spans="1:9" x14ac:dyDescent="0.25">
      <c r="A47" s="2">
        <v>41652</v>
      </c>
      <c r="B47">
        <v>0.32</v>
      </c>
      <c r="C47">
        <v>0.44</v>
      </c>
      <c r="E47">
        <v>0.34</v>
      </c>
      <c r="F47">
        <v>-0.17</v>
      </c>
      <c r="G47">
        <v>0.21</v>
      </c>
      <c r="H47">
        <v>0.17</v>
      </c>
      <c r="I47">
        <v>0.31</v>
      </c>
    </row>
    <row r="48" spans="1:9" x14ac:dyDescent="0.25">
      <c r="A48" s="2">
        <v>41653</v>
      </c>
      <c r="B48">
        <v>0.43</v>
      </c>
      <c r="C48">
        <v>0.5</v>
      </c>
      <c r="E48">
        <v>0.48</v>
      </c>
      <c r="F48">
        <v>0</v>
      </c>
      <c r="G48">
        <v>0.21</v>
      </c>
      <c r="H48">
        <v>0.17</v>
      </c>
      <c r="I48">
        <v>0.4</v>
      </c>
    </row>
    <row r="49" spans="1:9" x14ac:dyDescent="0.25">
      <c r="A49" s="2">
        <v>41654</v>
      </c>
      <c r="B49">
        <v>0.5</v>
      </c>
      <c r="C49">
        <v>0.56999999999999995</v>
      </c>
      <c r="E49">
        <v>0.65</v>
      </c>
      <c r="F49">
        <v>0.11</v>
      </c>
      <c r="G49">
        <v>0.31</v>
      </c>
      <c r="H49">
        <v>0.18</v>
      </c>
      <c r="I49">
        <v>0.28000000000000003</v>
      </c>
    </row>
    <row r="50" spans="1:9" x14ac:dyDescent="0.25">
      <c r="A50" s="2">
        <v>41655</v>
      </c>
      <c r="B50">
        <v>0.55000000000000004</v>
      </c>
      <c r="C50">
        <v>0.65</v>
      </c>
      <c r="E50">
        <v>0.49</v>
      </c>
      <c r="F50">
        <v>0.09</v>
      </c>
      <c r="G50">
        <v>0.26</v>
      </c>
      <c r="H50">
        <v>0.26</v>
      </c>
      <c r="I50">
        <v>0.52</v>
      </c>
    </row>
    <row r="51" spans="1:9" x14ac:dyDescent="0.25">
      <c r="A51" s="2">
        <v>41656</v>
      </c>
      <c r="B51">
        <v>0.65</v>
      </c>
      <c r="C51">
        <v>0.67</v>
      </c>
      <c r="E51">
        <v>0.96</v>
      </c>
      <c r="F51">
        <v>0.05</v>
      </c>
      <c r="G51">
        <v>0.57999999999999996</v>
      </c>
      <c r="H51">
        <v>0.3</v>
      </c>
      <c r="I51">
        <v>0.59</v>
      </c>
    </row>
    <row r="52" spans="1:9" x14ac:dyDescent="0.25">
      <c r="A52" s="2">
        <v>41659</v>
      </c>
      <c r="B52">
        <v>0.73</v>
      </c>
      <c r="C52">
        <v>0.73</v>
      </c>
      <c r="E52">
        <v>0.9</v>
      </c>
      <c r="F52">
        <v>0.16</v>
      </c>
      <c r="G52">
        <v>0.64</v>
      </c>
      <c r="H52">
        <v>0.33</v>
      </c>
      <c r="I52">
        <v>0.66</v>
      </c>
    </row>
    <row r="53" spans="1:9" x14ac:dyDescent="0.25">
      <c r="A53" s="2">
        <v>41660</v>
      </c>
      <c r="B53">
        <v>0.82</v>
      </c>
      <c r="C53">
        <v>0.78</v>
      </c>
      <c r="E53">
        <v>1.08</v>
      </c>
      <c r="F53">
        <v>0.27</v>
      </c>
      <c r="G53">
        <v>0.71</v>
      </c>
      <c r="H53">
        <v>0.36</v>
      </c>
      <c r="I53">
        <v>0.67</v>
      </c>
    </row>
    <row r="54" spans="1:9" x14ac:dyDescent="0.25">
      <c r="A54" s="2">
        <v>41661</v>
      </c>
      <c r="B54">
        <v>0.86</v>
      </c>
      <c r="C54">
        <v>0.82</v>
      </c>
      <c r="E54">
        <v>1.05</v>
      </c>
      <c r="F54">
        <v>0.28999999999999998</v>
      </c>
      <c r="G54">
        <v>0.69</v>
      </c>
      <c r="H54">
        <v>0.39</v>
      </c>
      <c r="I54">
        <v>0.69</v>
      </c>
    </row>
    <row r="55" spans="1:9" x14ac:dyDescent="0.25">
      <c r="A55" s="2">
        <v>41662</v>
      </c>
      <c r="B55">
        <v>0.86</v>
      </c>
      <c r="C55">
        <v>0.8</v>
      </c>
      <c r="E55">
        <v>1</v>
      </c>
      <c r="F55">
        <v>0.28000000000000003</v>
      </c>
      <c r="G55">
        <v>0.7</v>
      </c>
      <c r="H55">
        <v>0.36</v>
      </c>
      <c r="I55">
        <v>0.71</v>
      </c>
    </row>
    <row r="56" spans="1:9" x14ac:dyDescent="0.25">
      <c r="A56" s="2">
        <v>41663</v>
      </c>
      <c r="B56">
        <v>0.65</v>
      </c>
      <c r="C56">
        <v>0.54</v>
      </c>
      <c r="E56">
        <v>1.06</v>
      </c>
      <c r="F56">
        <v>0.26</v>
      </c>
      <c r="G56">
        <v>0.68</v>
      </c>
      <c r="H56">
        <v>0.3</v>
      </c>
      <c r="I56">
        <v>0.52</v>
      </c>
    </row>
    <row r="57" spans="1:9" x14ac:dyDescent="0.25">
      <c r="A57" s="2">
        <v>41666</v>
      </c>
      <c r="B57">
        <v>0.48</v>
      </c>
      <c r="C57">
        <v>0.46</v>
      </c>
      <c r="E57">
        <v>0.41</v>
      </c>
      <c r="F57">
        <v>0.16</v>
      </c>
      <c r="G57">
        <v>0.35</v>
      </c>
      <c r="H57">
        <v>0.3</v>
      </c>
      <c r="I57">
        <v>0.09</v>
      </c>
    </row>
    <row r="58" spans="1:9" x14ac:dyDescent="0.25">
      <c r="A58" s="2">
        <v>41667</v>
      </c>
      <c r="B58">
        <v>0.17</v>
      </c>
      <c r="C58">
        <v>0.4</v>
      </c>
      <c r="E58">
        <v>-0.47</v>
      </c>
      <c r="F58">
        <v>0.13</v>
      </c>
      <c r="G58">
        <v>-0.22</v>
      </c>
      <c r="H58">
        <v>0.31</v>
      </c>
      <c r="I58">
        <v>-0.28999999999999998</v>
      </c>
    </row>
    <row r="59" spans="1:9" x14ac:dyDescent="0.25">
      <c r="A59" s="2">
        <v>41668</v>
      </c>
      <c r="B59">
        <v>-0.08</v>
      </c>
      <c r="C59">
        <v>0.34</v>
      </c>
      <c r="E59">
        <v>-0.95</v>
      </c>
      <c r="F59">
        <v>-0.02</v>
      </c>
      <c r="G59">
        <v>-0.71</v>
      </c>
      <c r="H59">
        <v>0.24</v>
      </c>
      <c r="I59">
        <v>-0.32</v>
      </c>
    </row>
    <row r="60" spans="1:9" x14ac:dyDescent="0.25">
      <c r="A60" s="2">
        <v>41669</v>
      </c>
      <c r="B60">
        <v>-7.0000000000000007E-2</v>
      </c>
      <c r="C60">
        <v>0.32</v>
      </c>
      <c r="E60">
        <v>-0.75</v>
      </c>
      <c r="F60">
        <v>0.01</v>
      </c>
      <c r="G60">
        <v>-0.66</v>
      </c>
      <c r="H60">
        <v>0.31</v>
      </c>
      <c r="I60">
        <v>-0.4</v>
      </c>
    </row>
    <row r="61" spans="1:9" x14ac:dyDescent="0.25">
      <c r="A61" s="2">
        <v>41670</v>
      </c>
      <c r="B61">
        <v>-0.23</v>
      </c>
      <c r="C61">
        <v>0.22</v>
      </c>
      <c r="E61">
        <v>-0.93</v>
      </c>
      <c r="F61">
        <v>0.02</v>
      </c>
      <c r="G61">
        <v>-0.64</v>
      </c>
      <c r="H61">
        <v>0.32</v>
      </c>
      <c r="I61">
        <v>-0.34</v>
      </c>
    </row>
    <row r="62" spans="1:9" x14ac:dyDescent="0.25">
      <c r="A62" s="2">
        <v>41673</v>
      </c>
      <c r="B62">
        <v>-0.34</v>
      </c>
      <c r="C62">
        <v>0.18</v>
      </c>
      <c r="E62">
        <v>-0.63</v>
      </c>
      <c r="F62">
        <v>0.08</v>
      </c>
      <c r="G62">
        <v>-0.66</v>
      </c>
      <c r="H62">
        <v>0.32</v>
      </c>
      <c r="I62">
        <v>-0.49</v>
      </c>
    </row>
    <row r="63" spans="1:9" x14ac:dyDescent="0.25">
      <c r="A63" s="2">
        <v>41674</v>
      </c>
      <c r="B63">
        <v>-0.38</v>
      </c>
      <c r="C63">
        <v>0.16</v>
      </c>
      <c r="E63">
        <v>-0.73</v>
      </c>
      <c r="F63">
        <v>0.18</v>
      </c>
      <c r="G63">
        <v>-0.73</v>
      </c>
      <c r="H63">
        <v>0.21</v>
      </c>
      <c r="I63">
        <v>-0.5</v>
      </c>
    </row>
    <row r="64" spans="1:9" x14ac:dyDescent="0.25">
      <c r="A64" s="2">
        <v>41675</v>
      </c>
      <c r="B64">
        <v>-0.42</v>
      </c>
      <c r="C64">
        <v>0.13</v>
      </c>
      <c r="E64">
        <v>-1.3</v>
      </c>
      <c r="F64">
        <v>0.2</v>
      </c>
      <c r="G64">
        <v>-0.85</v>
      </c>
      <c r="H64">
        <v>0.27</v>
      </c>
      <c r="I64">
        <v>-0.63</v>
      </c>
    </row>
    <row r="65" spans="1:9" x14ac:dyDescent="0.25">
      <c r="A65" s="2">
        <v>41676</v>
      </c>
      <c r="B65">
        <v>-0.52</v>
      </c>
      <c r="C65">
        <v>0.24</v>
      </c>
      <c r="E65">
        <v>-1.26</v>
      </c>
      <c r="F65">
        <v>0.24</v>
      </c>
      <c r="G65">
        <v>-1.02</v>
      </c>
      <c r="H65">
        <v>0.31</v>
      </c>
      <c r="I65">
        <v>-0.64</v>
      </c>
    </row>
    <row r="66" spans="1:9" x14ac:dyDescent="0.25">
      <c r="A66" s="2">
        <v>41677</v>
      </c>
      <c r="B66">
        <v>-0.42</v>
      </c>
      <c r="C66">
        <v>0.33</v>
      </c>
      <c r="E66">
        <v>-1.38</v>
      </c>
      <c r="F66">
        <v>0.26</v>
      </c>
      <c r="G66">
        <v>-0.8</v>
      </c>
      <c r="H66">
        <v>0.35</v>
      </c>
      <c r="I66">
        <v>-0.44</v>
      </c>
    </row>
    <row r="67" spans="1:9" x14ac:dyDescent="0.25">
      <c r="A67" s="2">
        <v>41680</v>
      </c>
      <c r="B67">
        <v>-0.27</v>
      </c>
      <c r="C67">
        <v>0.35</v>
      </c>
      <c r="E67">
        <v>-0.9</v>
      </c>
      <c r="F67">
        <v>0.2</v>
      </c>
      <c r="G67">
        <v>-0.61</v>
      </c>
      <c r="H67">
        <v>0.27</v>
      </c>
      <c r="I67">
        <v>-0.31</v>
      </c>
    </row>
    <row r="68" spans="1:9" x14ac:dyDescent="0.25">
      <c r="A68" s="2">
        <v>41681</v>
      </c>
      <c r="B68">
        <v>-7.0000000000000007E-2</v>
      </c>
      <c r="C68">
        <v>0.42</v>
      </c>
      <c r="E68">
        <v>-0.56999999999999995</v>
      </c>
      <c r="F68">
        <v>0.34</v>
      </c>
      <c r="G68">
        <v>-0.32</v>
      </c>
      <c r="H68">
        <v>0.33</v>
      </c>
      <c r="I68">
        <v>-0.21</v>
      </c>
    </row>
    <row r="69" spans="1:9" x14ac:dyDescent="0.25">
      <c r="A69" s="2">
        <v>41682</v>
      </c>
      <c r="B69">
        <v>-0.01</v>
      </c>
      <c r="C69">
        <v>0.43</v>
      </c>
      <c r="E69">
        <v>-0.57999999999999996</v>
      </c>
      <c r="F69">
        <v>0.3</v>
      </c>
      <c r="G69">
        <v>-0.24</v>
      </c>
      <c r="H69">
        <v>0.33</v>
      </c>
      <c r="I69">
        <v>0.04</v>
      </c>
    </row>
    <row r="70" spans="1:9" x14ac:dyDescent="0.25">
      <c r="A70" s="2">
        <v>41683</v>
      </c>
      <c r="B70">
        <v>0.21</v>
      </c>
      <c r="C70">
        <v>0.54</v>
      </c>
      <c r="E70">
        <v>-0.08</v>
      </c>
      <c r="F70">
        <v>0.33</v>
      </c>
      <c r="G70">
        <v>0.12</v>
      </c>
      <c r="H70">
        <v>0.54</v>
      </c>
      <c r="I70">
        <v>0.44</v>
      </c>
    </row>
    <row r="71" spans="1:9" x14ac:dyDescent="0.25">
      <c r="A71" s="2">
        <v>41684</v>
      </c>
      <c r="B71">
        <v>0.31</v>
      </c>
      <c r="C71">
        <v>0.56000000000000005</v>
      </c>
      <c r="E71">
        <v>0.25</v>
      </c>
      <c r="F71">
        <v>0.33</v>
      </c>
      <c r="G71">
        <v>0.49</v>
      </c>
      <c r="H71">
        <v>0.49</v>
      </c>
      <c r="I71">
        <v>0.27</v>
      </c>
    </row>
    <row r="72" spans="1:9" x14ac:dyDescent="0.25">
      <c r="A72" s="2">
        <v>41687</v>
      </c>
      <c r="B72">
        <v>0.32</v>
      </c>
      <c r="C72">
        <v>0.57999999999999996</v>
      </c>
      <c r="E72">
        <v>0.09</v>
      </c>
      <c r="F72">
        <v>0.36</v>
      </c>
      <c r="G72">
        <v>0.3</v>
      </c>
      <c r="H72">
        <v>0.41</v>
      </c>
      <c r="I72">
        <v>0.36</v>
      </c>
    </row>
    <row r="73" spans="1:9" x14ac:dyDescent="0.25">
      <c r="A73" s="2">
        <v>41688</v>
      </c>
      <c r="B73">
        <v>0.54</v>
      </c>
      <c r="C73">
        <v>0.65</v>
      </c>
      <c r="E73">
        <v>0.33</v>
      </c>
      <c r="F73">
        <v>0.34</v>
      </c>
      <c r="G73">
        <v>0.48</v>
      </c>
      <c r="H73">
        <v>0.44</v>
      </c>
      <c r="I73">
        <v>0.42</v>
      </c>
    </row>
    <row r="74" spans="1:9" x14ac:dyDescent="0.25">
      <c r="A74" s="2">
        <v>41689</v>
      </c>
      <c r="B74">
        <v>0.61</v>
      </c>
      <c r="C74">
        <v>0.67</v>
      </c>
      <c r="E74">
        <v>0.43</v>
      </c>
      <c r="F74">
        <v>0.36</v>
      </c>
      <c r="G74">
        <v>0.57999999999999996</v>
      </c>
      <c r="H74">
        <v>0.4</v>
      </c>
      <c r="I74">
        <v>0.41</v>
      </c>
    </row>
    <row r="75" spans="1:9" x14ac:dyDescent="0.25">
      <c r="A75" s="2">
        <v>41690</v>
      </c>
      <c r="B75">
        <v>0.61</v>
      </c>
      <c r="C75">
        <v>0.69</v>
      </c>
      <c r="E75">
        <v>0.38</v>
      </c>
      <c r="F75">
        <v>0.39</v>
      </c>
      <c r="G75">
        <v>0.59</v>
      </c>
      <c r="H75">
        <v>0.44</v>
      </c>
      <c r="I75">
        <v>0.44</v>
      </c>
    </row>
    <row r="76" spans="1:9" x14ac:dyDescent="0.25">
      <c r="A76" s="2">
        <v>41691</v>
      </c>
      <c r="B76">
        <v>0.54</v>
      </c>
      <c r="C76">
        <v>0.64</v>
      </c>
      <c r="E76">
        <v>0.34</v>
      </c>
      <c r="F76">
        <v>0.39</v>
      </c>
      <c r="G76">
        <v>0.57999999999999996</v>
      </c>
      <c r="H76">
        <v>0.46</v>
      </c>
      <c r="I76">
        <v>0.37</v>
      </c>
    </row>
    <row r="77" spans="1:9" x14ac:dyDescent="0.25">
      <c r="A77" s="2">
        <v>41694</v>
      </c>
      <c r="B77">
        <v>0.48</v>
      </c>
      <c r="C77">
        <v>0.64</v>
      </c>
      <c r="E77">
        <v>0.25</v>
      </c>
      <c r="F77">
        <v>0.28000000000000003</v>
      </c>
      <c r="G77">
        <v>0.51</v>
      </c>
      <c r="H77">
        <v>0.47</v>
      </c>
      <c r="I77">
        <v>0.45</v>
      </c>
    </row>
    <row r="78" spans="1:9" x14ac:dyDescent="0.25">
      <c r="A78" s="2">
        <v>41695</v>
      </c>
      <c r="B78">
        <v>0.64</v>
      </c>
      <c r="C78">
        <v>0.72</v>
      </c>
      <c r="E78">
        <v>0.48</v>
      </c>
      <c r="F78">
        <v>0.38</v>
      </c>
      <c r="G78">
        <v>0.64</v>
      </c>
      <c r="H78">
        <v>0.45</v>
      </c>
      <c r="I78">
        <v>0.61</v>
      </c>
    </row>
    <row r="79" spans="1:9" x14ac:dyDescent="0.25">
      <c r="A79" s="2">
        <v>41697</v>
      </c>
      <c r="B79">
        <v>0.82</v>
      </c>
      <c r="C79">
        <v>0.88</v>
      </c>
      <c r="E79">
        <v>0.67</v>
      </c>
      <c r="F79">
        <v>0.53</v>
      </c>
      <c r="G79">
        <v>0.8</v>
      </c>
      <c r="H79">
        <v>0.48</v>
      </c>
      <c r="I79">
        <v>0.62</v>
      </c>
    </row>
    <row r="80" spans="1:9" x14ac:dyDescent="0.25">
      <c r="A80" s="2">
        <v>41698</v>
      </c>
      <c r="B80">
        <v>0.84</v>
      </c>
      <c r="C80">
        <v>0.93</v>
      </c>
      <c r="E80">
        <v>0.71</v>
      </c>
      <c r="F80">
        <v>0.53</v>
      </c>
      <c r="G80">
        <v>0.81</v>
      </c>
      <c r="H80">
        <v>0.52</v>
      </c>
      <c r="I80">
        <v>0.69</v>
      </c>
    </row>
    <row r="81" spans="1:9" x14ac:dyDescent="0.25">
      <c r="A81" s="2">
        <v>41701</v>
      </c>
      <c r="B81">
        <v>0.83</v>
      </c>
      <c r="C81">
        <v>0.93</v>
      </c>
      <c r="E81">
        <v>0.64</v>
      </c>
      <c r="F81">
        <v>0.61</v>
      </c>
      <c r="G81">
        <v>0.71</v>
      </c>
      <c r="H81">
        <v>0.43</v>
      </c>
      <c r="I81">
        <v>0.61</v>
      </c>
    </row>
    <row r="82" spans="1:9" x14ac:dyDescent="0.25">
      <c r="A82" s="2">
        <v>41702</v>
      </c>
      <c r="B82">
        <v>0.74</v>
      </c>
      <c r="C82">
        <v>0.85</v>
      </c>
      <c r="E82">
        <v>0.66</v>
      </c>
      <c r="F82">
        <v>0.5</v>
      </c>
      <c r="G82">
        <v>0.76</v>
      </c>
      <c r="H82">
        <v>0.45</v>
      </c>
      <c r="I82">
        <v>0.23</v>
      </c>
    </row>
    <row r="83" spans="1:9" x14ac:dyDescent="0.25">
      <c r="A83" s="2">
        <v>41703</v>
      </c>
      <c r="B83">
        <v>0.54</v>
      </c>
      <c r="C83">
        <v>0.78</v>
      </c>
      <c r="E83">
        <v>-0.2</v>
      </c>
      <c r="F83">
        <v>0.51</v>
      </c>
      <c r="G83">
        <v>0.08</v>
      </c>
      <c r="H83">
        <v>0.41</v>
      </c>
      <c r="I83">
        <v>0.34</v>
      </c>
    </row>
    <row r="84" spans="1:9" x14ac:dyDescent="0.25">
      <c r="A84" s="2">
        <v>41704</v>
      </c>
      <c r="B84">
        <v>0.77</v>
      </c>
      <c r="C84">
        <v>0.82</v>
      </c>
      <c r="E84">
        <v>0.62</v>
      </c>
      <c r="F84">
        <v>0.54</v>
      </c>
      <c r="G84">
        <v>0.53</v>
      </c>
      <c r="H84">
        <v>0.45</v>
      </c>
      <c r="I84">
        <v>0.56000000000000005</v>
      </c>
    </row>
    <row r="85" spans="1:9" x14ac:dyDescent="0.25">
      <c r="A85" s="2">
        <v>41705</v>
      </c>
      <c r="B85">
        <v>0.81</v>
      </c>
      <c r="C85">
        <v>0.86</v>
      </c>
      <c r="E85">
        <v>0.63</v>
      </c>
      <c r="F85">
        <v>0.59</v>
      </c>
      <c r="G85">
        <v>0.72</v>
      </c>
      <c r="H85">
        <v>0.44</v>
      </c>
      <c r="I85">
        <v>0.61</v>
      </c>
    </row>
    <row r="86" spans="1:9" x14ac:dyDescent="0.25">
      <c r="A86" s="2">
        <v>41708</v>
      </c>
      <c r="B86">
        <v>0.79</v>
      </c>
      <c r="C86">
        <v>0.79</v>
      </c>
      <c r="E86">
        <v>0.7</v>
      </c>
      <c r="F86">
        <v>0.49</v>
      </c>
      <c r="G86">
        <v>0.66</v>
      </c>
      <c r="H86">
        <v>0.38</v>
      </c>
      <c r="I86">
        <v>0.36</v>
      </c>
    </row>
    <row r="87" spans="1:9" x14ac:dyDescent="0.25">
      <c r="A87" s="2">
        <v>41709</v>
      </c>
      <c r="B87">
        <v>0.62</v>
      </c>
      <c r="C87">
        <v>0.72</v>
      </c>
      <c r="E87">
        <v>0.23</v>
      </c>
      <c r="F87">
        <v>0.42</v>
      </c>
      <c r="G87">
        <v>0.36</v>
      </c>
      <c r="H87">
        <v>0.38</v>
      </c>
      <c r="I87">
        <v>0.14000000000000001</v>
      </c>
    </row>
    <row r="88" spans="1:9" x14ac:dyDescent="0.25">
      <c r="A88" s="2">
        <v>41710</v>
      </c>
      <c r="B88">
        <v>0.46</v>
      </c>
      <c r="C88">
        <v>0.69</v>
      </c>
      <c r="E88">
        <v>-0.02</v>
      </c>
      <c r="F88">
        <v>0.45</v>
      </c>
      <c r="G88">
        <v>0.17</v>
      </c>
      <c r="H88">
        <v>0.38</v>
      </c>
      <c r="I88">
        <v>0.15</v>
      </c>
    </row>
    <row r="89" spans="1:9" x14ac:dyDescent="0.25">
      <c r="A89" s="2">
        <v>41711</v>
      </c>
      <c r="B89">
        <v>0.33</v>
      </c>
      <c r="C89">
        <v>0.53</v>
      </c>
      <c r="E89">
        <v>0.01</v>
      </c>
      <c r="F89">
        <v>0.42</v>
      </c>
      <c r="G89">
        <v>0.06</v>
      </c>
      <c r="H89">
        <v>0.36</v>
      </c>
      <c r="I89">
        <v>-0.05</v>
      </c>
    </row>
    <row r="90" spans="1:9" x14ac:dyDescent="0.25">
      <c r="A90" s="2">
        <v>41712</v>
      </c>
      <c r="B90">
        <v>0.09</v>
      </c>
      <c r="C90">
        <v>0.46</v>
      </c>
      <c r="E90">
        <v>-0.37</v>
      </c>
      <c r="F90">
        <v>0.43</v>
      </c>
      <c r="G90">
        <v>-0.32</v>
      </c>
      <c r="H90">
        <v>0.33</v>
      </c>
      <c r="I90">
        <v>-0.25</v>
      </c>
    </row>
    <row r="91" spans="1:9" x14ac:dyDescent="0.25">
      <c r="A91" s="2">
        <v>41715</v>
      </c>
      <c r="B91">
        <v>-0.01</v>
      </c>
      <c r="C91">
        <v>0.38</v>
      </c>
      <c r="E91">
        <v>-0.72</v>
      </c>
      <c r="F91">
        <v>0.54</v>
      </c>
      <c r="G91">
        <v>-0.49</v>
      </c>
      <c r="H91">
        <v>0.33</v>
      </c>
      <c r="I91">
        <v>-0.46</v>
      </c>
    </row>
    <row r="92" spans="1:9" x14ac:dyDescent="0.25">
      <c r="A92" s="2">
        <v>41716</v>
      </c>
      <c r="B92">
        <v>-0.16</v>
      </c>
      <c r="C92">
        <v>0.36</v>
      </c>
      <c r="E92">
        <v>-0.95</v>
      </c>
      <c r="F92">
        <v>0.5</v>
      </c>
      <c r="G92">
        <v>-0.83</v>
      </c>
      <c r="H92">
        <v>0.31</v>
      </c>
      <c r="I92">
        <v>-0.42</v>
      </c>
    </row>
    <row r="93" spans="1:9" x14ac:dyDescent="0.25">
      <c r="A93" s="2">
        <v>41717</v>
      </c>
      <c r="B93">
        <v>0.1</v>
      </c>
      <c r="C93">
        <v>0.46</v>
      </c>
      <c r="E93">
        <v>-0.57999999999999996</v>
      </c>
      <c r="F93">
        <v>0.5</v>
      </c>
      <c r="G93">
        <v>-0.57999999999999996</v>
      </c>
      <c r="H93">
        <v>0.32</v>
      </c>
      <c r="I93">
        <v>-0.15</v>
      </c>
    </row>
    <row r="94" spans="1:9" x14ac:dyDescent="0.25">
      <c r="A94" s="2">
        <v>41718</v>
      </c>
      <c r="B94">
        <v>0.31</v>
      </c>
      <c r="C94">
        <v>0.56000000000000005</v>
      </c>
      <c r="E94">
        <v>-0.23</v>
      </c>
      <c r="F94">
        <v>0.55000000000000004</v>
      </c>
      <c r="G94">
        <v>-0.2</v>
      </c>
      <c r="H94">
        <v>0.34</v>
      </c>
      <c r="I94">
        <v>-0.12</v>
      </c>
    </row>
    <row r="95" spans="1:9" x14ac:dyDescent="0.25">
      <c r="A95" s="2">
        <v>41719</v>
      </c>
      <c r="B95">
        <v>0.34</v>
      </c>
      <c r="C95">
        <v>0.6</v>
      </c>
      <c r="E95">
        <v>-0.28000000000000003</v>
      </c>
      <c r="F95">
        <v>0.54</v>
      </c>
      <c r="G95">
        <v>-0.12</v>
      </c>
      <c r="H95">
        <v>0.42</v>
      </c>
      <c r="I95">
        <v>-0.16</v>
      </c>
    </row>
    <row r="96" spans="1:9" x14ac:dyDescent="0.25">
      <c r="A96" s="2">
        <v>41722</v>
      </c>
      <c r="B96">
        <v>0.14000000000000001</v>
      </c>
      <c r="C96">
        <v>0.53</v>
      </c>
      <c r="E96">
        <v>-0.15</v>
      </c>
      <c r="F96">
        <v>0.51</v>
      </c>
      <c r="G96">
        <v>-0.18</v>
      </c>
      <c r="H96">
        <v>0.38</v>
      </c>
      <c r="I96">
        <v>-0.11</v>
      </c>
    </row>
    <row r="97" spans="1:9" x14ac:dyDescent="0.25">
      <c r="A97" s="2">
        <v>41723</v>
      </c>
      <c r="B97">
        <v>0.22</v>
      </c>
      <c r="C97">
        <v>0.46</v>
      </c>
      <c r="E97">
        <v>0.11</v>
      </c>
      <c r="F97">
        <v>0.6</v>
      </c>
      <c r="G97">
        <v>-0.23</v>
      </c>
      <c r="H97">
        <v>0.4</v>
      </c>
      <c r="I97">
        <v>-0.28000000000000003</v>
      </c>
    </row>
    <row r="98" spans="1:9" x14ac:dyDescent="0.25">
      <c r="A98" s="2">
        <v>41724</v>
      </c>
      <c r="B98">
        <v>0.17</v>
      </c>
      <c r="C98">
        <v>0.49</v>
      </c>
      <c r="E98">
        <v>-0.26</v>
      </c>
      <c r="F98">
        <v>0.7</v>
      </c>
      <c r="G98">
        <v>-0.37</v>
      </c>
      <c r="H98">
        <v>0.34</v>
      </c>
      <c r="I98">
        <v>-0.08</v>
      </c>
    </row>
    <row r="99" spans="1:9" x14ac:dyDescent="0.25">
      <c r="A99" s="2">
        <v>41725</v>
      </c>
      <c r="B99">
        <v>0.37</v>
      </c>
      <c r="C99">
        <v>0.6</v>
      </c>
      <c r="E99">
        <v>0.16</v>
      </c>
      <c r="F99">
        <v>0.76</v>
      </c>
      <c r="G99">
        <v>-0.1</v>
      </c>
      <c r="H99">
        <v>0.4</v>
      </c>
      <c r="I99">
        <v>0.25</v>
      </c>
    </row>
    <row r="100" spans="1:9" x14ac:dyDescent="0.25">
      <c r="A100" s="2">
        <v>41726</v>
      </c>
      <c r="B100">
        <v>0.59</v>
      </c>
      <c r="C100">
        <v>0.75</v>
      </c>
      <c r="E100">
        <v>0.47</v>
      </c>
      <c r="F100">
        <v>0.84</v>
      </c>
      <c r="G100">
        <v>0.23</v>
      </c>
      <c r="H100">
        <v>0.42</v>
      </c>
      <c r="I100">
        <v>0.32</v>
      </c>
    </row>
    <row r="101" spans="1:9" x14ac:dyDescent="0.25">
      <c r="A101" s="2">
        <v>41729</v>
      </c>
      <c r="B101">
        <v>0.63</v>
      </c>
      <c r="C101">
        <v>0.87</v>
      </c>
      <c r="E101">
        <v>0.52</v>
      </c>
      <c r="F101">
        <v>1.02</v>
      </c>
      <c r="G101">
        <v>0.2</v>
      </c>
      <c r="H101">
        <v>0.41</v>
      </c>
      <c r="I101">
        <v>0.62</v>
      </c>
    </row>
    <row r="102" spans="1:9" x14ac:dyDescent="0.25">
      <c r="A102" s="2">
        <v>41730</v>
      </c>
      <c r="B102">
        <v>0.79</v>
      </c>
      <c r="C102">
        <v>0.95</v>
      </c>
      <c r="E102">
        <v>0.88</v>
      </c>
      <c r="F102">
        <v>0.97</v>
      </c>
      <c r="G102">
        <v>0.36</v>
      </c>
      <c r="H102">
        <v>0.44</v>
      </c>
      <c r="I102">
        <v>0.75</v>
      </c>
    </row>
    <row r="103" spans="1:9" x14ac:dyDescent="0.25">
      <c r="A103" s="2">
        <v>41731</v>
      </c>
      <c r="B103">
        <v>0.95</v>
      </c>
      <c r="C103">
        <v>1.06</v>
      </c>
      <c r="E103">
        <v>0.95</v>
      </c>
      <c r="F103">
        <v>0.95</v>
      </c>
      <c r="G103">
        <v>0.51</v>
      </c>
      <c r="H103">
        <v>0.42</v>
      </c>
      <c r="I103">
        <v>0.96</v>
      </c>
    </row>
    <row r="104" spans="1:9" x14ac:dyDescent="0.25">
      <c r="A104" s="2">
        <v>41732</v>
      </c>
      <c r="B104">
        <v>1.08</v>
      </c>
      <c r="C104">
        <v>1.1399999999999999</v>
      </c>
      <c r="E104">
        <v>1.2</v>
      </c>
      <c r="F104">
        <v>0.93</v>
      </c>
      <c r="G104">
        <v>0.73</v>
      </c>
      <c r="H104">
        <v>0.44</v>
      </c>
      <c r="I104">
        <v>1.1000000000000001</v>
      </c>
    </row>
    <row r="105" spans="1:9" x14ac:dyDescent="0.25">
      <c r="A105" s="2">
        <v>41733</v>
      </c>
      <c r="B105">
        <v>1.06</v>
      </c>
      <c r="C105">
        <v>1.1000000000000001</v>
      </c>
      <c r="E105">
        <v>1.37</v>
      </c>
      <c r="F105">
        <v>0.9</v>
      </c>
      <c r="G105">
        <v>0.9</v>
      </c>
      <c r="H105">
        <v>0.46</v>
      </c>
      <c r="I105">
        <v>1.18</v>
      </c>
    </row>
    <row r="106" spans="1:9" x14ac:dyDescent="0.25">
      <c r="A106" s="2">
        <v>41736</v>
      </c>
      <c r="B106">
        <v>1.1000000000000001</v>
      </c>
      <c r="C106">
        <v>1.1299999999999999</v>
      </c>
      <c r="E106">
        <v>1.47</v>
      </c>
      <c r="F106">
        <v>0.95</v>
      </c>
      <c r="G106">
        <v>0.98</v>
      </c>
      <c r="H106">
        <v>0.48</v>
      </c>
      <c r="I106">
        <v>1.42</v>
      </c>
    </row>
    <row r="107" spans="1:9" x14ac:dyDescent="0.25">
      <c r="A107" s="2">
        <v>41737</v>
      </c>
      <c r="B107">
        <v>1.1299999999999999</v>
      </c>
      <c r="C107">
        <v>1.21</v>
      </c>
      <c r="E107">
        <v>1.72</v>
      </c>
      <c r="F107">
        <v>1.1399999999999999</v>
      </c>
      <c r="G107">
        <v>1.0900000000000001</v>
      </c>
      <c r="H107">
        <v>0.51</v>
      </c>
      <c r="I107">
        <v>1.1599999999999999</v>
      </c>
    </row>
    <row r="108" spans="1:9" x14ac:dyDescent="0.25">
      <c r="A108" s="2">
        <v>41738</v>
      </c>
      <c r="B108">
        <v>0.97</v>
      </c>
      <c r="C108">
        <v>1.25</v>
      </c>
      <c r="E108">
        <v>1.1000000000000001</v>
      </c>
      <c r="F108">
        <v>1.1399999999999999</v>
      </c>
      <c r="G108">
        <v>0.63</v>
      </c>
      <c r="H108">
        <v>0.48</v>
      </c>
      <c r="I108">
        <v>0.92</v>
      </c>
    </row>
    <row r="109" spans="1:9" x14ac:dyDescent="0.25">
      <c r="A109" s="2">
        <v>41739</v>
      </c>
      <c r="B109">
        <v>0.82</v>
      </c>
      <c r="C109">
        <v>1.23</v>
      </c>
      <c r="E109">
        <v>0.97</v>
      </c>
      <c r="F109">
        <v>1.1200000000000001</v>
      </c>
      <c r="G109">
        <v>0.47</v>
      </c>
      <c r="H109">
        <v>0.43</v>
      </c>
      <c r="I109">
        <v>0.93</v>
      </c>
    </row>
    <row r="110" spans="1:9" x14ac:dyDescent="0.25">
      <c r="A110" s="2">
        <v>41740</v>
      </c>
      <c r="B110">
        <v>0.99</v>
      </c>
      <c r="C110">
        <v>1.29</v>
      </c>
      <c r="E110">
        <v>1.07</v>
      </c>
      <c r="F110">
        <v>1.1000000000000001</v>
      </c>
      <c r="G110">
        <v>0.57999999999999996</v>
      </c>
      <c r="H110">
        <v>0.42</v>
      </c>
      <c r="I110">
        <v>0.96</v>
      </c>
    </row>
    <row r="111" spans="1:9" x14ac:dyDescent="0.25">
      <c r="A111" s="2">
        <v>41743</v>
      </c>
      <c r="B111">
        <v>1.04</v>
      </c>
      <c r="C111">
        <v>1.34</v>
      </c>
      <c r="E111">
        <v>0.94</v>
      </c>
      <c r="F111">
        <v>1.23</v>
      </c>
      <c r="G111">
        <v>0.64</v>
      </c>
      <c r="H111">
        <v>0.43</v>
      </c>
      <c r="I111">
        <v>0.47</v>
      </c>
    </row>
    <row r="112" spans="1:9" x14ac:dyDescent="0.25">
      <c r="A112" s="2">
        <v>41744</v>
      </c>
      <c r="B112">
        <v>0.67</v>
      </c>
      <c r="C112">
        <v>1.36</v>
      </c>
      <c r="E112">
        <v>0.38</v>
      </c>
      <c r="F112">
        <v>1.22</v>
      </c>
      <c r="G112">
        <v>0.16</v>
      </c>
      <c r="H112">
        <v>0.46</v>
      </c>
      <c r="I112">
        <v>0.57999999999999996</v>
      </c>
    </row>
    <row r="113" spans="1:9" x14ac:dyDescent="0.25">
      <c r="A113" s="2">
        <v>41745</v>
      </c>
      <c r="B113">
        <v>0.6</v>
      </c>
      <c r="C113">
        <v>1.29</v>
      </c>
      <c r="E113">
        <v>0.59</v>
      </c>
      <c r="F113">
        <v>1.22</v>
      </c>
      <c r="G113">
        <v>0.11</v>
      </c>
      <c r="H113">
        <v>0.47</v>
      </c>
      <c r="I113">
        <v>0.4</v>
      </c>
    </row>
    <row r="114" spans="1:9" x14ac:dyDescent="0.25">
      <c r="A114" s="2">
        <v>41746</v>
      </c>
      <c r="B114">
        <v>0.59</v>
      </c>
      <c r="C114">
        <v>1.22</v>
      </c>
      <c r="E114">
        <v>0.34</v>
      </c>
      <c r="F114">
        <v>1.34</v>
      </c>
      <c r="G114">
        <v>-0.03</v>
      </c>
      <c r="H114">
        <v>0.32</v>
      </c>
      <c r="I114">
        <v>0.65</v>
      </c>
    </row>
    <row r="115" spans="1:9" x14ac:dyDescent="0.25">
      <c r="A115" s="2">
        <v>41751</v>
      </c>
      <c r="B115">
        <v>0.57999999999999996</v>
      </c>
      <c r="C115">
        <v>1.19</v>
      </c>
      <c r="E115">
        <v>0.8</v>
      </c>
      <c r="F115">
        <v>1.3</v>
      </c>
      <c r="G115">
        <v>0.16</v>
      </c>
      <c r="H115">
        <v>0.38</v>
      </c>
      <c r="I115">
        <v>0.89</v>
      </c>
    </row>
    <row r="116" spans="1:9" x14ac:dyDescent="0.25">
      <c r="A116" s="2">
        <v>41752</v>
      </c>
      <c r="B116">
        <v>0.8</v>
      </c>
      <c r="C116">
        <v>1.29</v>
      </c>
      <c r="E116">
        <v>1.1499999999999999</v>
      </c>
      <c r="F116">
        <v>1.21</v>
      </c>
      <c r="G116">
        <v>0.36</v>
      </c>
      <c r="H116">
        <v>0.42</v>
      </c>
      <c r="I116">
        <v>1.04</v>
      </c>
    </row>
    <row r="117" spans="1:9" x14ac:dyDescent="0.25">
      <c r="A117" s="2">
        <v>41753</v>
      </c>
      <c r="B117">
        <v>1.02</v>
      </c>
      <c r="C117">
        <v>1.29</v>
      </c>
      <c r="E117">
        <v>1.4</v>
      </c>
      <c r="F117">
        <v>1.21</v>
      </c>
      <c r="G117">
        <v>0.67</v>
      </c>
      <c r="H117">
        <v>0.42</v>
      </c>
      <c r="I117">
        <v>1.03</v>
      </c>
    </row>
    <row r="118" spans="1:9" x14ac:dyDescent="0.25">
      <c r="A118" s="2">
        <v>41754</v>
      </c>
      <c r="B118">
        <v>1</v>
      </c>
      <c r="C118">
        <v>1.3</v>
      </c>
      <c r="E118">
        <v>1.2</v>
      </c>
      <c r="F118">
        <v>1.24</v>
      </c>
      <c r="G118">
        <v>0.74</v>
      </c>
      <c r="H118">
        <v>0.44</v>
      </c>
      <c r="I118">
        <v>0.96</v>
      </c>
    </row>
    <row r="119" spans="1:9" x14ac:dyDescent="0.25">
      <c r="A119" s="2">
        <v>41757</v>
      </c>
      <c r="B119">
        <v>0.89</v>
      </c>
      <c r="C119">
        <v>1.28</v>
      </c>
      <c r="E119">
        <v>1.24</v>
      </c>
      <c r="F119">
        <v>1.23</v>
      </c>
      <c r="G119">
        <v>0.61</v>
      </c>
      <c r="H119">
        <v>0.4</v>
      </c>
      <c r="I119">
        <v>0.79</v>
      </c>
    </row>
    <row r="120" spans="1:9" x14ac:dyDescent="0.25">
      <c r="A120" s="2">
        <v>41758</v>
      </c>
      <c r="B120">
        <v>0.66</v>
      </c>
      <c r="C120">
        <v>1.17</v>
      </c>
      <c r="E120">
        <v>0.87</v>
      </c>
      <c r="F120">
        <v>1.3</v>
      </c>
      <c r="G120">
        <v>0.33</v>
      </c>
      <c r="H120">
        <v>0.39</v>
      </c>
      <c r="I120">
        <v>0.76</v>
      </c>
    </row>
    <row r="121" spans="1:9" x14ac:dyDescent="0.25">
      <c r="A121" s="2">
        <v>41759</v>
      </c>
      <c r="B121">
        <v>0.74</v>
      </c>
      <c r="C121">
        <v>1.19</v>
      </c>
      <c r="E121">
        <v>0.94</v>
      </c>
      <c r="F121">
        <v>1.27</v>
      </c>
      <c r="G121">
        <v>0.24</v>
      </c>
      <c r="H121">
        <v>0.38</v>
      </c>
      <c r="I121">
        <v>1.03</v>
      </c>
    </row>
    <row r="122" spans="1:9" x14ac:dyDescent="0.25">
      <c r="A122" s="2">
        <v>41765</v>
      </c>
      <c r="B122">
        <v>0.88</v>
      </c>
      <c r="C122">
        <v>1.23</v>
      </c>
      <c r="E122">
        <v>1.36</v>
      </c>
      <c r="F122">
        <v>1.34</v>
      </c>
      <c r="G122">
        <v>0.49</v>
      </c>
      <c r="H122">
        <v>0.38</v>
      </c>
      <c r="I122">
        <v>1.1200000000000001</v>
      </c>
    </row>
    <row r="123" spans="1:9" x14ac:dyDescent="0.25">
      <c r="A123" s="2">
        <v>41766</v>
      </c>
      <c r="B123">
        <v>0.84</v>
      </c>
      <c r="C123">
        <v>1.32</v>
      </c>
      <c r="E123">
        <v>1.3</v>
      </c>
      <c r="F123">
        <v>1.53</v>
      </c>
      <c r="G123">
        <v>0.61</v>
      </c>
      <c r="H123">
        <v>0.4</v>
      </c>
      <c r="I123">
        <v>1.29</v>
      </c>
    </row>
    <row r="124" spans="1:9" x14ac:dyDescent="0.25">
      <c r="A124" s="2">
        <v>41767</v>
      </c>
      <c r="B124">
        <v>0.99</v>
      </c>
      <c r="C124">
        <v>1.39</v>
      </c>
      <c r="E124">
        <v>1.17</v>
      </c>
      <c r="F124">
        <v>1.56</v>
      </c>
      <c r="G124">
        <v>0.61</v>
      </c>
      <c r="H124">
        <v>0.55000000000000004</v>
      </c>
      <c r="I124">
        <v>1.24</v>
      </c>
    </row>
    <row r="125" spans="1:9" x14ac:dyDescent="0.25">
      <c r="A125" s="2">
        <v>41768</v>
      </c>
      <c r="B125">
        <v>1.1299999999999999</v>
      </c>
      <c r="C125">
        <v>1.54</v>
      </c>
      <c r="E125">
        <v>1.18</v>
      </c>
      <c r="F125">
        <v>1.57</v>
      </c>
      <c r="G125">
        <v>0.68</v>
      </c>
      <c r="H125">
        <v>0.48</v>
      </c>
      <c r="I125">
        <v>1.61</v>
      </c>
    </row>
    <row r="126" spans="1:9" x14ac:dyDescent="0.25">
      <c r="A126" s="2">
        <v>41769</v>
      </c>
      <c r="B126">
        <v>1.39</v>
      </c>
      <c r="C126">
        <v>1.77</v>
      </c>
      <c r="E126">
        <v>1.69</v>
      </c>
      <c r="F126">
        <v>1.75</v>
      </c>
      <c r="G126">
        <v>1.1299999999999999</v>
      </c>
      <c r="H126">
        <v>0.7</v>
      </c>
      <c r="I126">
        <v>1.63</v>
      </c>
    </row>
    <row r="127" spans="1:9" x14ac:dyDescent="0.25">
      <c r="A127" s="2">
        <v>41771</v>
      </c>
      <c r="B127">
        <v>1.39</v>
      </c>
      <c r="C127">
        <v>1.78</v>
      </c>
      <c r="E127">
        <v>1.7</v>
      </c>
      <c r="F127">
        <v>1.79</v>
      </c>
      <c r="G127">
        <v>1.1200000000000001</v>
      </c>
      <c r="H127">
        <v>0.67</v>
      </c>
      <c r="I127">
        <v>1.63</v>
      </c>
    </row>
    <row r="128" spans="1:9" x14ac:dyDescent="0.25">
      <c r="A128" s="2">
        <v>41772</v>
      </c>
      <c r="B128">
        <v>1.41</v>
      </c>
      <c r="C128">
        <v>1.83</v>
      </c>
      <c r="E128">
        <v>1.7</v>
      </c>
      <c r="F128">
        <v>1.8</v>
      </c>
      <c r="G128">
        <v>1.28</v>
      </c>
      <c r="H128">
        <v>0.72</v>
      </c>
      <c r="I128">
        <v>1.87</v>
      </c>
    </row>
    <row r="129" spans="1:9" x14ac:dyDescent="0.25">
      <c r="A129" s="2">
        <v>41773</v>
      </c>
      <c r="B129">
        <v>1.65</v>
      </c>
      <c r="C129">
        <v>1.89</v>
      </c>
      <c r="E129">
        <v>2.15</v>
      </c>
      <c r="F129">
        <v>1.79</v>
      </c>
      <c r="G129">
        <v>1.54</v>
      </c>
      <c r="H129">
        <v>0.75</v>
      </c>
      <c r="I129">
        <v>2.17</v>
      </c>
    </row>
    <row r="130" spans="1:9" x14ac:dyDescent="0.25">
      <c r="A130" s="2">
        <v>41774</v>
      </c>
      <c r="B130">
        <v>1.72</v>
      </c>
      <c r="C130">
        <v>1.93</v>
      </c>
      <c r="E130">
        <v>2.4</v>
      </c>
      <c r="F130">
        <v>1.91</v>
      </c>
      <c r="G130">
        <v>1.85</v>
      </c>
      <c r="H130">
        <v>0.84</v>
      </c>
      <c r="I130">
        <v>2.21</v>
      </c>
    </row>
    <row r="131" spans="1:9" x14ac:dyDescent="0.25">
      <c r="A131" s="2">
        <v>41775</v>
      </c>
      <c r="B131">
        <v>1.86</v>
      </c>
      <c r="C131">
        <v>2.08</v>
      </c>
      <c r="E131">
        <v>2.5</v>
      </c>
      <c r="F131">
        <v>2.0699999999999998</v>
      </c>
      <c r="G131">
        <v>1.92</v>
      </c>
      <c r="H131">
        <v>0.81</v>
      </c>
      <c r="I131">
        <v>2.0699999999999998</v>
      </c>
    </row>
    <row r="132" spans="1:9" x14ac:dyDescent="0.25">
      <c r="A132" s="2">
        <v>41778</v>
      </c>
      <c r="B132">
        <v>1.75</v>
      </c>
      <c r="C132">
        <v>2.02</v>
      </c>
      <c r="E132">
        <v>2.06</v>
      </c>
      <c r="F132">
        <v>2.11</v>
      </c>
      <c r="G132">
        <v>1.83</v>
      </c>
      <c r="H132">
        <v>0.88</v>
      </c>
      <c r="I132">
        <v>2.0699999999999998</v>
      </c>
    </row>
    <row r="133" spans="1:9" x14ac:dyDescent="0.25">
      <c r="A133" s="2">
        <v>41779</v>
      </c>
      <c r="B133">
        <v>1.63</v>
      </c>
      <c r="C133">
        <v>2.0099999999999998</v>
      </c>
      <c r="E133">
        <v>2.17</v>
      </c>
      <c r="F133">
        <v>2.02</v>
      </c>
      <c r="G133">
        <v>1.64</v>
      </c>
      <c r="H133">
        <v>0.86</v>
      </c>
      <c r="I133">
        <v>2.0299999999999998</v>
      </c>
    </row>
    <row r="134" spans="1:9" x14ac:dyDescent="0.25">
      <c r="A134" s="2">
        <v>41780</v>
      </c>
      <c r="B134">
        <v>1.64</v>
      </c>
      <c r="C134">
        <v>2.0499999999999998</v>
      </c>
      <c r="E134">
        <v>2.2400000000000002</v>
      </c>
      <c r="F134">
        <v>2</v>
      </c>
      <c r="G134">
        <v>1.76</v>
      </c>
      <c r="H134">
        <v>0.86</v>
      </c>
      <c r="I134">
        <v>2</v>
      </c>
    </row>
    <row r="135" spans="1:9" x14ac:dyDescent="0.25">
      <c r="A135" s="2">
        <v>41781</v>
      </c>
      <c r="B135">
        <v>1.69</v>
      </c>
      <c r="C135">
        <v>2.0699999999999998</v>
      </c>
      <c r="E135">
        <v>2.16</v>
      </c>
      <c r="F135">
        <v>1.93</v>
      </c>
      <c r="G135">
        <v>1.8</v>
      </c>
      <c r="H135">
        <v>0.87</v>
      </c>
      <c r="I135">
        <v>2.08</v>
      </c>
    </row>
    <row r="136" spans="1:9" x14ac:dyDescent="0.25">
      <c r="A136" s="2">
        <v>41782</v>
      </c>
      <c r="B136">
        <v>1.77</v>
      </c>
      <c r="C136">
        <v>2.09</v>
      </c>
      <c r="E136">
        <v>2.2999999999999998</v>
      </c>
      <c r="F136">
        <v>1.87</v>
      </c>
      <c r="G136">
        <v>1.93</v>
      </c>
      <c r="H136">
        <v>0.86</v>
      </c>
      <c r="I136">
        <v>2.29</v>
      </c>
    </row>
    <row r="137" spans="1:9" x14ac:dyDescent="0.25">
      <c r="A137" s="2">
        <v>41785</v>
      </c>
      <c r="B137">
        <v>1.93</v>
      </c>
      <c r="C137">
        <v>2.15</v>
      </c>
      <c r="E137">
        <v>2.5299999999999998</v>
      </c>
      <c r="F137">
        <v>1.93</v>
      </c>
      <c r="G137">
        <v>2.2200000000000002</v>
      </c>
      <c r="H137">
        <v>0.89</v>
      </c>
      <c r="I137">
        <v>2.4500000000000002</v>
      </c>
    </row>
    <row r="138" spans="1:9" x14ac:dyDescent="0.25">
      <c r="A138" s="2">
        <v>41786</v>
      </c>
      <c r="B138">
        <v>2.04</v>
      </c>
      <c r="C138">
        <v>2.2400000000000002</v>
      </c>
      <c r="E138">
        <v>2.7</v>
      </c>
      <c r="F138">
        <v>1.97</v>
      </c>
      <c r="G138">
        <v>2.4500000000000002</v>
      </c>
      <c r="H138">
        <v>0.92</v>
      </c>
      <c r="I138">
        <v>2.6</v>
      </c>
    </row>
    <row r="139" spans="1:9" x14ac:dyDescent="0.25">
      <c r="A139" s="2">
        <v>41787</v>
      </c>
      <c r="B139">
        <v>2.2200000000000002</v>
      </c>
      <c r="C139">
        <v>2.29</v>
      </c>
      <c r="E139">
        <v>2.92</v>
      </c>
      <c r="F139">
        <v>2</v>
      </c>
      <c r="G139">
        <v>2.54</v>
      </c>
      <c r="H139">
        <v>0.88</v>
      </c>
      <c r="I139">
        <v>2.61</v>
      </c>
    </row>
    <row r="140" spans="1:9" x14ac:dyDescent="0.25">
      <c r="A140" s="2">
        <v>41788</v>
      </c>
      <c r="B140">
        <v>2.3199999999999998</v>
      </c>
      <c r="C140">
        <v>2.33</v>
      </c>
      <c r="E140">
        <v>3</v>
      </c>
      <c r="F140">
        <v>2.09</v>
      </c>
      <c r="G140">
        <v>2.52</v>
      </c>
      <c r="H140">
        <v>0.92</v>
      </c>
      <c r="I140">
        <v>2.74</v>
      </c>
    </row>
    <row r="141" spans="1:9" x14ac:dyDescent="0.25">
      <c r="A141" s="2">
        <v>41789</v>
      </c>
      <c r="B141">
        <v>2.37</v>
      </c>
      <c r="C141">
        <v>2.41</v>
      </c>
      <c r="E141">
        <v>3.12</v>
      </c>
      <c r="F141">
        <v>2.19</v>
      </c>
      <c r="G141">
        <v>2.62</v>
      </c>
      <c r="H141">
        <v>0.93</v>
      </c>
      <c r="I141">
        <v>2.85</v>
      </c>
    </row>
    <row r="142" spans="1:9" x14ac:dyDescent="0.25">
      <c r="A142" s="2">
        <v>41792</v>
      </c>
      <c r="B142">
        <v>2.39</v>
      </c>
      <c r="C142">
        <v>2.44</v>
      </c>
      <c r="E142">
        <v>3.17</v>
      </c>
      <c r="F142">
        <v>2.2000000000000002</v>
      </c>
      <c r="G142">
        <v>2.66</v>
      </c>
      <c r="H142">
        <v>0.94</v>
      </c>
      <c r="I142">
        <v>2.81</v>
      </c>
    </row>
    <row r="143" spans="1:9" x14ac:dyDescent="0.25">
      <c r="A143" s="2">
        <v>41793</v>
      </c>
      <c r="B143">
        <v>2.42</v>
      </c>
      <c r="C143">
        <v>2.44</v>
      </c>
      <c r="E143">
        <v>3.06</v>
      </c>
      <c r="F143">
        <v>2.14</v>
      </c>
      <c r="G143">
        <v>2.72</v>
      </c>
      <c r="H143">
        <v>0.95</v>
      </c>
      <c r="I143">
        <v>2.89</v>
      </c>
    </row>
    <row r="144" spans="1:9" x14ac:dyDescent="0.25">
      <c r="A144" s="2">
        <v>41794</v>
      </c>
      <c r="B144">
        <v>2.42</v>
      </c>
      <c r="C144">
        <v>2.39</v>
      </c>
      <c r="E144">
        <v>3.24</v>
      </c>
      <c r="F144">
        <v>2.17</v>
      </c>
      <c r="G144">
        <v>2.8</v>
      </c>
      <c r="H144">
        <v>0.93</v>
      </c>
      <c r="I144">
        <v>2.86</v>
      </c>
    </row>
    <row r="145" spans="1:9" x14ac:dyDescent="0.25">
      <c r="A145" s="2">
        <v>41795</v>
      </c>
      <c r="B145">
        <v>2.2999999999999998</v>
      </c>
      <c r="C145">
        <v>2.35</v>
      </c>
      <c r="E145">
        <v>3.08</v>
      </c>
      <c r="F145">
        <v>2.06</v>
      </c>
      <c r="G145">
        <v>2.7</v>
      </c>
      <c r="H145">
        <v>0.93</v>
      </c>
      <c r="I145">
        <v>2.81</v>
      </c>
    </row>
    <row r="146" spans="1:9" x14ac:dyDescent="0.25">
      <c r="A146" s="2">
        <v>41796</v>
      </c>
      <c r="B146">
        <v>2.33</v>
      </c>
      <c r="C146">
        <v>2.39</v>
      </c>
      <c r="E146">
        <v>3.07</v>
      </c>
      <c r="F146">
        <v>1.97</v>
      </c>
      <c r="G146">
        <v>2.72</v>
      </c>
      <c r="H146">
        <v>0.95</v>
      </c>
      <c r="I146">
        <v>2.99</v>
      </c>
    </row>
    <row r="147" spans="1:9" x14ac:dyDescent="0.25">
      <c r="A147" s="2">
        <v>41799</v>
      </c>
      <c r="B147">
        <v>2.46</v>
      </c>
      <c r="C147">
        <v>2.5</v>
      </c>
      <c r="E147">
        <v>3.33</v>
      </c>
      <c r="F147">
        <v>2.1</v>
      </c>
      <c r="G147">
        <v>2.86</v>
      </c>
      <c r="H147">
        <v>0.79</v>
      </c>
      <c r="I147">
        <v>3.51</v>
      </c>
    </row>
    <row r="148" spans="1:9" x14ac:dyDescent="0.25">
      <c r="A148" s="2">
        <v>41800</v>
      </c>
      <c r="B148">
        <v>2.71</v>
      </c>
      <c r="C148">
        <v>2.71</v>
      </c>
      <c r="E148">
        <v>3.76</v>
      </c>
      <c r="F148">
        <v>2.4</v>
      </c>
      <c r="G148">
        <v>3.35</v>
      </c>
      <c r="H148">
        <v>1.25</v>
      </c>
      <c r="I148">
        <v>3.74</v>
      </c>
    </row>
    <row r="149" spans="1:9" x14ac:dyDescent="0.25">
      <c r="A149" s="2">
        <v>41801</v>
      </c>
      <c r="B149">
        <v>2.83</v>
      </c>
      <c r="C149">
        <v>2.84</v>
      </c>
      <c r="E149">
        <v>3.98</v>
      </c>
      <c r="F149">
        <v>2.41</v>
      </c>
      <c r="G149">
        <v>3.56</v>
      </c>
      <c r="H149">
        <v>1.34</v>
      </c>
      <c r="I149">
        <v>3.9</v>
      </c>
    </row>
    <row r="150" spans="1:9" x14ac:dyDescent="0.25">
      <c r="A150" s="2">
        <v>41802</v>
      </c>
      <c r="B150">
        <v>2.89</v>
      </c>
      <c r="C150">
        <v>2.89</v>
      </c>
      <c r="E150">
        <v>4.05</v>
      </c>
      <c r="F150">
        <v>2.37</v>
      </c>
      <c r="G150">
        <v>3.77</v>
      </c>
      <c r="H150">
        <v>1.38</v>
      </c>
      <c r="I150">
        <v>3.88</v>
      </c>
    </row>
    <row r="151" spans="1:9" x14ac:dyDescent="0.25">
      <c r="A151" s="2">
        <v>41803</v>
      </c>
      <c r="B151">
        <v>2.81</v>
      </c>
      <c r="C151">
        <v>2.89</v>
      </c>
      <c r="E151">
        <v>3.96</v>
      </c>
      <c r="F151">
        <v>2.39</v>
      </c>
      <c r="G151">
        <v>3.67</v>
      </c>
      <c r="H151">
        <v>1.37</v>
      </c>
      <c r="I151">
        <v>3.87</v>
      </c>
    </row>
    <row r="152" spans="1:9" x14ac:dyDescent="0.25">
      <c r="A152" s="2">
        <v>41806</v>
      </c>
      <c r="B152">
        <v>2.85</v>
      </c>
      <c r="C152">
        <v>2.9</v>
      </c>
      <c r="E152">
        <v>3.88</v>
      </c>
      <c r="F152">
        <v>2.4</v>
      </c>
      <c r="G152">
        <v>3.72</v>
      </c>
      <c r="H152">
        <v>1.37</v>
      </c>
      <c r="I152">
        <v>3.79</v>
      </c>
    </row>
    <row r="153" spans="1:9" x14ac:dyDescent="0.25">
      <c r="A153" s="2">
        <v>41807</v>
      </c>
      <c r="B153">
        <v>2.76</v>
      </c>
      <c r="C153">
        <v>2.91</v>
      </c>
      <c r="E153">
        <v>3.89</v>
      </c>
      <c r="F153">
        <v>2.4900000000000002</v>
      </c>
      <c r="G153">
        <v>3.58</v>
      </c>
      <c r="H153">
        <v>1.39</v>
      </c>
      <c r="I153">
        <v>3.64</v>
      </c>
    </row>
    <row r="154" spans="1:9" x14ac:dyDescent="0.25">
      <c r="A154" s="2">
        <v>41808</v>
      </c>
      <c r="B154">
        <v>2.8</v>
      </c>
      <c r="C154">
        <v>2.84</v>
      </c>
      <c r="E154">
        <v>3.68</v>
      </c>
      <c r="F154">
        <v>2.48</v>
      </c>
      <c r="G154">
        <v>3.5</v>
      </c>
      <c r="H154">
        <v>1.37</v>
      </c>
      <c r="I154">
        <v>3.63</v>
      </c>
    </row>
    <row r="155" spans="1:9" x14ac:dyDescent="0.25">
      <c r="A155" s="2">
        <v>41809</v>
      </c>
      <c r="B155">
        <v>2.8</v>
      </c>
      <c r="C155">
        <v>2.78</v>
      </c>
      <c r="E155">
        <v>3.75</v>
      </c>
      <c r="F155">
        <v>2.33</v>
      </c>
      <c r="G155">
        <v>3.5</v>
      </c>
      <c r="H155">
        <v>1.33</v>
      </c>
      <c r="I155">
        <v>3.69</v>
      </c>
    </row>
    <row r="156" spans="1:9" x14ac:dyDescent="0.25">
      <c r="A156" s="2">
        <v>41810</v>
      </c>
      <c r="B156">
        <v>2.8</v>
      </c>
      <c r="C156">
        <v>2.76</v>
      </c>
      <c r="E156">
        <v>3.75</v>
      </c>
      <c r="F156">
        <v>2.37</v>
      </c>
      <c r="G156">
        <v>3.54</v>
      </c>
      <c r="H156">
        <v>1.28</v>
      </c>
      <c r="I156">
        <v>3.97</v>
      </c>
    </row>
    <row r="157" spans="1:9" x14ac:dyDescent="0.25">
      <c r="A157" s="2">
        <v>41815</v>
      </c>
      <c r="B157">
        <v>2.94</v>
      </c>
      <c r="C157">
        <v>2.81</v>
      </c>
      <c r="E157">
        <v>4.0599999999999996</v>
      </c>
      <c r="F157">
        <v>2.5</v>
      </c>
      <c r="G157">
        <v>3.76</v>
      </c>
      <c r="H157">
        <v>1.33</v>
      </c>
      <c r="I157">
        <v>4</v>
      </c>
    </row>
    <row r="158" spans="1:9" x14ac:dyDescent="0.25">
      <c r="A158" s="2">
        <v>41816</v>
      </c>
      <c r="B158">
        <v>2.8</v>
      </c>
      <c r="C158">
        <v>2.86</v>
      </c>
      <c r="E158">
        <v>4.09</v>
      </c>
      <c r="F158">
        <v>2.57</v>
      </c>
      <c r="G158">
        <v>3.73</v>
      </c>
      <c r="H158">
        <v>1.34</v>
      </c>
      <c r="I158">
        <v>3.64</v>
      </c>
    </row>
    <row r="159" spans="1:9" x14ac:dyDescent="0.25">
      <c r="A159" s="2">
        <v>41817</v>
      </c>
      <c r="B159">
        <v>2.76</v>
      </c>
      <c r="C159">
        <v>2.93</v>
      </c>
      <c r="E159">
        <v>3.62</v>
      </c>
      <c r="F159">
        <v>2.35</v>
      </c>
      <c r="G159">
        <v>3.53</v>
      </c>
      <c r="H159">
        <v>1.27</v>
      </c>
      <c r="I159">
        <v>3.75</v>
      </c>
    </row>
    <row r="160" spans="1:9" x14ac:dyDescent="0.25">
      <c r="A160" s="2">
        <v>41820</v>
      </c>
      <c r="B160">
        <v>2.71</v>
      </c>
      <c r="C160">
        <v>2.93</v>
      </c>
      <c r="E160">
        <v>3.67</v>
      </c>
      <c r="F160">
        <v>2.39</v>
      </c>
      <c r="G160">
        <v>3.56</v>
      </c>
      <c r="H160">
        <v>1.35</v>
      </c>
      <c r="I160">
        <v>3.73</v>
      </c>
    </row>
    <row r="161" spans="1:9" x14ac:dyDescent="0.25">
      <c r="A161" s="2">
        <v>41821</v>
      </c>
      <c r="B161">
        <v>2.71</v>
      </c>
      <c r="C161">
        <v>2.88</v>
      </c>
      <c r="E161">
        <v>3.65</v>
      </c>
      <c r="F161">
        <v>2.33</v>
      </c>
      <c r="G161">
        <v>3.5</v>
      </c>
      <c r="H161">
        <v>1.32</v>
      </c>
      <c r="I161">
        <v>3.67</v>
      </c>
    </row>
    <row r="162" spans="1:9" x14ac:dyDescent="0.25">
      <c r="A162" s="2">
        <v>41823</v>
      </c>
      <c r="B162">
        <v>2.87</v>
      </c>
      <c r="C162">
        <v>2.89</v>
      </c>
      <c r="E162">
        <v>3.93</v>
      </c>
      <c r="F162">
        <v>2.34</v>
      </c>
      <c r="G162">
        <v>3.5</v>
      </c>
      <c r="H162">
        <v>1.26</v>
      </c>
      <c r="I162">
        <v>4.0199999999999996</v>
      </c>
    </row>
    <row r="163" spans="1:9" x14ac:dyDescent="0.25">
      <c r="A163" s="2">
        <v>41824</v>
      </c>
      <c r="B163">
        <v>2.91</v>
      </c>
      <c r="C163">
        <v>2.83</v>
      </c>
      <c r="E163">
        <v>4.03</v>
      </c>
      <c r="F163">
        <v>2.2599999999999998</v>
      </c>
      <c r="G163">
        <v>3.71</v>
      </c>
      <c r="H163">
        <v>1.28</v>
      </c>
      <c r="I163">
        <v>4.1500000000000004</v>
      </c>
    </row>
    <row r="164" spans="1:9" x14ac:dyDescent="0.25">
      <c r="A164" s="2">
        <v>41827</v>
      </c>
      <c r="B164">
        <v>3.04</v>
      </c>
      <c r="C164">
        <v>2.87</v>
      </c>
      <c r="E164">
        <v>4.37</v>
      </c>
      <c r="F164">
        <v>2.25</v>
      </c>
      <c r="G164">
        <v>3.89</v>
      </c>
      <c r="H164">
        <v>1.28</v>
      </c>
      <c r="I164">
        <v>4.26</v>
      </c>
    </row>
    <row r="165" spans="1:9" x14ac:dyDescent="0.25">
      <c r="A165" s="2">
        <v>41828</v>
      </c>
      <c r="B165">
        <v>3.11</v>
      </c>
      <c r="C165">
        <v>2.89</v>
      </c>
      <c r="E165">
        <v>4.37</v>
      </c>
      <c r="F165">
        <v>2.3199999999999998</v>
      </c>
      <c r="G165">
        <v>3.96</v>
      </c>
      <c r="H165">
        <v>1.35</v>
      </c>
      <c r="I165">
        <v>4.17</v>
      </c>
    </row>
    <row r="166" spans="1:9" x14ac:dyDescent="0.25">
      <c r="A166" s="2">
        <v>41829</v>
      </c>
      <c r="B166">
        <v>3.02</v>
      </c>
      <c r="C166">
        <v>2.96</v>
      </c>
      <c r="E166">
        <v>4.16</v>
      </c>
      <c r="F166">
        <v>2.36</v>
      </c>
      <c r="G166">
        <v>3.86</v>
      </c>
      <c r="H166">
        <v>1.36</v>
      </c>
      <c r="I166">
        <v>3.98</v>
      </c>
    </row>
    <row r="167" spans="1:9" x14ac:dyDescent="0.25">
      <c r="A167" s="2">
        <v>41830</v>
      </c>
      <c r="B167">
        <v>2.82</v>
      </c>
      <c r="C167">
        <v>2.96</v>
      </c>
      <c r="E167">
        <v>3.8</v>
      </c>
      <c r="F167">
        <v>2.4300000000000002</v>
      </c>
      <c r="G167">
        <v>3.6</v>
      </c>
      <c r="H167">
        <v>1.37</v>
      </c>
      <c r="I167">
        <v>3.9</v>
      </c>
    </row>
    <row r="168" spans="1:9" x14ac:dyDescent="0.25">
      <c r="A168" s="2">
        <v>41831</v>
      </c>
      <c r="B168">
        <v>2.71</v>
      </c>
      <c r="C168">
        <v>2.95</v>
      </c>
      <c r="E168">
        <v>3.8</v>
      </c>
      <c r="F168">
        <v>2.39</v>
      </c>
      <c r="G168">
        <v>3.46</v>
      </c>
      <c r="H168">
        <v>1.36</v>
      </c>
      <c r="I168">
        <v>3.76</v>
      </c>
    </row>
    <row r="169" spans="1:9" x14ac:dyDescent="0.25">
      <c r="A169" s="2">
        <v>41834</v>
      </c>
      <c r="B169">
        <v>2.57</v>
      </c>
      <c r="C169">
        <v>3</v>
      </c>
      <c r="E169">
        <v>3.54</v>
      </c>
      <c r="F169">
        <v>2.41</v>
      </c>
      <c r="G169">
        <v>3.26</v>
      </c>
      <c r="H169">
        <v>1.37</v>
      </c>
      <c r="I169">
        <v>3.75</v>
      </c>
    </row>
    <row r="170" spans="1:9" x14ac:dyDescent="0.25">
      <c r="A170" s="2">
        <v>41835</v>
      </c>
      <c r="B170">
        <v>2.59</v>
      </c>
      <c r="C170">
        <v>2.96</v>
      </c>
      <c r="E170">
        <v>3.59</v>
      </c>
      <c r="F170">
        <v>2.4</v>
      </c>
      <c r="G170">
        <v>3.23</v>
      </c>
      <c r="H170">
        <v>1.35</v>
      </c>
      <c r="I170">
        <v>3.94</v>
      </c>
    </row>
    <row r="171" spans="1:9" x14ac:dyDescent="0.25">
      <c r="A171" s="2">
        <v>41836</v>
      </c>
      <c r="B171">
        <v>2.72</v>
      </c>
      <c r="C171">
        <v>2.96</v>
      </c>
      <c r="E171">
        <v>3.9</v>
      </c>
      <c r="F171">
        <v>2.39</v>
      </c>
      <c r="G171">
        <v>3.37</v>
      </c>
      <c r="H171">
        <v>1.36</v>
      </c>
      <c r="I171">
        <v>3.95</v>
      </c>
    </row>
    <row r="172" spans="1:9" x14ac:dyDescent="0.25">
      <c r="A172" s="2">
        <v>41837</v>
      </c>
      <c r="B172">
        <v>2.7</v>
      </c>
      <c r="C172">
        <v>3</v>
      </c>
      <c r="E172">
        <v>3.83</v>
      </c>
      <c r="F172">
        <v>2.41</v>
      </c>
      <c r="G172">
        <v>3.44</v>
      </c>
      <c r="H172">
        <v>1.41</v>
      </c>
      <c r="I172">
        <v>4.1900000000000004</v>
      </c>
    </row>
    <row r="173" spans="1:9" x14ac:dyDescent="0.25">
      <c r="A173" s="2">
        <v>41838</v>
      </c>
      <c r="B173">
        <v>2.8</v>
      </c>
      <c r="C173">
        <v>2.97</v>
      </c>
      <c r="E173">
        <v>4.21</v>
      </c>
      <c r="F173">
        <v>2.46</v>
      </c>
      <c r="G173">
        <v>3.6</v>
      </c>
      <c r="H173">
        <v>1.41</v>
      </c>
      <c r="I173">
        <v>4.08</v>
      </c>
    </row>
    <row r="174" spans="1:9" x14ac:dyDescent="0.25">
      <c r="A174" s="2">
        <v>41841</v>
      </c>
      <c r="B174">
        <v>2.74</v>
      </c>
      <c r="C174">
        <v>2.94</v>
      </c>
      <c r="E174">
        <v>4.08</v>
      </c>
      <c r="F174">
        <v>2.7</v>
      </c>
      <c r="G174">
        <v>3.44</v>
      </c>
      <c r="H174">
        <v>1.4</v>
      </c>
      <c r="I174">
        <v>4.0199999999999996</v>
      </c>
    </row>
    <row r="175" spans="1:9" x14ac:dyDescent="0.25">
      <c r="A175" s="2">
        <v>41842</v>
      </c>
      <c r="B175">
        <v>2.6</v>
      </c>
      <c r="C175">
        <v>2.92</v>
      </c>
      <c r="E175">
        <v>4.13</v>
      </c>
      <c r="F175">
        <v>2.82</v>
      </c>
      <c r="G175">
        <v>3.32</v>
      </c>
      <c r="H175">
        <v>1.4</v>
      </c>
      <c r="I175">
        <v>3.95</v>
      </c>
    </row>
    <row r="176" spans="1:9" x14ac:dyDescent="0.25">
      <c r="A176" s="2">
        <v>41843</v>
      </c>
      <c r="B176">
        <v>2.62</v>
      </c>
      <c r="C176">
        <v>2.94</v>
      </c>
      <c r="E176">
        <v>3.98</v>
      </c>
      <c r="F176">
        <v>2.83</v>
      </c>
      <c r="G176">
        <v>3.35</v>
      </c>
      <c r="H176">
        <v>1.42</v>
      </c>
      <c r="I176">
        <v>4.2300000000000004</v>
      </c>
    </row>
    <row r="177" spans="1:9" x14ac:dyDescent="0.25">
      <c r="A177" s="2">
        <v>41844</v>
      </c>
      <c r="B177">
        <v>2.89</v>
      </c>
      <c r="C177">
        <v>3</v>
      </c>
      <c r="E177">
        <v>4.54</v>
      </c>
      <c r="F177">
        <v>2.85</v>
      </c>
      <c r="G177">
        <v>3.64</v>
      </c>
      <c r="H177">
        <v>1.44</v>
      </c>
      <c r="I177">
        <v>4.4000000000000004</v>
      </c>
    </row>
    <row r="178" spans="1:9" x14ac:dyDescent="0.25">
      <c r="A178" s="2">
        <v>41845</v>
      </c>
      <c r="B178">
        <v>3.02</v>
      </c>
      <c r="C178">
        <v>3.08</v>
      </c>
      <c r="E178">
        <v>4.62</v>
      </c>
      <c r="F178">
        <v>2.93</v>
      </c>
      <c r="G178">
        <v>3.8</v>
      </c>
      <c r="H178">
        <v>1.46</v>
      </c>
      <c r="I178">
        <v>4.5199999999999996</v>
      </c>
    </row>
    <row r="179" spans="1:9" x14ac:dyDescent="0.25">
      <c r="A179" s="2">
        <v>41848</v>
      </c>
      <c r="B179">
        <v>3.04</v>
      </c>
      <c r="C179">
        <v>3.05</v>
      </c>
      <c r="E179">
        <v>4.72</v>
      </c>
      <c r="F179">
        <v>2.89</v>
      </c>
      <c r="G179">
        <v>3.82</v>
      </c>
      <c r="H179">
        <v>1.49</v>
      </c>
      <c r="I179">
        <v>4.4000000000000004</v>
      </c>
    </row>
    <row r="180" spans="1:9" x14ac:dyDescent="0.25">
      <c r="A180" s="2">
        <v>41849</v>
      </c>
      <c r="B180">
        <v>2.95</v>
      </c>
      <c r="C180">
        <v>3.03</v>
      </c>
      <c r="E180">
        <v>4.5</v>
      </c>
      <c r="F180">
        <v>2.96</v>
      </c>
      <c r="G180">
        <v>3.72</v>
      </c>
      <c r="H180">
        <v>1.51</v>
      </c>
      <c r="I180">
        <v>4.34</v>
      </c>
    </row>
    <row r="181" spans="1:9" x14ac:dyDescent="0.25">
      <c r="A181" s="2">
        <v>41850</v>
      </c>
      <c r="B181">
        <v>2.82</v>
      </c>
      <c r="C181">
        <v>3.02</v>
      </c>
      <c r="E181">
        <v>4.53</v>
      </c>
      <c r="F181">
        <v>2.96</v>
      </c>
      <c r="G181">
        <v>3.62</v>
      </c>
      <c r="H181">
        <v>1.51</v>
      </c>
      <c r="I181">
        <v>4.53</v>
      </c>
    </row>
    <row r="182" spans="1:9" x14ac:dyDescent="0.25">
      <c r="A182" s="2">
        <v>41851</v>
      </c>
      <c r="B182">
        <v>2.86</v>
      </c>
      <c r="C182">
        <v>3</v>
      </c>
      <c r="E182">
        <v>4.59</v>
      </c>
      <c r="F182">
        <v>3.01</v>
      </c>
      <c r="G182">
        <v>3.64</v>
      </c>
      <c r="H182">
        <v>1.61</v>
      </c>
      <c r="I182">
        <v>4.49</v>
      </c>
    </row>
    <row r="183" spans="1:9" x14ac:dyDescent="0.25">
      <c r="A183" s="2">
        <v>41852</v>
      </c>
      <c r="B183">
        <v>2.71</v>
      </c>
      <c r="C183">
        <v>2.93</v>
      </c>
      <c r="E183">
        <v>4.43</v>
      </c>
      <c r="F183">
        <v>2.9</v>
      </c>
      <c r="G183">
        <v>3.57</v>
      </c>
      <c r="H183">
        <v>1.6</v>
      </c>
      <c r="I183">
        <v>4.08</v>
      </c>
    </row>
    <row r="184" spans="1:9" x14ac:dyDescent="0.25">
      <c r="A184" s="2">
        <v>41855</v>
      </c>
      <c r="B184">
        <v>2.21</v>
      </c>
      <c r="C184">
        <v>2.81</v>
      </c>
      <c r="E184">
        <v>3.78</v>
      </c>
      <c r="F184">
        <v>2.82</v>
      </c>
      <c r="G184">
        <v>3.24</v>
      </c>
      <c r="H184">
        <v>1.55</v>
      </c>
      <c r="I184">
        <v>3.52</v>
      </c>
    </row>
    <row r="185" spans="1:9" x14ac:dyDescent="0.25">
      <c r="A185" s="2">
        <v>41856</v>
      </c>
      <c r="B185">
        <v>1.79</v>
      </c>
      <c r="C185">
        <v>2.73</v>
      </c>
      <c r="E185">
        <v>3.22</v>
      </c>
      <c r="F185">
        <v>2.68</v>
      </c>
      <c r="G185">
        <v>2.76</v>
      </c>
      <c r="H185">
        <v>1.46</v>
      </c>
      <c r="I185">
        <v>3.54</v>
      </c>
    </row>
    <row r="186" spans="1:9" x14ac:dyDescent="0.25">
      <c r="A186" s="2">
        <v>41857</v>
      </c>
      <c r="B186">
        <v>1.83</v>
      </c>
      <c r="C186">
        <v>2.75</v>
      </c>
      <c r="E186">
        <v>3.29</v>
      </c>
      <c r="F186">
        <v>2.72</v>
      </c>
      <c r="G186">
        <v>2.83</v>
      </c>
      <c r="H186">
        <v>1.51</v>
      </c>
      <c r="I186">
        <v>3.6</v>
      </c>
    </row>
    <row r="187" spans="1:9" x14ac:dyDescent="0.25">
      <c r="A187" s="2">
        <v>41858</v>
      </c>
      <c r="B187">
        <v>1.69</v>
      </c>
      <c r="C187">
        <v>2.66</v>
      </c>
      <c r="E187">
        <v>3.36</v>
      </c>
      <c r="F187">
        <v>2.63</v>
      </c>
      <c r="G187">
        <v>2.82</v>
      </c>
      <c r="H187">
        <v>1.5</v>
      </c>
      <c r="I187">
        <v>3.34</v>
      </c>
    </row>
    <row r="188" spans="1:9" x14ac:dyDescent="0.25">
      <c r="A188" s="2">
        <v>41859</v>
      </c>
      <c r="B188">
        <v>1.4</v>
      </c>
      <c r="C188">
        <v>2.5499999999999998</v>
      </c>
      <c r="E188">
        <v>3.19</v>
      </c>
      <c r="F188">
        <v>2.71</v>
      </c>
      <c r="G188">
        <v>2.5099999999999998</v>
      </c>
      <c r="H188">
        <v>1.42</v>
      </c>
      <c r="I188">
        <v>3.23</v>
      </c>
    </row>
    <row r="189" spans="1:9" x14ac:dyDescent="0.25">
      <c r="A189" s="2">
        <v>41862</v>
      </c>
      <c r="B189">
        <v>1.35</v>
      </c>
      <c r="C189">
        <v>2.44</v>
      </c>
      <c r="E189">
        <v>2.96</v>
      </c>
      <c r="F189">
        <v>2.74</v>
      </c>
      <c r="G189">
        <v>2.41</v>
      </c>
      <c r="H189">
        <v>1.39</v>
      </c>
      <c r="I189">
        <v>2.96</v>
      </c>
    </row>
    <row r="190" spans="1:9" x14ac:dyDescent="0.25">
      <c r="A190" s="2">
        <v>41863</v>
      </c>
      <c r="B190">
        <v>1.29</v>
      </c>
      <c r="C190">
        <v>2.5</v>
      </c>
      <c r="E190">
        <v>2.7</v>
      </c>
      <c r="F190">
        <v>2.71</v>
      </c>
      <c r="G190">
        <v>2.13</v>
      </c>
      <c r="H190">
        <v>1.28</v>
      </c>
      <c r="I190">
        <v>3.3</v>
      </c>
    </row>
    <row r="191" spans="1:9" x14ac:dyDescent="0.25">
      <c r="A191" s="2">
        <v>41864</v>
      </c>
      <c r="B191">
        <v>1.77</v>
      </c>
      <c r="C191">
        <v>2.62</v>
      </c>
      <c r="E191">
        <v>3.38</v>
      </c>
      <c r="F191">
        <v>2.8</v>
      </c>
      <c r="G191">
        <v>2.61</v>
      </c>
      <c r="H191">
        <v>1.42</v>
      </c>
      <c r="I191">
        <v>3.41</v>
      </c>
    </row>
    <row r="192" spans="1:9" x14ac:dyDescent="0.25">
      <c r="A192" s="2">
        <v>41865</v>
      </c>
      <c r="B192">
        <v>1.84</v>
      </c>
      <c r="C192">
        <v>2.71</v>
      </c>
      <c r="E192">
        <v>3.35</v>
      </c>
      <c r="F192">
        <v>2.86</v>
      </c>
      <c r="G192">
        <v>2.66</v>
      </c>
      <c r="H192">
        <v>1.44</v>
      </c>
      <c r="I192">
        <v>3.52</v>
      </c>
    </row>
    <row r="193" spans="1:9" x14ac:dyDescent="0.25">
      <c r="A193" s="2">
        <v>41866</v>
      </c>
      <c r="B193">
        <v>1.91</v>
      </c>
      <c r="C193">
        <v>2.8</v>
      </c>
      <c r="E193">
        <v>3.69</v>
      </c>
      <c r="F193">
        <v>2.96</v>
      </c>
      <c r="G193">
        <v>2.8</v>
      </c>
      <c r="H193">
        <v>1.46</v>
      </c>
      <c r="I193">
        <v>3.62</v>
      </c>
    </row>
    <row r="194" spans="1:9" x14ac:dyDescent="0.25">
      <c r="A194" s="2">
        <v>41869</v>
      </c>
      <c r="B194">
        <v>2.13</v>
      </c>
      <c r="C194">
        <v>2.89</v>
      </c>
      <c r="E194">
        <v>3.8</v>
      </c>
      <c r="F194">
        <v>3.08</v>
      </c>
      <c r="G194">
        <v>2.97</v>
      </c>
      <c r="H194">
        <v>1.5</v>
      </c>
      <c r="I194">
        <v>3.7</v>
      </c>
    </row>
    <row r="195" spans="1:9" x14ac:dyDescent="0.25">
      <c r="A195" s="2">
        <v>41870</v>
      </c>
      <c r="B195">
        <v>2.2000000000000002</v>
      </c>
      <c r="C195">
        <v>2.94</v>
      </c>
      <c r="E195">
        <v>3.7</v>
      </c>
      <c r="F195">
        <v>3.18</v>
      </c>
      <c r="G195">
        <v>3.04</v>
      </c>
      <c r="H195">
        <v>1.55</v>
      </c>
      <c r="I195">
        <v>3.9</v>
      </c>
    </row>
    <row r="196" spans="1:9" x14ac:dyDescent="0.25">
      <c r="A196" s="2">
        <v>41871</v>
      </c>
      <c r="B196">
        <v>2.37</v>
      </c>
      <c r="C196">
        <v>3.02</v>
      </c>
      <c r="E196">
        <v>4.2300000000000004</v>
      </c>
      <c r="F196">
        <v>3.15</v>
      </c>
      <c r="G196">
        <v>3.24</v>
      </c>
      <c r="H196">
        <v>1.58</v>
      </c>
      <c r="I196">
        <v>4.1399999999999997</v>
      </c>
    </row>
    <row r="197" spans="1:9" x14ac:dyDescent="0.25">
      <c r="A197" s="2">
        <v>41872</v>
      </c>
      <c r="B197">
        <v>2.63</v>
      </c>
      <c r="C197">
        <v>3.1</v>
      </c>
      <c r="E197">
        <v>4.6100000000000003</v>
      </c>
      <c r="F197">
        <v>3.24</v>
      </c>
      <c r="G197">
        <v>3.56</v>
      </c>
      <c r="H197">
        <v>1.64</v>
      </c>
      <c r="I197">
        <v>4.22</v>
      </c>
    </row>
    <row r="198" spans="1:9" x14ac:dyDescent="0.25">
      <c r="A198" s="2">
        <v>41873</v>
      </c>
      <c r="B198">
        <v>2.65</v>
      </c>
      <c r="C198">
        <v>3.12</v>
      </c>
      <c r="E198">
        <v>4.6399999999999997</v>
      </c>
      <c r="F198">
        <v>3.17</v>
      </c>
      <c r="G198">
        <v>3.69</v>
      </c>
      <c r="H198">
        <v>1.66</v>
      </c>
      <c r="I198">
        <v>4.34</v>
      </c>
    </row>
    <row r="199" spans="1:9" x14ac:dyDescent="0.25">
      <c r="A199" s="2">
        <v>41876</v>
      </c>
      <c r="B199">
        <v>2.71</v>
      </c>
      <c r="C199">
        <v>3.13</v>
      </c>
      <c r="E199">
        <v>4.84</v>
      </c>
      <c r="F199">
        <v>3.19</v>
      </c>
      <c r="G199">
        <v>3.81</v>
      </c>
      <c r="H199">
        <v>1.65</v>
      </c>
      <c r="I199">
        <v>4.32</v>
      </c>
    </row>
    <row r="200" spans="1:9" x14ac:dyDescent="0.25">
      <c r="A200" s="2">
        <v>41877</v>
      </c>
      <c r="B200">
        <v>2.77</v>
      </c>
      <c r="C200">
        <v>3.2</v>
      </c>
      <c r="E200">
        <v>4.84</v>
      </c>
      <c r="F200">
        <v>3.22</v>
      </c>
      <c r="G200">
        <v>3.8</v>
      </c>
      <c r="H200">
        <v>1.59</v>
      </c>
      <c r="I200">
        <v>4.53</v>
      </c>
    </row>
    <row r="201" spans="1:9" x14ac:dyDescent="0.25">
      <c r="A201" s="2">
        <v>41878</v>
      </c>
      <c r="B201">
        <v>2.99</v>
      </c>
      <c r="C201">
        <v>3.22</v>
      </c>
      <c r="E201">
        <v>5.37</v>
      </c>
      <c r="F201">
        <v>3.37</v>
      </c>
      <c r="G201">
        <v>3.99</v>
      </c>
      <c r="H201">
        <v>1.66</v>
      </c>
      <c r="I201">
        <v>4.78</v>
      </c>
    </row>
    <row r="202" spans="1:9" x14ac:dyDescent="0.25">
      <c r="A202" s="2">
        <v>41879</v>
      </c>
      <c r="B202">
        <v>3.18</v>
      </c>
      <c r="C202">
        <v>3.29</v>
      </c>
      <c r="E202">
        <v>5.55</v>
      </c>
      <c r="F202">
        <v>3.44</v>
      </c>
      <c r="G202">
        <v>4.2699999999999996</v>
      </c>
      <c r="H202">
        <v>1.75</v>
      </c>
      <c r="I202">
        <v>4.92</v>
      </c>
    </row>
    <row r="203" spans="1:9" x14ac:dyDescent="0.25">
      <c r="A203" s="2">
        <v>41880</v>
      </c>
      <c r="B203">
        <v>3.24</v>
      </c>
      <c r="C203">
        <v>3.33</v>
      </c>
      <c r="E203">
        <v>5.58</v>
      </c>
      <c r="F203">
        <v>3.52</v>
      </c>
      <c r="G203">
        <v>4.33</v>
      </c>
      <c r="H203">
        <v>1.79</v>
      </c>
      <c r="I203">
        <v>4.79</v>
      </c>
    </row>
    <row r="204" spans="1:9" x14ac:dyDescent="0.25">
      <c r="A204" s="2">
        <v>41883</v>
      </c>
      <c r="B204">
        <v>3.08</v>
      </c>
      <c r="C204">
        <v>3.31</v>
      </c>
      <c r="E204">
        <v>5.39</v>
      </c>
      <c r="F204">
        <v>3.54</v>
      </c>
      <c r="G204">
        <v>4.1900000000000004</v>
      </c>
      <c r="H204">
        <v>1.79</v>
      </c>
      <c r="I204">
        <v>4.83</v>
      </c>
    </row>
    <row r="205" spans="1:9" x14ac:dyDescent="0.25">
      <c r="A205" s="2">
        <v>41884</v>
      </c>
      <c r="B205">
        <v>3.14</v>
      </c>
      <c r="C205">
        <v>3.34</v>
      </c>
      <c r="E205">
        <v>5.54</v>
      </c>
      <c r="F205">
        <v>3.55</v>
      </c>
      <c r="G205">
        <v>4.25</v>
      </c>
      <c r="H205">
        <v>1.82</v>
      </c>
      <c r="I205">
        <v>4.95</v>
      </c>
    </row>
    <row r="206" spans="1:9" x14ac:dyDescent="0.25">
      <c r="A206" s="2">
        <v>41885</v>
      </c>
      <c r="B206">
        <v>3.19</v>
      </c>
      <c r="C206">
        <v>3.35</v>
      </c>
      <c r="E206">
        <v>5.63</v>
      </c>
      <c r="F206">
        <v>3.57</v>
      </c>
      <c r="G206">
        <v>4.3600000000000003</v>
      </c>
      <c r="H206">
        <v>1.84</v>
      </c>
      <c r="I206">
        <v>4.93</v>
      </c>
    </row>
    <row r="207" spans="1:9" x14ac:dyDescent="0.25">
      <c r="A207" s="2">
        <v>41886</v>
      </c>
      <c r="B207">
        <v>3.14</v>
      </c>
      <c r="C207">
        <v>3.29</v>
      </c>
      <c r="E207">
        <v>5.57</v>
      </c>
      <c r="F207">
        <v>3.46</v>
      </c>
      <c r="G207">
        <v>4.34</v>
      </c>
      <c r="H207">
        <v>1.81</v>
      </c>
      <c r="I207">
        <v>5.16</v>
      </c>
    </row>
    <row r="208" spans="1:9" x14ac:dyDescent="0.25">
      <c r="A208" s="2">
        <v>41887</v>
      </c>
      <c r="B208">
        <v>3.46</v>
      </c>
      <c r="C208">
        <v>3.42</v>
      </c>
      <c r="E208">
        <v>5.89</v>
      </c>
      <c r="F208">
        <v>3.45</v>
      </c>
      <c r="G208">
        <v>4.6500000000000004</v>
      </c>
      <c r="H208">
        <v>1.92</v>
      </c>
      <c r="I208">
        <v>5.68</v>
      </c>
    </row>
    <row r="209" spans="1:9" x14ac:dyDescent="0.25">
      <c r="A209" s="2">
        <v>41890</v>
      </c>
      <c r="B209">
        <v>3.63</v>
      </c>
      <c r="C209">
        <v>3.62</v>
      </c>
      <c r="E209">
        <v>6.51</v>
      </c>
      <c r="F209">
        <v>3.63</v>
      </c>
      <c r="G209">
        <v>5.05</v>
      </c>
      <c r="H209">
        <v>2.0699999999999998</v>
      </c>
      <c r="I209">
        <v>5.62</v>
      </c>
    </row>
    <row r="210" spans="1:9" x14ac:dyDescent="0.25">
      <c r="A210" s="2">
        <v>41891</v>
      </c>
      <c r="B210">
        <v>3.64</v>
      </c>
      <c r="C210">
        <v>3.68</v>
      </c>
      <c r="E210">
        <v>6.37</v>
      </c>
      <c r="F210">
        <v>3.7</v>
      </c>
      <c r="G210">
        <v>5.1100000000000003</v>
      </c>
      <c r="H210">
        <v>2.17</v>
      </c>
      <c r="I210">
        <v>5.67</v>
      </c>
    </row>
    <row r="211" spans="1:9" x14ac:dyDescent="0.25">
      <c r="A211" s="2">
        <v>41892</v>
      </c>
      <c r="B211">
        <v>3.66</v>
      </c>
      <c r="C211">
        <v>3.71</v>
      </c>
      <c r="E211">
        <v>6.42</v>
      </c>
      <c r="F211">
        <v>3.66</v>
      </c>
      <c r="G211">
        <v>5.14</v>
      </c>
      <c r="H211">
        <v>2.2200000000000002</v>
      </c>
      <c r="I211">
        <v>5.43</v>
      </c>
    </row>
    <row r="212" spans="1:9" x14ac:dyDescent="0.25">
      <c r="A212" s="2">
        <v>41893</v>
      </c>
      <c r="B212">
        <v>3.42</v>
      </c>
      <c r="C212">
        <v>3.56</v>
      </c>
      <c r="E212">
        <v>6.08</v>
      </c>
      <c r="F212">
        <v>3.49</v>
      </c>
      <c r="G212">
        <v>5.0199999999999996</v>
      </c>
      <c r="H212">
        <v>2.19</v>
      </c>
      <c r="I212">
        <v>5.21</v>
      </c>
    </row>
    <row r="213" spans="1:9" x14ac:dyDescent="0.25">
      <c r="A213" s="2">
        <v>41894</v>
      </c>
      <c r="B213">
        <v>3.25</v>
      </c>
      <c r="C213">
        <v>3.49</v>
      </c>
      <c r="E213">
        <v>5.94</v>
      </c>
      <c r="F213">
        <v>3.53</v>
      </c>
      <c r="G213">
        <v>4.75</v>
      </c>
      <c r="H213">
        <v>2.13</v>
      </c>
      <c r="I213">
        <v>5.22</v>
      </c>
    </row>
    <row r="214" spans="1:9" x14ac:dyDescent="0.25">
      <c r="A214" s="2">
        <v>41897</v>
      </c>
      <c r="B214">
        <v>3.17</v>
      </c>
      <c r="C214">
        <v>3.46</v>
      </c>
      <c r="E214">
        <v>5.86</v>
      </c>
      <c r="F214">
        <v>3.5</v>
      </c>
      <c r="G214">
        <v>4.7699999999999996</v>
      </c>
      <c r="H214">
        <v>2.14</v>
      </c>
      <c r="I214">
        <v>5.04</v>
      </c>
    </row>
    <row r="215" spans="1:9" x14ac:dyDescent="0.25">
      <c r="A215" s="2">
        <v>41898</v>
      </c>
      <c r="B215">
        <v>3.07</v>
      </c>
      <c r="C215">
        <v>3.38</v>
      </c>
      <c r="E215">
        <v>5.64</v>
      </c>
      <c r="F215">
        <v>3.38</v>
      </c>
      <c r="G215">
        <v>4.6399999999999997</v>
      </c>
      <c r="H215">
        <v>2.13</v>
      </c>
      <c r="I215">
        <v>4.8899999999999997</v>
      </c>
    </row>
    <row r="216" spans="1:9" x14ac:dyDescent="0.25">
      <c r="A216" s="2">
        <v>41899</v>
      </c>
      <c r="B216">
        <v>2.93</v>
      </c>
      <c r="C216">
        <v>3.3</v>
      </c>
      <c r="E216">
        <v>5.37</v>
      </c>
      <c r="F216">
        <v>3.39</v>
      </c>
      <c r="G216">
        <v>4.5</v>
      </c>
      <c r="H216">
        <v>2.08</v>
      </c>
      <c r="I216">
        <v>5.01</v>
      </c>
    </row>
    <row r="217" spans="1:9" x14ac:dyDescent="0.25">
      <c r="A217" s="2">
        <v>41900</v>
      </c>
      <c r="B217">
        <v>2.88</v>
      </c>
      <c r="C217">
        <v>3.3</v>
      </c>
      <c r="E217">
        <v>5.55</v>
      </c>
      <c r="F217">
        <v>3.34</v>
      </c>
      <c r="G217">
        <v>4.43</v>
      </c>
      <c r="H217">
        <v>2.06</v>
      </c>
      <c r="I217">
        <v>5.04</v>
      </c>
    </row>
    <row r="218" spans="1:9" x14ac:dyDescent="0.25">
      <c r="A218" s="2">
        <v>41901</v>
      </c>
      <c r="B218">
        <v>3.12</v>
      </c>
      <c r="C218">
        <v>3.36</v>
      </c>
      <c r="E218">
        <v>5.67</v>
      </c>
      <c r="F218">
        <v>3.39</v>
      </c>
      <c r="G218">
        <v>4.6399999999999997</v>
      </c>
      <c r="H218">
        <v>2.1</v>
      </c>
      <c r="I218">
        <v>5.19</v>
      </c>
    </row>
    <row r="219" spans="1:9" x14ac:dyDescent="0.25">
      <c r="A219" s="2">
        <v>41904</v>
      </c>
      <c r="B219">
        <v>3.19</v>
      </c>
      <c r="C219">
        <v>3.39</v>
      </c>
      <c r="E219">
        <v>5.92</v>
      </c>
      <c r="F219">
        <v>3.32</v>
      </c>
      <c r="G219">
        <v>4.8</v>
      </c>
      <c r="H219">
        <v>2.0699999999999998</v>
      </c>
      <c r="I219">
        <v>5.24</v>
      </c>
    </row>
    <row r="220" spans="1:9" x14ac:dyDescent="0.25">
      <c r="A220" s="2">
        <v>41905</v>
      </c>
      <c r="B220">
        <v>3.34</v>
      </c>
      <c r="C220">
        <v>3.47</v>
      </c>
      <c r="E220">
        <v>6.05</v>
      </c>
      <c r="F220">
        <v>3.51</v>
      </c>
      <c r="G220">
        <v>4.96</v>
      </c>
      <c r="H220">
        <v>2.04</v>
      </c>
      <c r="I220">
        <v>5.18</v>
      </c>
    </row>
    <row r="221" spans="1:9" x14ac:dyDescent="0.25">
      <c r="A221" s="2">
        <v>41906</v>
      </c>
      <c r="B221">
        <v>3.17</v>
      </c>
      <c r="C221">
        <v>3.46</v>
      </c>
      <c r="E221">
        <v>5.74</v>
      </c>
      <c r="F221">
        <v>3.56</v>
      </c>
      <c r="G221">
        <v>4.7699999999999996</v>
      </c>
      <c r="H221">
        <v>2.06</v>
      </c>
      <c r="I221">
        <v>4.91</v>
      </c>
    </row>
    <row r="222" spans="1:9" x14ac:dyDescent="0.25">
      <c r="A222" s="2">
        <v>41907</v>
      </c>
      <c r="B222">
        <v>2.96</v>
      </c>
      <c r="C222">
        <v>3.5</v>
      </c>
      <c r="E222">
        <v>5.34</v>
      </c>
      <c r="F222">
        <v>3.52</v>
      </c>
      <c r="G222">
        <v>4.41</v>
      </c>
      <c r="H222">
        <v>2.15</v>
      </c>
      <c r="I222">
        <v>4.97</v>
      </c>
    </row>
    <row r="223" spans="1:9" x14ac:dyDescent="0.25">
      <c r="A223" s="2">
        <v>41908</v>
      </c>
      <c r="B223">
        <v>3</v>
      </c>
      <c r="C223">
        <v>3.6</v>
      </c>
      <c r="E223">
        <v>5.66</v>
      </c>
      <c r="F223">
        <v>3.54</v>
      </c>
      <c r="G223">
        <v>4.6100000000000003</v>
      </c>
      <c r="H223">
        <v>2.2200000000000002</v>
      </c>
      <c r="I223">
        <v>4.8899999999999997</v>
      </c>
    </row>
    <row r="224" spans="1:9" x14ac:dyDescent="0.25">
      <c r="A224" s="2">
        <v>41911</v>
      </c>
      <c r="B224">
        <v>2.99</v>
      </c>
      <c r="C224">
        <v>3.52</v>
      </c>
      <c r="E224">
        <v>5.31</v>
      </c>
      <c r="F224">
        <v>3.57</v>
      </c>
      <c r="G224">
        <v>4.6399999999999997</v>
      </c>
      <c r="H224">
        <v>2.23</v>
      </c>
      <c r="I224">
        <v>4.8600000000000003</v>
      </c>
    </row>
    <row r="225" spans="1:9" x14ac:dyDescent="0.25">
      <c r="A225" s="2">
        <v>41912</v>
      </c>
      <c r="B225">
        <v>2.77</v>
      </c>
      <c r="C225">
        <v>3.43</v>
      </c>
      <c r="E225">
        <v>5.31</v>
      </c>
      <c r="F225">
        <v>3.5</v>
      </c>
      <c r="G225">
        <v>4.4400000000000004</v>
      </c>
      <c r="H225">
        <v>2.2000000000000002</v>
      </c>
      <c r="I225">
        <v>4.68</v>
      </c>
    </row>
    <row r="226" spans="1:9" x14ac:dyDescent="0.25">
      <c r="A226" s="2">
        <v>41913</v>
      </c>
      <c r="B226">
        <v>2.74</v>
      </c>
      <c r="C226">
        <v>3.44</v>
      </c>
      <c r="E226">
        <v>5.07</v>
      </c>
      <c r="F226">
        <v>3.39</v>
      </c>
      <c r="G226">
        <v>4.43</v>
      </c>
      <c r="H226">
        <v>2.2400000000000002</v>
      </c>
      <c r="I226">
        <v>4.84</v>
      </c>
    </row>
    <row r="227" spans="1:9" x14ac:dyDescent="0.25">
      <c r="A227" s="2">
        <v>41914</v>
      </c>
      <c r="B227">
        <v>2.77</v>
      </c>
      <c r="C227">
        <v>3.39</v>
      </c>
      <c r="E227">
        <v>5.37</v>
      </c>
      <c r="F227">
        <v>3.44</v>
      </c>
      <c r="G227">
        <v>4.5999999999999996</v>
      </c>
      <c r="H227">
        <v>2.21</v>
      </c>
      <c r="I227">
        <v>4.62</v>
      </c>
    </row>
    <row r="228" spans="1:9" x14ac:dyDescent="0.25">
      <c r="A228" s="2">
        <v>41915</v>
      </c>
      <c r="B228">
        <v>2.72</v>
      </c>
      <c r="C228">
        <v>3.42</v>
      </c>
      <c r="E228">
        <v>5.0199999999999996</v>
      </c>
      <c r="F228">
        <v>3.58</v>
      </c>
      <c r="G228">
        <v>4.3600000000000003</v>
      </c>
      <c r="H228">
        <v>2.23</v>
      </c>
      <c r="I228">
        <v>4.09</v>
      </c>
    </row>
    <row r="229" spans="1:9" x14ac:dyDescent="0.25">
      <c r="A229" s="2">
        <v>41918</v>
      </c>
      <c r="B229">
        <v>2.4700000000000002</v>
      </c>
      <c r="C229">
        <v>3.41</v>
      </c>
      <c r="E229">
        <v>4.1500000000000004</v>
      </c>
      <c r="F229">
        <v>3.52</v>
      </c>
      <c r="G229">
        <v>3.84</v>
      </c>
      <c r="H229">
        <v>2.2200000000000002</v>
      </c>
      <c r="I229">
        <v>4.28</v>
      </c>
    </row>
    <row r="230" spans="1:9" x14ac:dyDescent="0.25">
      <c r="A230" s="2">
        <v>41919</v>
      </c>
      <c r="B230">
        <v>2.54</v>
      </c>
      <c r="C230">
        <v>3.52</v>
      </c>
      <c r="E230">
        <v>4.18</v>
      </c>
      <c r="F230">
        <v>3.51</v>
      </c>
      <c r="G230">
        <v>4.01</v>
      </c>
      <c r="H230">
        <v>2.27</v>
      </c>
      <c r="I230">
        <v>4.6100000000000003</v>
      </c>
    </row>
    <row r="231" spans="1:9" x14ac:dyDescent="0.25">
      <c r="A231" s="2">
        <v>41920</v>
      </c>
      <c r="B231">
        <v>2.5299999999999998</v>
      </c>
      <c r="C231">
        <v>3.52</v>
      </c>
      <c r="E231">
        <v>5.17</v>
      </c>
      <c r="F231">
        <v>3.63</v>
      </c>
      <c r="G231">
        <v>4.3</v>
      </c>
      <c r="H231">
        <v>2.25</v>
      </c>
      <c r="I231">
        <v>4.33</v>
      </c>
    </row>
    <row r="232" spans="1:9" x14ac:dyDescent="0.25">
      <c r="A232" s="2">
        <v>41921</v>
      </c>
      <c r="B232">
        <v>2.39</v>
      </c>
      <c r="C232">
        <v>3.53</v>
      </c>
      <c r="E232">
        <v>4.5599999999999996</v>
      </c>
      <c r="F232">
        <v>3.62</v>
      </c>
      <c r="G232">
        <v>3.92</v>
      </c>
      <c r="H232">
        <v>2.2400000000000002</v>
      </c>
      <c r="I232">
        <v>3.9</v>
      </c>
    </row>
    <row r="233" spans="1:9" x14ac:dyDescent="0.25">
      <c r="A233" s="2">
        <v>41922</v>
      </c>
      <c r="B233">
        <v>2.25</v>
      </c>
      <c r="C233">
        <v>3.52</v>
      </c>
      <c r="E233">
        <v>4.0999999999999996</v>
      </c>
      <c r="F233">
        <v>3.59</v>
      </c>
      <c r="G233">
        <v>3.47</v>
      </c>
      <c r="H233">
        <v>2.17</v>
      </c>
      <c r="I233">
        <v>4.08</v>
      </c>
    </row>
    <row r="234" spans="1:9" x14ac:dyDescent="0.25">
      <c r="A234" s="2">
        <v>41925</v>
      </c>
      <c r="B234">
        <v>2.3199999999999998</v>
      </c>
      <c r="C234">
        <v>3.62</v>
      </c>
      <c r="E234">
        <v>4.29</v>
      </c>
      <c r="F234">
        <v>3.65</v>
      </c>
      <c r="G234">
        <v>3.66</v>
      </c>
      <c r="H234">
        <v>2.33</v>
      </c>
      <c r="I234">
        <v>3.51</v>
      </c>
    </row>
    <row r="235" spans="1:9" x14ac:dyDescent="0.25">
      <c r="A235" s="2">
        <v>41926</v>
      </c>
      <c r="B235">
        <v>1.94</v>
      </c>
      <c r="C235">
        <v>3.58</v>
      </c>
      <c r="E235">
        <v>3.57</v>
      </c>
      <c r="F235">
        <v>3.6</v>
      </c>
      <c r="G235">
        <v>3.07</v>
      </c>
      <c r="H235">
        <v>2.3199999999999998</v>
      </c>
      <c r="I235">
        <v>3.27</v>
      </c>
    </row>
    <row r="236" spans="1:9" x14ac:dyDescent="0.25">
      <c r="A236" s="2">
        <v>41927</v>
      </c>
      <c r="B236">
        <v>1.93</v>
      </c>
      <c r="C236">
        <v>3.61</v>
      </c>
      <c r="E236">
        <v>3.33</v>
      </c>
      <c r="F236">
        <v>3.56</v>
      </c>
      <c r="G236">
        <v>2.67</v>
      </c>
      <c r="H236">
        <v>2.31</v>
      </c>
      <c r="I236">
        <v>3.12</v>
      </c>
    </row>
    <row r="237" spans="1:9" x14ac:dyDescent="0.25">
      <c r="A237" s="2">
        <v>41928</v>
      </c>
      <c r="B237">
        <v>1.73</v>
      </c>
      <c r="C237">
        <v>3.6</v>
      </c>
      <c r="E237">
        <v>3.34</v>
      </c>
      <c r="F237">
        <v>3.68</v>
      </c>
      <c r="G237">
        <v>2.4300000000000002</v>
      </c>
      <c r="H237">
        <v>2.31</v>
      </c>
      <c r="I237">
        <v>2.34</v>
      </c>
    </row>
    <row r="238" spans="1:9" x14ac:dyDescent="0.25">
      <c r="A238" s="2">
        <v>41929</v>
      </c>
      <c r="B238">
        <v>1.44</v>
      </c>
      <c r="C238">
        <v>3.5</v>
      </c>
      <c r="E238">
        <v>2.27</v>
      </c>
      <c r="F238">
        <v>3.68</v>
      </c>
      <c r="G238">
        <v>1.86</v>
      </c>
      <c r="H238">
        <v>2.29</v>
      </c>
      <c r="I238">
        <v>2.13</v>
      </c>
    </row>
    <row r="239" spans="1:9" x14ac:dyDescent="0.25">
      <c r="A239" s="2">
        <v>41932</v>
      </c>
      <c r="B239">
        <v>1.1399999999999999</v>
      </c>
      <c r="C239">
        <v>3.36</v>
      </c>
      <c r="E239">
        <v>2.04</v>
      </c>
      <c r="F239">
        <v>3.36</v>
      </c>
      <c r="G239">
        <v>1.39</v>
      </c>
      <c r="H239">
        <v>2.2200000000000002</v>
      </c>
      <c r="I239">
        <v>2.59</v>
      </c>
    </row>
    <row r="240" spans="1:9" x14ac:dyDescent="0.25">
      <c r="A240" s="2">
        <v>41933</v>
      </c>
      <c r="B240">
        <v>1.55</v>
      </c>
      <c r="C240">
        <v>3.38</v>
      </c>
      <c r="E240">
        <v>2.93</v>
      </c>
      <c r="F240">
        <v>3.44</v>
      </c>
      <c r="G240">
        <v>2.1</v>
      </c>
      <c r="H240">
        <v>2.27</v>
      </c>
      <c r="I240">
        <v>2.71</v>
      </c>
    </row>
    <row r="241" spans="1:9" x14ac:dyDescent="0.25">
      <c r="A241" s="2">
        <v>41934</v>
      </c>
      <c r="B241">
        <v>1.6</v>
      </c>
      <c r="C241">
        <v>3.43</v>
      </c>
      <c r="E241">
        <v>2.89</v>
      </c>
      <c r="F241">
        <v>3.54</v>
      </c>
      <c r="G241">
        <v>2.35</v>
      </c>
      <c r="H241">
        <v>2.3199999999999998</v>
      </c>
      <c r="I241">
        <v>3.26</v>
      </c>
    </row>
    <row r="242" spans="1:9" x14ac:dyDescent="0.25">
      <c r="A242" s="2">
        <v>41935</v>
      </c>
      <c r="B242">
        <v>1.91</v>
      </c>
      <c r="C242">
        <v>3.5</v>
      </c>
      <c r="E242">
        <v>3.69</v>
      </c>
      <c r="F242">
        <v>3.57</v>
      </c>
      <c r="G242">
        <v>3.06</v>
      </c>
      <c r="H242">
        <v>2.37</v>
      </c>
      <c r="I242">
        <v>3.7</v>
      </c>
    </row>
    <row r="243" spans="1:9" x14ac:dyDescent="0.25">
      <c r="A243" s="2">
        <v>41936</v>
      </c>
      <c r="B243">
        <v>2.12</v>
      </c>
      <c r="C243">
        <v>3.56</v>
      </c>
      <c r="E243">
        <v>4.13</v>
      </c>
      <c r="F243">
        <v>3.68</v>
      </c>
      <c r="G243">
        <v>3.52</v>
      </c>
      <c r="H243">
        <v>2.4</v>
      </c>
      <c r="I243">
        <v>3.83</v>
      </c>
    </row>
    <row r="244" spans="1:9" x14ac:dyDescent="0.25">
      <c r="A244" s="2">
        <v>41939</v>
      </c>
      <c r="B244">
        <v>2.13</v>
      </c>
      <c r="C244">
        <v>3.54</v>
      </c>
      <c r="E244">
        <v>4.3099999999999996</v>
      </c>
      <c r="F244">
        <v>3.65</v>
      </c>
      <c r="G244">
        <v>3.63</v>
      </c>
      <c r="H244">
        <v>2.4</v>
      </c>
      <c r="I244">
        <v>3.94</v>
      </c>
    </row>
    <row r="245" spans="1:9" x14ac:dyDescent="0.25">
      <c r="A245" s="2">
        <v>41940</v>
      </c>
      <c r="B245">
        <v>2.14</v>
      </c>
      <c r="C245">
        <v>3.55</v>
      </c>
      <c r="E245">
        <v>4.3</v>
      </c>
      <c r="F245">
        <v>3.67</v>
      </c>
      <c r="G245">
        <v>3.73</v>
      </c>
      <c r="H245">
        <v>2.4</v>
      </c>
      <c r="I245">
        <v>3.81</v>
      </c>
    </row>
    <row r="246" spans="1:9" x14ac:dyDescent="0.25">
      <c r="A246" s="2">
        <v>41941</v>
      </c>
      <c r="B246">
        <v>2.0699999999999998</v>
      </c>
      <c r="C246">
        <v>3.48</v>
      </c>
      <c r="E246">
        <v>4.07</v>
      </c>
      <c r="F246">
        <v>3.74</v>
      </c>
      <c r="G246">
        <v>3.64</v>
      </c>
      <c r="H246">
        <v>2.35</v>
      </c>
      <c r="I246">
        <v>4.16</v>
      </c>
    </row>
    <row r="247" spans="1:9" x14ac:dyDescent="0.25">
      <c r="A247" s="2">
        <v>41942</v>
      </c>
      <c r="B247">
        <v>2.25</v>
      </c>
      <c r="C247">
        <v>3.57</v>
      </c>
      <c r="E247">
        <v>4.46</v>
      </c>
      <c r="F247">
        <v>3.69</v>
      </c>
      <c r="G247">
        <v>3.84</v>
      </c>
      <c r="H247">
        <v>2.34</v>
      </c>
      <c r="I247">
        <v>4.3600000000000003</v>
      </c>
    </row>
    <row r="248" spans="1:9" x14ac:dyDescent="0.25">
      <c r="A248" s="2">
        <v>41943</v>
      </c>
      <c r="B248">
        <v>2.5099999999999998</v>
      </c>
      <c r="C248">
        <v>3.71</v>
      </c>
      <c r="E248">
        <v>4.7</v>
      </c>
      <c r="F248">
        <v>3.7</v>
      </c>
      <c r="G248">
        <v>4.18</v>
      </c>
      <c r="H248">
        <v>2.41</v>
      </c>
      <c r="I248">
        <v>4.63</v>
      </c>
    </row>
    <row r="249" spans="1:9" x14ac:dyDescent="0.25">
      <c r="A249" s="2">
        <v>41946</v>
      </c>
      <c r="B249">
        <v>2.5499999999999998</v>
      </c>
      <c r="C249">
        <v>3.81</v>
      </c>
      <c r="E249">
        <v>5.1100000000000003</v>
      </c>
      <c r="F249">
        <v>3.8</v>
      </c>
      <c r="G249">
        <v>4.5199999999999996</v>
      </c>
      <c r="H249">
        <v>2.66</v>
      </c>
      <c r="I249">
        <v>5.34</v>
      </c>
    </row>
    <row r="250" spans="1:9" x14ac:dyDescent="0.25">
      <c r="A250" s="2">
        <v>41947</v>
      </c>
      <c r="B250">
        <v>2.97</v>
      </c>
      <c r="C250">
        <v>3.88</v>
      </c>
      <c r="E250">
        <v>6.01</v>
      </c>
      <c r="F250">
        <v>3.88</v>
      </c>
      <c r="G250">
        <v>5.18</v>
      </c>
      <c r="H250">
        <v>2.7</v>
      </c>
      <c r="I250">
        <v>5.64</v>
      </c>
    </row>
    <row r="251" spans="1:9" x14ac:dyDescent="0.25">
      <c r="A251" s="2">
        <v>41948</v>
      </c>
      <c r="B251">
        <v>2.83</v>
      </c>
      <c r="C251">
        <v>3.82</v>
      </c>
      <c r="E251">
        <v>5.9</v>
      </c>
      <c r="F251">
        <v>3.87</v>
      </c>
      <c r="G251">
        <v>5.18</v>
      </c>
      <c r="H251">
        <v>2.68</v>
      </c>
      <c r="I251">
        <v>5.34</v>
      </c>
    </row>
    <row r="252" spans="1:9" x14ac:dyDescent="0.25">
      <c r="A252" s="2">
        <v>41949</v>
      </c>
      <c r="B252">
        <v>2.79</v>
      </c>
      <c r="C252">
        <v>3.8</v>
      </c>
      <c r="E252">
        <v>5.49</v>
      </c>
      <c r="F252">
        <v>3.89</v>
      </c>
      <c r="G252">
        <v>4.95</v>
      </c>
      <c r="H252">
        <v>2.69</v>
      </c>
      <c r="I252">
        <v>5.57</v>
      </c>
    </row>
    <row r="253" spans="1:9" x14ac:dyDescent="0.25">
      <c r="A253" s="2">
        <v>41950</v>
      </c>
      <c r="B253">
        <v>2.8</v>
      </c>
      <c r="C253">
        <v>3.91</v>
      </c>
      <c r="E253">
        <v>5.94</v>
      </c>
      <c r="F253">
        <v>3.88</v>
      </c>
      <c r="G253">
        <v>5.03</v>
      </c>
      <c r="H253">
        <v>2.64</v>
      </c>
      <c r="I253">
        <v>5.69</v>
      </c>
    </row>
    <row r="254" spans="1:9" x14ac:dyDescent="0.25">
      <c r="A254" s="2">
        <v>41953</v>
      </c>
      <c r="B254">
        <v>2.87</v>
      </c>
      <c r="C254">
        <v>3.97</v>
      </c>
      <c r="E254">
        <v>6.16</v>
      </c>
      <c r="F254">
        <v>3.92</v>
      </c>
      <c r="G254">
        <v>5.24</v>
      </c>
      <c r="H254">
        <v>2.77</v>
      </c>
      <c r="I254">
        <v>5.66</v>
      </c>
    </row>
    <row r="255" spans="1:9" x14ac:dyDescent="0.25">
      <c r="A255" s="2">
        <v>41954</v>
      </c>
      <c r="B255">
        <v>2.8</v>
      </c>
      <c r="C255">
        <v>3.93</v>
      </c>
      <c r="E255">
        <v>6.12</v>
      </c>
      <c r="F255">
        <v>3.93</v>
      </c>
      <c r="G255">
        <v>5.19</v>
      </c>
      <c r="H255">
        <v>2.71</v>
      </c>
      <c r="I255">
        <v>5.73</v>
      </c>
    </row>
    <row r="256" spans="1:9" x14ac:dyDescent="0.25">
      <c r="A256" s="2">
        <v>41955</v>
      </c>
      <c r="B256">
        <v>2.92</v>
      </c>
      <c r="C256">
        <v>3.97</v>
      </c>
      <c r="E256">
        <v>6.34</v>
      </c>
      <c r="F256">
        <v>3.95</v>
      </c>
      <c r="G256">
        <v>5.34</v>
      </c>
      <c r="H256">
        <v>2.78</v>
      </c>
      <c r="I256">
        <v>5.75</v>
      </c>
    </row>
    <row r="257" spans="1:9" x14ac:dyDescent="0.25">
      <c r="A257" s="2">
        <v>41956</v>
      </c>
      <c r="B257">
        <v>2.94</v>
      </c>
      <c r="C257">
        <v>3.98</v>
      </c>
      <c r="E257">
        <v>6.32</v>
      </c>
      <c r="F257">
        <v>3.94</v>
      </c>
      <c r="G257">
        <v>5.49</v>
      </c>
      <c r="H257">
        <v>2.78</v>
      </c>
      <c r="I257">
        <v>5.7</v>
      </c>
    </row>
    <row r="258" spans="1:9" x14ac:dyDescent="0.25">
      <c r="A258" s="2">
        <v>41957</v>
      </c>
      <c r="B258">
        <v>2.85</v>
      </c>
      <c r="C258">
        <v>4.0199999999999996</v>
      </c>
      <c r="E258">
        <v>6.21</v>
      </c>
      <c r="F258">
        <v>3.99</v>
      </c>
      <c r="G258">
        <v>5.34</v>
      </c>
      <c r="H258">
        <v>2.79</v>
      </c>
      <c r="I258">
        <v>5.72</v>
      </c>
    </row>
    <row r="259" spans="1:9" x14ac:dyDescent="0.25">
      <c r="A259" s="2">
        <v>41962</v>
      </c>
      <c r="B259">
        <v>2.91</v>
      </c>
      <c r="C259">
        <v>3.99</v>
      </c>
      <c r="E259">
        <v>6.15</v>
      </c>
      <c r="F259">
        <v>3.98</v>
      </c>
      <c r="G259">
        <v>5.37</v>
      </c>
      <c r="H259">
        <v>2.79</v>
      </c>
      <c r="I259">
        <v>5.77</v>
      </c>
    </row>
    <row r="260" spans="1:9" x14ac:dyDescent="0.25">
      <c r="A260" s="2">
        <v>41963</v>
      </c>
      <c r="B260">
        <v>3</v>
      </c>
      <c r="C260">
        <v>3.85</v>
      </c>
      <c r="E260">
        <v>6.23</v>
      </c>
      <c r="F260">
        <v>3.89</v>
      </c>
      <c r="G260">
        <v>5.34</v>
      </c>
      <c r="H260">
        <v>2.74</v>
      </c>
      <c r="I260">
        <v>5.93</v>
      </c>
    </row>
    <row r="261" spans="1:9" x14ac:dyDescent="0.25">
      <c r="A261" s="2">
        <v>41964</v>
      </c>
      <c r="B261">
        <v>3.03</v>
      </c>
      <c r="C261">
        <v>3.81</v>
      </c>
      <c r="E261">
        <v>6.01</v>
      </c>
      <c r="F261">
        <v>3.78</v>
      </c>
      <c r="G261">
        <v>5.35</v>
      </c>
      <c r="H261">
        <v>2.75</v>
      </c>
      <c r="I261">
        <v>5.98</v>
      </c>
    </row>
    <row r="262" spans="1:9" x14ac:dyDescent="0.25">
      <c r="A262" s="2">
        <v>41967</v>
      </c>
      <c r="B262">
        <v>3.15</v>
      </c>
      <c r="C262">
        <v>3.94</v>
      </c>
      <c r="E262">
        <v>7.14</v>
      </c>
      <c r="F262">
        <v>4.03</v>
      </c>
      <c r="G262">
        <v>5.37</v>
      </c>
      <c r="H262">
        <v>2.83</v>
      </c>
      <c r="I262">
        <v>6.6</v>
      </c>
    </row>
    <row r="263" spans="1:9" x14ac:dyDescent="0.25">
      <c r="A263" s="2">
        <v>41968</v>
      </c>
      <c r="B263">
        <v>3.64</v>
      </c>
      <c r="C263">
        <v>4.05</v>
      </c>
      <c r="E263">
        <v>7.14</v>
      </c>
      <c r="F263">
        <v>4.03</v>
      </c>
      <c r="G263">
        <v>6.15</v>
      </c>
      <c r="H263">
        <v>2.89</v>
      </c>
      <c r="I263">
        <v>6.7</v>
      </c>
    </row>
    <row r="264" spans="1:9" x14ac:dyDescent="0.25">
      <c r="A264" s="2">
        <v>41969</v>
      </c>
      <c r="B264">
        <v>3.74</v>
      </c>
      <c r="C264">
        <v>4.05</v>
      </c>
      <c r="E264">
        <v>7.14</v>
      </c>
      <c r="F264">
        <v>4.07</v>
      </c>
      <c r="G264">
        <v>6.21</v>
      </c>
      <c r="H264">
        <v>2.9</v>
      </c>
      <c r="I264">
        <v>6.72</v>
      </c>
    </row>
    <row r="265" spans="1:9" x14ac:dyDescent="0.25">
      <c r="A265" s="2">
        <v>41970</v>
      </c>
      <c r="B265">
        <v>3.8</v>
      </c>
      <c r="C265">
        <v>4.0599999999999996</v>
      </c>
      <c r="E265">
        <v>7.1</v>
      </c>
      <c r="F265">
        <v>4.1100000000000003</v>
      </c>
      <c r="G265">
        <v>6.2</v>
      </c>
      <c r="H265">
        <v>2.86</v>
      </c>
      <c r="I265">
        <v>6.8</v>
      </c>
    </row>
    <row r="266" spans="1:9" x14ac:dyDescent="0.25">
      <c r="A266" s="2">
        <v>41971</v>
      </c>
      <c r="B266">
        <v>3.8</v>
      </c>
      <c r="C266">
        <v>4.0599999999999996</v>
      </c>
      <c r="E266">
        <v>7.19</v>
      </c>
      <c r="F266">
        <v>4.1500000000000004</v>
      </c>
      <c r="G266">
        <v>6.21</v>
      </c>
      <c r="H266">
        <v>2.86</v>
      </c>
      <c r="I266">
        <v>6.89</v>
      </c>
    </row>
    <row r="267" spans="1:9" x14ac:dyDescent="0.25">
      <c r="A267" s="2">
        <v>41974</v>
      </c>
      <c r="B267">
        <v>3.79</v>
      </c>
      <c r="C267">
        <v>4.03</v>
      </c>
      <c r="E267">
        <v>7.26</v>
      </c>
      <c r="F267">
        <v>4.18</v>
      </c>
      <c r="G267">
        <v>6.29</v>
      </c>
      <c r="H267">
        <v>2.89</v>
      </c>
      <c r="I267">
        <v>6.89</v>
      </c>
    </row>
    <row r="268" spans="1:9" x14ac:dyDescent="0.25">
      <c r="A268" s="2">
        <v>41975</v>
      </c>
      <c r="B268">
        <v>3.7</v>
      </c>
      <c r="C268">
        <v>4.0199999999999996</v>
      </c>
      <c r="E268">
        <v>7.19</v>
      </c>
      <c r="F268">
        <v>4.18</v>
      </c>
      <c r="G268">
        <v>6.23</v>
      </c>
      <c r="H268">
        <v>2.91</v>
      </c>
      <c r="I268">
        <v>6.55</v>
      </c>
    </row>
    <row r="269" spans="1:9" x14ac:dyDescent="0.25">
      <c r="A269" s="2">
        <v>41976</v>
      </c>
      <c r="B269">
        <v>3.51</v>
      </c>
      <c r="C269">
        <v>3.92</v>
      </c>
      <c r="E269">
        <v>6.56</v>
      </c>
      <c r="F269">
        <v>4.05</v>
      </c>
      <c r="G269">
        <v>5.87</v>
      </c>
      <c r="H269">
        <v>2.92</v>
      </c>
      <c r="I269">
        <v>6.75</v>
      </c>
    </row>
    <row r="270" spans="1:9" x14ac:dyDescent="0.25">
      <c r="A270" s="2">
        <v>41977</v>
      </c>
      <c r="B270">
        <v>3.52</v>
      </c>
      <c r="C270">
        <v>3.89</v>
      </c>
      <c r="E270">
        <v>6.88</v>
      </c>
      <c r="F270">
        <v>3.96</v>
      </c>
      <c r="G270">
        <v>6.02</v>
      </c>
      <c r="H270">
        <v>2.97</v>
      </c>
      <c r="I270">
        <v>7</v>
      </c>
    </row>
    <row r="271" spans="1:9" x14ac:dyDescent="0.25">
      <c r="A271" s="2">
        <v>41978</v>
      </c>
      <c r="B271">
        <v>3.55</v>
      </c>
      <c r="C271">
        <v>3.86</v>
      </c>
      <c r="E271">
        <v>7.29</v>
      </c>
      <c r="F271">
        <v>4.01</v>
      </c>
      <c r="G271">
        <v>6.34</v>
      </c>
      <c r="H271">
        <v>3</v>
      </c>
      <c r="I271">
        <v>6.73</v>
      </c>
    </row>
    <row r="272" spans="1:9" x14ac:dyDescent="0.25">
      <c r="A272" s="2">
        <v>41981</v>
      </c>
      <c r="B272">
        <v>3.55</v>
      </c>
      <c r="C272">
        <v>3.79</v>
      </c>
      <c r="E272">
        <v>6.73</v>
      </c>
      <c r="F272">
        <v>3.92</v>
      </c>
      <c r="G272">
        <v>6.09</v>
      </c>
      <c r="H272">
        <v>2.94</v>
      </c>
      <c r="I272">
        <v>6.98</v>
      </c>
    </row>
    <row r="273" spans="1:9" x14ac:dyDescent="0.25">
      <c r="A273" s="2">
        <v>41982</v>
      </c>
      <c r="B273">
        <v>3.59</v>
      </c>
      <c r="C273">
        <v>3.83</v>
      </c>
      <c r="E273">
        <v>7.35</v>
      </c>
      <c r="F273">
        <v>3.96</v>
      </c>
      <c r="G273">
        <v>6.43</v>
      </c>
      <c r="H273">
        <v>3.03</v>
      </c>
      <c r="I273">
        <v>6.97</v>
      </c>
    </row>
    <row r="274" spans="1:9" x14ac:dyDescent="0.25">
      <c r="A274" s="2">
        <v>41983</v>
      </c>
      <c r="B274">
        <v>3.37</v>
      </c>
      <c r="C274">
        <v>3.67</v>
      </c>
      <c r="E274">
        <v>7.12</v>
      </c>
      <c r="F274">
        <v>4.01</v>
      </c>
      <c r="G274">
        <v>6.15</v>
      </c>
      <c r="H274">
        <v>2.94</v>
      </c>
      <c r="I274">
        <v>6.28</v>
      </c>
    </row>
    <row r="275" spans="1:9" x14ac:dyDescent="0.25">
      <c r="A275" s="2">
        <v>41984</v>
      </c>
      <c r="B275">
        <v>2.99</v>
      </c>
      <c r="C275">
        <v>3.51</v>
      </c>
      <c r="E275">
        <v>6.06</v>
      </c>
      <c r="F275">
        <v>3.87</v>
      </c>
      <c r="G275">
        <v>5.35</v>
      </c>
      <c r="H275">
        <v>2.86</v>
      </c>
      <c r="I275">
        <v>5.98</v>
      </c>
    </row>
    <row r="276" spans="1:9" x14ac:dyDescent="0.25">
      <c r="A276" s="2">
        <v>41985</v>
      </c>
      <c r="B276">
        <v>2.74</v>
      </c>
      <c r="C276">
        <v>3.37</v>
      </c>
      <c r="E276">
        <v>5.79</v>
      </c>
      <c r="F276">
        <v>3.77</v>
      </c>
      <c r="G276">
        <v>5</v>
      </c>
      <c r="H276">
        <v>2.79</v>
      </c>
      <c r="I276">
        <v>5.87</v>
      </c>
    </row>
    <row r="277" spans="1:9" x14ac:dyDescent="0.25">
      <c r="A277" s="2">
        <v>41988</v>
      </c>
      <c r="B277">
        <v>2.5</v>
      </c>
      <c r="C277">
        <v>3.24</v>
      </c>
      <c r="E277">
        <v>5.88</v>
      </c>
      <c r="F277">
        <v>3.72</v>
      </c>
      <c r="G277">
        <v>4.7300000000000004</v>
      </c>
      <c r="H277">
        <v>2.76</v>
      </c>
      <c r="I277">
        <v>5.36</v>
      </c>
    </row>
    <row r="278" spans="1:9" x14ac:dyDescent="0.25">
      <c r="A278" s="2">
        <v>41989</v>
      </c>
      <c r="B278">
        <v>2.23</v>
      </c>
      <c r="C278">
        <v>3.04</v>
      </c>
      <c r="E278">
        <v>4.82</v>
      </c>
      <c r="F278">
        <v>3.61</v>
      </c>
      <c r="G278">
        <v>4.13</v>
      </c>
      <c r="H278">
        <v>2.7</v>
      </c>
      <c r="I278">
        <v>4.84</v>
      </c>
    </row>
    <row r="279" spans="1:9" x14ac:dyDescent="0.25">
      <c r="A279" s="2">
        <v>41990</v>
      </c>
      <c r="B279">
        <v>1.39</v>
      </c>
      <c r="C279">
        <v>2.39</v>
      </c>
      <c r="E279">
        <v>3.91</v>
      </c>
      <c r="F279">
        <v>3.43</v>
      </c>
      <c r="G279">
        <v>3.42</v>
      </c>
      <c r="H279">
        <v>2.54</v>
      </c>
      <c r="I279">
        <v>4.51</v>
      </c>
    </row>
    <row r="280" spans="1:9" x14ac:dyDescent="0.25">
      <c r="A280" s="2">
        <v>41991</v>
      </c>
      <c r="B280">
        <v>1.0900000000000001</v>
      </c>
      <c r="C280">
        <v>2.2000000000000002</v>
      </c>
      <c r="E280">
        <v>4.26</v>
      </c>
      <c r="F280">
        <v>3.26</v>
      </c>
      <c r="G280">
        <v>2.64</v>
      </c>
      <c r="H280">
        <v>2.4900000000000002</v>
      </c>
      <c r="I280">
        <v>4.7300000000000004</v>
      </c>
    </row>
    <row r="281" spans="1:9" x14ac:dyDescent="0.25">
      <c r="A281" s="2">
        <v>41992</v>
      </c>
      <c r="B281">
        <v>1.72</v>
      </c>
      <c r="C281">
        <v>2.59</v>
      </c>
      <c r="E281">
        <v>4.4400000000000004</v>
      </c>
      <c r="F281">
        <v>3.48</v>
      </c>
      <c r="G281">
        <v>3.11</v>
      </c>
      <c r="H281">
        <v>2.6</v>
      </c>
      <c r="I281">
        <v>5.43</v>
      </c>
    </row>
    <row r="282" spans="1:9" x14ac:dyDescent="0.25">
      <c r="A282" s="2">
        <v>41995</v>
      </c>
      <c r="B282">
        <v>2.33</v>
      </c>
      <c r="C282">
        <v>2.8</v>
      </c>
      <c r="E282">
        <v>5.74</v>
      </c>
      <c r="F282">
        <v>3.46</v>
      </c>
      <c r="G282">
        <v>4.53</v>
      </c>
      <c r="H282">
        <v>2.69</v>
      </c>
    </row>
    <row r="283" spans="1:9" x14ac:dyDescent="0.25">
      <c r="A283" s="2">
        <v>41996</v>
      </c>
      <c r="B283">
        <v>2.58</v>
      </c>
      <c r="C283">
        <v>3.04</v>
      </c>
      <c r="E283">
        <v>6.37</v>
      </c>
      <c r="F283">
        <v>3.61</v>
      </c>
      <c r="G283">
        <v>5</v>
      </c>
      <c r="H283">
        <v>2.79</v>
      </c>
      <c r="I283">
        <v>5.99</v>
      </c>
    </row>
    <row r="284" spans="1:9" x14ac:dyDescent="0.25">
      <c r="A284" s="2">
        <v>42002</v>
      </c>
      <c r="B284">
        <v>2.86</v>
      </c>
      <c r="C284">
        <v>3.14</v>
      </c>
      <c r="E284">
        <v>6.65</v>
      </c>
      <c r="F284">
        <v>3.71</v>
      </c>
      <c r="G284">
        <v>5.4</v>
      </c>
      <c r="H284">
        <v>2.83</v>
      </c>
      <c r="I284">
        <v>6.22</v>
      </c>
    </row>
    <row r="285" spans="1:9" x14ac:dyDescent="0.25">
      <c r="A285" s="2">
        <v>42003</v>
      </c>
      <c r="B285">
        <v>2.82</v>
      </c>
      <c r="C285">
        <v>3.13</v>
      </c>
      <c r="E285">
        <v>6.96</v>
      </c>
      <c r="F285">
        <v>3.75</v>
      </c>
      <c r="G285">
        <v>5.61</v>
      </c>
      <c r="H285">
        <v>2.89</v>
      </c>
      <c r="I285">
        <v>6.29</v>
      </c>
    </row>
    <row r="286" spans="1:9" x14ac:dyDescent="0.25">
      <c r="A286" s="2">
        <v>42004</v>
      </c>
      <c r="B286">
        <v>2.99</v>
      </c>
      <c r="C286">
        <v>3.25</v>
      </c>
      <c r="E286">
        <v>7.07</v>
      </c>
      <c r="F286">
        <v>3.88</v>
      </c>
      <c r="G286">
        <v>5.63</v>
      </c>
      <c r="H286">
        <v>2.89</v>
      </c>
      <c r="I286">
        <v>6.22</v>
      </c>
    </row>
    <row r="287" spans="1:9" x14ac:dyDescent="0.25">
      <c r="A287" s="2">
        <v>42009</v>
      </c>
      <c r="B287">
        <v>2.96</v>
      </c>
      <c r="C287">
        <v>3.23</v>
      </c>
      <c r="E287">
        <v>7.26</v>
      </c>
      <c r="F287">
        <v>3.84</v>
      </c>
      <c r="G287">
        <v>5.64</v>
      </c>
      <c r="H287">
        <v>2.89</v>
      </c>
      <c r="I287">
        <v>6.17</v>
      </c>
    </row>
    <row r="288" spans="1:9" x14ac:dyDescent="0.25">
      <c r="A288" s="2">
        <v>42010</v>
      </c>
      <c r="B288">
        <v>2.91</v>
      </c>
      <c r="C288">
        <v>3.41</v>
      </c>
      <c r="E288">
        <v>7.07</v>
      </c>
      <c r="F288">
        <v>4.05</v>
      </c>
      <c r="G288">
        <v>5.7</v>
      </c>
      <c r="H288">
        <v>3.11</v>
      </c>
    </row>
    <row r="289" spans="1:9" x14ac:dyDescent="0.25">
      <c r="A289" s="2">
        <v>42011</v>
      </c>
      <c r="B289">
        <v>2.5099999999999998</v>
      </c>
      <c r="C289">
        <v>3.34</v>
      </c>
      <c r="E289">
        <v>6.45</v>
      </c>
      <c r="F289">
        <v>4.0599999999999996</v>
      </c>
      <c r="G289">
        <v>5.47</v>
      </c>
      <c r="H289">
        <v>3.19</v>
      </c>
      <c r="I289">
        <v>5.73</v>
      </c>
    </row>
    <row r="290" spans="1:9" x14ac:dyDescent="0.25">
      <c r="A290" s="2">
        <v>42012</v>
      </c>
      <c r="B290">
        <v>2.4</v>
      </c>
      <c r="C290">
        <v>3.39</v>
      </c>
      <c r="E290">
        <v>6.04</v>
      </c>
      <c r="F290">
        <v>4.08</v>
      </c>
      <c r="G290">
        <v>5.2</v>
      </c>
      <c r="H290">
        <v>3.35</v>
      </c>
      <c r="I290">
        <v>5.99</v>
      </c>
    </row>
    <row r="291" spans="1:9" x14ac:dyDescent="0.25">
      <c r="A291" s="2">
        <v>42013</v>
      </c>
      <c r="B291">
        <v>2.5499999999999998</v>
      </c>
      <c r="C291">
        <v>3.53</v>
      </c>
      <c r="E291">
        <v>6.65</v>
      </c>
      <c r="F291">
        <v>4.13</v>
      </c>
      <c r="G291">
        <v>5.52</v>
      </c>
      <c r="H291">
        <v>3.5</v>
      </c>
      <c r="I291">
        <v>6.46</v>
      </c>
    </row>
    <row r="292" spans="1:9" x14ac:dyDescent="0.25">
      <c r="A292" s="2">
        <v>42016</v>
      </c>
      <c r="B292">
        <v>2.95</v>
      </c>
      <c r="C292">
        <v>3.59</v>
      </c>
      <c r="E292">
        <v>7.77</v>
      </c>
      <c r="F292">
        <v>4.3499999999999996</v>
      </c>
      <c r="G292">
        <v>6.3</v>
      </c>
      <c r="H292">
        <v>3.51</v>
      </c>
      <c r="I292">
        <v>6.45</v>
      </c>
    </row>
    <row r="293" spans="1:9" x14ac:dyDescent="0.25">
      <c r="A293" s="2">
        <v>42017</v>
      </c>
      <c r="B293">
        <v>3.14</v>
      </c>
      <c r="C293">
        <v>3.66</v>
      </c>
      <c r="E293">
        <v>7.39</v>
      </c>
      <c r="F293">
        <v>4.58</v>
      </c>
      <c r="G293">
        <v>6.37</v>
      </c>
      <c r="H293">
        <v>3.59</v>
      </c>
      <c r="I293">
        <v>6.45</v>
      </c>
    </row>
    <row r="294" spans="1:9" x14ac:dyDescent="0.25">
      <c r="A294" s="2">
        <v>42018</v>
      </c>
      <c r="B294">
        <v>3.16</v>
      </c>
      <c r="C294">
        <v>3.69</v>
      </c>
      <c r="E294">
        <v>7.39</v>
      </c>
      <c r="F294">
        <v>4.5999999999999996</v>
      </c>
      <c r="G294">
        <v>6.19</v>
      </c>
      <c r="H294">
        <v>3.65</v>
      </c>
      <c r="I294">
        <v>6.9</v>
      </c>
    </row>
    <row r="295" spans="1:9" x14ac:dyDescent="0.25">
      <c r="A295" s="2">
        <v>42019</v>
      </c>
      <c r="B295">
        <v>3.51</v>
      </c>
      <c r="C295">
        <v>3.78</v>
      </c>
      <c r="E295">
        <v>7.96</v>
      </c>
      <c r="F295">
        <v>4.6399999999999997</v>
      </c>
      <c r="G295">
        <v>6.5</v>
      </c>
      <c r="H295">
        <v>3.68</v>
      </c>
      <c r="I295">
        <v>6.58</v>
      </c>
    </row>
    <row r="296" spans="1:9" x14ac:dyDescent="0.25">
      <c r="A296" s="2">
        <v>42020</v>
      </c>
      <c r="B296">
        <v>3.4</v>
      </c>
      <c r="C296">
        <v>3.92</v>
      </c>
      <c r="E296">
        <v>7.15</v>
      </c>
      <c r="F296">
        <v>4.76</v>
      </c>
      <c r="G296">
        <v>6.19</v>
      </c>
      <c r="H296">
        <v>3.85</v>
      </c>
      <c r="I296">
        <v>7</v>
      </c>
    </row>
    <row r="297" spans="1:9" x14ac:dyDescent="0.25">
      <c r="A297" s="2">
        <v>42023</v>
      </c>
      <c r="B297">
        <v>3.82</v>
      </c>
      <c r="C297">
        <v>4.1100000000000003</v>
      </c>
      <c r="E297">
        <v>8.16</v>
      </c>
      <c r="F297">
        <v>4.93</v>
      </c>
      <c r="G297">
        <v>6.78</v>
      </c>
      <c r="H297">
        <v>3.98</v>
      </c>
      <c r="I297">
        <v>7.38</v>
      </c>
    </row>
    <row r="298" spans="1:9" x14ac:dyDescent="0.25">
      <c r="A298" s="2">
        <v>42024</v>
      </c>
      <c r="B298">
        <v>4.1100000000000003</v>
      </c>
      <c r="C298">
        <v>4.2300000000000004</v>
      </c>
      <c r="E298">
        <v>8.5</v>
      </c>
      <c r="F298">
        <v>5</v>
      </c>
      <c r="G298">
        <v>7.04</v>
      </c>
      <c r="H298">
        <v>4.0999999999999996</v>
      </c>
      <c r="I298">
        <v>7.62</v>
      </c>
    </row>
    <row r="299" spans="1:9" x14ac:dyDescent="0.25">
      <c r="A299" s="2">
        <v>42025</v>
      </c>
      <c r="B299">
        <v>4.3600000000000003</v>
      </c>
      <c r="C299">
        <v>4.24</v>
      </c>
      <c r="E299">
        <v>8.41</v>
      </c>
      <c r="F299">
        <v>4.93</v>
      </c>
      <c r="G299">
        <v>7.34</v>
      </c>
      <c r="H299">
        <v>4.24</v>
      </c>
      <c r="I299">
        <v>7.73</v>
      </c>
    </row>
    <row r="300" spans="1:9" x14ac:dyDescent="0.25">
      <c r="A300" s="2">
        <v>42026</v>
      </c>
      <c r="B300">
        <v>4.46</v>
      </c>
      <c r="C300">
        <v>4.26</v>
      </c>
      <c r="E300">
        <v>8.68</v>
      </c>
      <c r="F300">
        <v>4.99</v>
      </c>
      <c r="G300">
        <v>7.41</v>
      </c>
      <c r="H300">
        <v>4.22</v>
      </c>
      <c r="I300">
        <v>8.0299999999999994</v>
      </c>
    </row>
    <row r="301" spans="1:9" x14ac:dyDescent="0.25">
      <c r="A301" s="2">
        <v>42027</v>
      </c>
      <c r="B301">
        <v>4.49</v>
      </c>
      <c r="C301">
        <v>4.21</v>
      </c>
      <c r="E301">
        <v>9.01</v>
      </c>
      <c r="F301">
        <v>4.88</v>
      </c>
      <c r="G301">
        <v>7.56</v>
      </c>
      <c r="H301">
        <v>4.3</v>
      </c>
      <c r="I301">
        <v>8.4700000000000006</v>
      </c>
    </row>
    <row r="302" spans="1:9" x14ac:dyDescent="0.25">
      <c r="A302" s="2">
        <v>42030</v>
      </c>
      <c r="B302">
        <v>5.34</v>
      </c>
      <c r="C302">
        <v>4.7699999999999996</v>
      </c>
      <c r="E302">
        <v>10.050000000000001</v>
      </c>
      <c r="F302">
        <v>5.0999999999999996</v>
      </c>
      <c r="G302">
        <v>8.6</v>
      </c>
      <c r="H302">
        <v>4.76</v>
      </c>
      <c r="I302">
        <v>9.3000000000000007</v>
      </c>
    </row>
    <row r="303" spans="1:9" x14ac:dyDescent="0.25">
      <c r="A303" s="2">
        <v>42031</v>
      </c>
      <c r="B303">
        <v>5.92</v>
      </c>
      <c r="C303">
        <v>4.91</v>
      </c>
      <c r="E303">
        <v>11.02</v>
      </c>
      <c r="F303">
        <v>5.43</v>
      </c>
      <c r="G303">
        <v>9.84</v>
      </c>
      <c r="H303">
        <v>4.9000000000000004</v>
      </c>
      <c r="I303">
        <v>9.33</v>
      </c>
    </row>
    <row r="304" spans="1:9" x14ac:dyDescent="0.25">
      <c r="A304" s="2">
        <v>42032</v>
      </c>
      <c r="B304">
        <v>5.83</v>
      </c>
      <c r="C304">
        <v>4.8499999999999996</v>
      </c>
      <c r="E304">
        <v>10.99</v>
      </c>
      <c r="F304">
        <v>5.35</v>
      </c>
      <c r="G304">
        <v>9.68</v>
      </c>
      <c r="H304">
        <v>4.8499999999999996</v>
      </c>
      <c r="I304">
        <v>9.02</v>
      </c>
    </row>
    <row r="305" spans="1:9" x14ac:dyDescent="0.25">
      <c r="A305" s="2">
        <v>42033</v>
      </c>
      <c r="B305">
        <v>5.68</v>
      </c>
      <c r="C305">
        <v>4.7</v>
      </c>
      <c r="E305">
        <v>10.38</v>
      </c>
      <c r="F305">
        <v>5.31</v>
      </c>
      <c r="G305">
        <v>9.4</v>
      </c>
      <c r="H305">
        <v>4.8</v>
      </c>
      <c r="I305">
        <v>9.0500000000000007</v>
      </c>
    </row>
    <row r="306" spans="1:9" x14ac:dyDescent="0.25">
      <c r="A306" s="2">
        <v>42034</v>
      </c>
      <c r="B306">
        <v>5.68</v>
      </c>
      <c r="C306">
        <v>4.7</v>
      </c>
      <c r="E306">
        <v>10.47</v>
      </c>
      <c r="F306">
        <v>5.34</v>
      </c>
      <c r="G306">
        <v>9.39</v>
      </c>
      <c r="H306">
        <v>4.83</v>
      </c>
      <c r="I306">
        <v>8.83</v>
      </c>
    </row>
    <row r="307" spans="1:9" x14ac:dyDescent="0.25">
      <c r="A307" s="2">
        <v>42037</v>
      </c>
      <c r="B307">
        <v>5.59</v>
      </c>
      <c r="C307">
        <v>4.62</v>
      </c>
      <c r="E307">
        <v>10.08</v>
      </c>
      <c r="F307">
        <v>5.33</v>
      </c>
      <c r="G307">
        <v>9.0500000000000007</v>
      </c>
      <c r="H307">
        <v>4.8099999999999996</v>
      </c>
      <c r="I307">
        <v>8.76</v>
      </c>
    </row>
    <row r="308" spans="1:9" x14ac:dyDescent="0.25">
      <c r="A308" s="2">
        <v>42038</v>
      </c>
      <c r="B308">
        <v>5.5</v>
      </c>
      <c r="C308">
        <v>4.6399999999999997</v>
      </c>
      <c r="E308">
        <v>10.02</v>
      </c>
      <c r="F308">
        <v>5.44</v>
      </c>
      <c r="G308">
        <v>9.02</v>
      </c>
      <c r="H308">
        <v>4.8</v>
      </c>
      <c r="I308">
        <v>8.76</v>
      </c>
    </row>
    <row r="309" spans="1:9" x14ac:dyDescent="0.25">
      <c r="A309" s="2">
        <v>42039</v>
      </c>
      <c r="B309">
        <v>5.44</v>
      </c>
      <c r="C309">
        <v>4.59</v>
      </c>
      <c r="E309">
        <v>10.08</v>
      </c>
      <c r="F309">
        <v>5.42</v>
      </c>
      <c r="G309">
        <v>8.83</v>
      </c>
      <c r="H309">
        <v>4.74</v>
      </c>
      <c r="I309">
        <v>9.01</v>
      </c>
    </row>
    <row r="310" spans="1:9" x14ac:dyDescent="0.25">
      <c r="A310" s="2">
        <v>42040</v>
      </c>
      <c r="B310">
        <v>5.7</v>
      </c>
      <c r="C310">
        <v>4.58</v>
      </c>
      <c r="E310">
        <v>10.25</v>
      </c>
      <c r="F310">
        <v>5.32</v>
      </c>
      <c r="G310">
        <v>9.14</v>
      </c>
      <c r="H310">
        <v>4.6900000000000004</v>
      </c>
      <c r="I310">
        <v>9.18</v>
      </c>
    </row>
    <row r="311" spans="1:9" x14ac:dyDescent="0.25">
      <c r="A311" s="2">
        <v>42041</v>
      </c>
      <c r="B311">
        <v>5.71</v>
      </c>
      <c r="C311">
        <v>4.62</v>
      </c>
      <c r="E311">
        <v>10.71</v>
      </c>
      <c r="F311">
        <v>5.34</v>
      </c>
      <c r="G311">
        <v>9.3800000000000008</v>
      </c>
      <c r="H311">
        <v>4.72</v>
      </c>
      <c r="I311">
        <v>9.26</v>
      </c>
    </row>
    <row r="312" spans="1:9" x14ac:dyDescent="0.25">
      <c r="A312" s="2">
        <v>42044</v>
      </c>
      <c r="B312">
        <v>5.79</v>
      </c>
      <c r="C312">
        <v>4.67</v>
      </c>
      <c r="E312">
        <v>10.79</v>
      </c>
      <c r="F312">
        <v>5.35</v>
      </c>
      <c r="G312">
        <v>9.3800000000000008</v>
      </c>
      <c r="H312">
        <v>4.68</v>
      </c>
      <c r="I312">
        <v>9.41</v>
      </c>
    </row>
    <row r="313" spans="1:9" x14ac:dyDescent="0.25">
      <c r="A313" s="2">
        <v>42045</v>
      </c>
      <c r="B313">
        <v>5.82</v>
      </c>
      <c r="C313">
        <v>4.79</v>
      </c>
      <c r="E313">
        <v>11.05</v>
      </c>
      <c r="F313">
        <v>5.37</v>
      </c>
      <c r="G313">
        <v>9.74</v>
      </c>
      <c r="H313">
        <v>4.78</v>
      </c>
      <c r="I313">
        <v>9.3000000000000007</v>
      </c>
    </row>
    <row r="314" spans="1:9" x14ac:dyDescent="0.25">
      <c r="A314" s="2">
        <v>42046</v>
      </c>
      <c r="B314">
        <v>5.46</v>
      </c>
      <c r="C314">
        <v>4.68</v>
      </c>
      <c r="E314">
        <v>10.77</v>
      </c>
      <c r="F314">
        <v>5.38</v>
      </c>
      <c r="G314">
        <v>9.61</v>
      </c>
      <c r="H314">
        <v>4.83</v>
      </c>
      <c r="I314">
        <v>9.31</v>
      </c>
    </row>
    <row r="315" spans="1:9" x14ac:dyDescent="0.25">
      <c r="A315" s="2">
        <v>42047</v>
      </c>
      <c r="B315">
        <v>5.42</v>
      </c>
      <c r="C315">
        <v>4.55</v>
      </c>
      <c r="E315">
        <v>10.84</v>
      </c>
      <c r="F315">
        <v>5.27</v>
      </c>
      <c r="G315">
        <v>9.67</v>
      </c>
      <c r="H315">
        <v>4.7699999999999996</v>
      </c>
      <c r="I315">
        <v>9.3699999999999992</v>
      </c>
    </row>
    <row r="316" spans="1:9" x14ac:dyDescent="0.25">
      <c r="A316" s="2">
        <v>42048</v>
      </c>
      <c r="B316">
        <v>5.42</v>
      </c>
      <c r="C316">
        <v>4.53</v>
      </c>
      <c r="E316">
        <v>10.84</v>
      </c>
      <c r="F316">
        <v>5.26</v>
      </c>
      <c r="G316">
        <v>9.69</v>
      </c>
      <c r="H316">
        <v>4.76</v>
      </c>
      <c r="I316">
        <v>9.4700000000000006</v>
      </c>
    </row>
    <row r="317" spans="1:9" x14ac:dyDescent="0.25">
      <c r="A317" s="2">
        <v>42051</v>
      </c>
      <c r="B317">
        <v>5.69</v>
      </c>
      <c r="C317">
        <v>4.58</v>
      </c>
      <c r="E317">
        <v>11.07</v>
      </c>
      <c r="F317">
        <v>5.33</v>
      </c>
      <c r="G317">
        <v>9.82</v>
      </c>
      <c r="H317">
        <v>4.72</v>
      </c>
      <c r="I317">
        <v>9.81</v>
      </c>
    </row>
    <row r="318" spans="1:9" x14ac:dyDescent="0.25">
      <c r="A318" s="2">
        <v>42052</v>
      </c>
      <c r="B318">
        <v>5.86</v>
      </c>
      <c r="C318">
        <v>4.63</v>
      </c>
      <c r="E318">
        <v>11.44</v>
      </c>
      <c r="F318">
        <v>5.37</v>
      </c>
      <c r="G318">
        <v>10.11</v>
      </c>
      <c r="H318">
        <v>4.7</v>
      </c>
      <c r="I318">
        <v>9.84</v>
      </c>
    </row>
    <row r="319" spans="1:9" x14ac:dyDescent="0.25">
      <c r="A319" s="2">
        <v>42053</v>
      </c>
      <c r="B319">
        <v>5.85</v>
      </c>
      <c r="C319">
        <v>4.66</v>
      </c>
      <c r="E319">
        <v>11.46</v>
      </c>
      <c r="F319">
        <v>5.33</v>
      </c>
      <c r="G319">
        <v>10.26</v>
      </c>
      <c r="H319">
        <v>4.76</v>
      </c>
      <c r="I319">
        <v>9.81</v>
      </c>
    </row>
    <row r="320" spans="1:9" x14ac:dyDescent="0.25">
      <c r="A320" s="2">
        <v>42054</v>
      </c>
      <c r="B320">
        <v>5.85</v>
      </c>
      <c r="C320">
        <v>4.6500000000000004</v>
      </c>
      <c r="E320">
        <v>11.42</v>
      </c>
      <c r="F320">
        <v>5.28</v>
      </c>
      <c r="G320">
        <v>10.29</v>
      </c>
      <c r="H320">
        <v>4.8600000000000003</v>
      </c>
      <c r="I320">
        <v>10.01</v>
      </c>
    </row>
    <row r="321" spans="1:9" x14ac:dyDescent="0.25">
      <c r="A321" s="2">
        <v>42055</v>
      </c>
      <c r="B321">
        <v>5.99</v>
      </c>
      <c r="C321">
        <v>4.6900000000000004</v>
      </c>
      <c r="E321">
        <v>11.7</v>
      </c>
      <c r="F321">
        <v>5.3</v>
      </c>
      <c r="G321">
        <v>10.53</v>
      </c>
      <c r="H321">
        <v>4.8099999999999996</v>
      </c>
      <c r="I321">
        <v>10.11</v>
      </c>
    </row>
    <row r="322" spans="1:9" x14ac:dyDescent="0.25">
      <c r="A322" s="2">
        <v>42058</v>
      </c>
      <c r="B322">
        <v>6.11</v>
      </c>
      <c r="C322">
        <v>4.76</v>
      </c>
      <c r="E322">
        <v>11.78</v>
      </c>
      <c r="F322">
        <v>5.32</v>
      </c>
      <c r="G322">
        <v>10.7</v>
      </c>
      <c r="H322">
        <v>4.9400000000000004</v>
      </c>
      <c r="I322">
        <v>10.19</v>
      </c>
    </row>
    <row r="323" spans="1:9" x14ac:dyDescent="0.25">
      <c r="A323" s="2">
        <v>42059</v>
      </c>
      <c r="B323">
        <v>6.12</v>
      </c>
      <c r="C323">
        <v>4.74</v>
      </c>
      <c r="E323">
        <v>11.83</v>
      </c>
      <c r="F323">
        <v>5.36</v>
      </c>
      <c r="G323">
        <v>10.87</v>
      </c>
      <c r="H323">
        <v>4.9800000000000004</v>
      </c>
      <c r="I323">
        <v>10.34</v>
      </c>
    </row>
    <row r="324" spans="1:9" x14ac:dyDescent="0.25">
      <c r="A324" s="2">
        <v>42060</v>
      </c>
      <c r="B324">
        <v>6.2</v>
      </c>
      <c r="C324">
        <v>4.76</v>
      </c>
      <c r="E324">
        <v>12.16</v>
      </c>
      <c r="F324">
        <v>5.44</v>
      </c>
      <c r="G324">
        <v>11.03</v>
      </c>
      <c r="H324">
        <v>4.9400000000000004</v>
      </c>
      <c r="I324">
        <v>10.48</v>
      </c>
    </row>
    <row r="325" spans="1:9" x14ac:dyDescent="0.25">
      <c r="A325" s="2">
        <v>42061</v>
      </c>
      <c r="B325">
        <v>6.45</v>
      </c>
      <c r="C325">
        <v>4.8499999999999996</v>
      </c>
      <c r="E325">
        <v>12.49</v>
      </c>
      <c r="F325">
        <v>5.51</v>
      </c>
      <c r="G325">
        <v>11.15</v>
      </c>
      <c r="H325">
        <v>4.93</v>
      </c>
      <c r="I325">
        <v>10.49</v>
      </c>
    </row>
    <row r="326" spans="1:9" x14ac:dyDescent="0.25">
      <c r="A326" s="2">
        <v>42062</v>
      </c>
      <c r="B326">
        <v>6.65</v>
      </c>
      <c r="C326">
        <v>5</v>
      </c>
      <c r="E326">
        <v>12.47</v>
      </c>
      <c r="F326">
        <v>5.64</v>
      </c>
      <c r="G326">
        <v>11.22</v>
      </c>
      <c r="H326">
        <v>5</v>
      </c>
      <c r="I326">
        <v>10.82</v>
      </c>
    </row>
    <row r="327" spans="1:9" x14ac:dyDescent="0.25">
      <c r="A327" s="2">
        <v>42065</v>
      </c>
      <c r="B327">
        <v>6.77</v>
      </c>
      <c r="C327">
        <v>5.1100000000000003</v>
      </c>
      <c r="E327">
        <v>13.02</v>
      </c>
      <c r="F327">
        <v>5.76</v>
      </c>
      <c r="G327">
        <v>11.68</v>
      </c>
      <c r="H327">
        <v>5.12</v>
      </c>
      <c r="I327">
        <v>10.98</v>
      </c>
    </row>
    <row r="328" spans="1:9" x14ac:dyDescent="0.25">
      <c r="A328" s="2">
        <v>42066</v>
      </c>
      <c r="B328">
        <v>6.79</v>
      </c>
      <c r="C328">
        <v>5.17</v>
      </c>
      <c r="E328">
        <v>13.03</v>
      </c>
      <c r="F328">
        <v>5.69</v>
      </c>
      <c r="G328">
        <v>11.83</v>
      </c>
      <c r="H328">
        <v>5.1100000000000003</v>
      </c>
      <c r="I328">
        <v>11.16</v>
      </c>
    </row>
    <row r="329" spans="1:9" x14ac:dyDescent="0.25">
      <c r="A329" s="2">
        <v>42067</v>
      </c>
      <c r="B329">
        <v>6.87</v>
      </c>
      <c r="C329">
        <v>5.22</v>
      </c>
      <c r="E329">
        <v>13.11</v>
      </c>
      <c r="F329">
        <v>5.66</v>
      </c>
      <c r="G329">
        <v>11.79</v>
      </c>
      <c r="H329">
        <v>5.16</v>
      </c>
      <c r="I329">
        <v>11.08</v>
      </c>
    </row>
    <row r="330" spans="1:9" x14ac:dyDescent="0.25">
      <c r="A330" s="2">
        <v>42068</v>
      </c>
      <c r="B330">
        <v>6.88</v>
      </c>
      <c r="C330">
        <v>5.26</v>
      </c>
      <c r="E330">
        <v>12.7</v>
      </c>
      <c r="F330">
        <v>5.58</v>
      </c>
      <c r="G330">
        <v>11.79</v>
      </c>
      <c r="H330">
        <v>5.22</v>
      </c>
      <c r="I330">
        <v>11.14</v>
      </c>
    </row>
    <row r="331" spans="1:9" x14ac:dyDescent="0.25">
      <c r="A331" s="2">
        <v>42069</v>
      </c>
      <c r="B331">
        <v>6.78</v>
      </c>
      <c r="C331">
        <v>5.35</v>
      </c>
      <c r="E331">
        <v>12.99</v>
      </c>
      <c r="F331">
        <v>5.65</v>
      </c>
      <c r="G331">
        <v>11.9</v>
      </c>
      <c r="H331">
        <v>5.26</v>
      </c>
      <c r="I331">
        <v>11.4</v>
      </c>
    </row>
    <row r="332" spans="1:9" x14ac:dyDescent="0.25">
      <c r="A332" s="2">
        <v>42072</v>
      </c>
      <c r="B332">
        <v>7.13</v>
      </c>
      <c r="C332">
        <v>5.46</v>
      </c>
      <c r="E332">
        <v>13.37</v>
      </c>
      <c r="F332">
        <v>5.71</v>
      </c>
      <c r="G332">
        <v>12.34</v>
      </c>
      <c r="H332">
        <v>5.36</v>
      </c>
      <c r="I332">
        <v>11.58</v>
      </c>
    </row>
    <row r="333" spans="1:9" x14ac:dyDescent="0.25">
      <c r="A333" s="2">
        <v>42073</v>
      </c>
      <c r="B333">
        <v>7.06</v>
      </c>
      <c r="C333">
        <v>5.46</v>
      </c>
      <c r="E333">
        <v>13.42</v>
      </c>
      <c r="F333">
        <v>5.69</v>
      </c>
      <c r="G333">
        <v>12.41</v>
      </c>
      <c r="H333">
        <v>5.23</v>
      </c>
      <c r="I333">
        <v>11.56</v>
      </c>
    </row>
    <row r="334" spans="1:9" x14ac:dyDescent="0.25">
      <c r="A334" s="2">
        <v>42074</v>
      </c>
      <c r="B334">
        <v>6.95</v>
      </c>
      <c r="C334">
        <v>5.54</v>
      </c>
      <c r="E334">
        <v>13.38</v>
      </c>
      <c r="F334">
        <v>5.77</v>
      </c>
      <c r="G334">
        <v>12.31</v>
      </c>
      <c r="H334">
        <v>5.29</v>
      </c>
      <c r="I334">
        <v>11.51</v>
      </c>
    </row>
    <row r="335" spans="1:9" x14ac:dyDescent="0.25">
      <c r="A335" s="2">
        <v>42075</v>
      </c>
      <c r="B335">
        <v>6.85</v>
      </c>
      <c r="C335">
        <v>5.59</v>
      </c>
      <c r="E335">
        <v>13.18</v>
      </c>
      <c r="F335">
        <v>5.93</v>
      </c>
      <c r="G335">
        <v>12.21</v>
      </c>
      <c r="H335">
        <v>5.39</v>
      </c>
      <c r="I335">
        <v>11.78</v>
      </c>
    </row>
    <row r="336" spans="1:9" x14ac:dyDescent="0.25">
      <c r="A336" s="2">
        <v>42076</v>
      </c>
      <c r="B336">
        <v>6.91</v>
      </c>
      <c r="C336">
        <v>5.56</v>
      </c>
      <c r="E336">
        <v>13.84</v>
      </c>
      <c r="F336">
        <v>6.08</v>
      </c>
      <c r="G336">
        <v>12.42</v>
      </c>
      <c r="H336">
        <v>5.24</v>
      </c>
      <c r="I336">
        <v>12.05</v>
      </c>
    </row>
    <row r="337" spans="1:9" x14ac:dyDescent="0.25">
      <c r="A337" s="2">
        <v>42079</v>
      </c>
      <c r="B337">
        <v>7.16</v>
      </c>
      <c r="C337">
        <v>5.66</v>
      </c>
      <c r="E337">
        <v>14.14</v>
      </c>
      <c r="F337">
        <v>6.1</v>
      </c>
      <c r="G337">
        <v>12.7</v>
      </c>
      <c r="H337">
        <v>5.48</v>
      </c>
      <c r="I337">
        <v>12.01</v>
      </c>
    </row>
    <row r="338" spans="1:9" x14ac:dyDescent="0.25">
      <c r="A338" s="2">
        <v>42080</v>
      </c>
      <c r="B338">
        <v>7.08</v>
      </c>
      <c r="C338">
        <v>5.55</v>
      </c>
      <c r="E338">
        <v>14.07</v>
      </c>
      <c r="F338">
        <v>6.03</v>
      </c>
      <c r="G338">
        <v>12.72</v>
      </c>
      <c r="H338">
        <v>5.46</v>
      </c>
      <c r="I338">
        <v>12.21</v>
      </c>
    </row>
    <row r="339" spans="1:9" x14ac:dyDescent="0.25">
      <c r="A339" s="2">
        <v>42081</v>
      </c>
      <c r="B339">
        <v>7.22</v>
      </c>
      <c r="C339">
        <v>5.41</v>
      </c>
      <c r="E339">
        <v>14.38</v>
      </c>
      <c r="F339">
        <v>5.89</v>
      </c>
      <c r="G339">
        <v>12.93</v>
      </c>
      <c r="H339">
        <v>5.38</v>
      </c>
      <c r="I339">
        <v>12.12</v>
      </c>
    </row>
    <row r="340" spans="1:9" x14ac:dyDescent="0.25">
      <c r="A340" s="2">
        <v>42082</v>
      </c>
      <c r="B340">
        <v>7.23</v>
      </c>
      <c r="C340">
        <v>5.39</v>
      </c>
      <c r="E340">
        <v>14.15</v>
      </c>
      <c r="F340">
        <v>5.78</v>
      </c>
      <c r="G340">
        <v>12.8</v>
      </c>
      <c r="H340">
        <v>5.47</v>
      </c>
      <c r="I340">
        <v>12.14</v>
      </c>
    </row>
    <row r="341" spans="1:9" x14ac:dyDescent="0.25">
      <c r="A341" s="2">
        <v>42083</v>
      </c>
      <c r="B341">
        <v>7.32</v>
      </c>
      <c r="C341">
        <v>5.4</v>
      </c>
      <c r="E341">
        <v>14.22</v>
      </c>
      <c r="F341">
        <v>5.84</v>
      </c>
      <c r="G341">
        <v>12.88</v>
      </c>
      <c r="H341">
        <v>5.43</v>
      </c>
      <c r="I341">
        <v>12.29</v>
      </c>
    </row>
    <row r="342" spans="1:9" x14ac:dyDescent="0.25">
      <c r="A342" s="2">
        <v>42086</v>
      </c>
      <c r="B342">
        <v>7.42</v>
      </c>
      <c r="C342">
        <v>5.36</v>
      </c>
      <c r="E342">
        <v>14.6</v>
      </c>
      <c r="F342">
        <v>6.07</v>
      </c>
      <c r="G342">
        <v>13.08</v>
      </c>
      <c r="H342">
        <v>5.4</v>
      </c>
      <c r="I342">
        <v>12.34</v>
      </c>
    </row>
    <row r="343" spans="1:9" x14ac:dyDescent="0.25">
      <c r="A343" s="2">
        <v>42087</v>
      </c>
      <c r="B343">
        <v>7.61</v>
      </c>
      <c r="C343">
        <v>5.36</v>
      </c>
      <c r="E343">
        <v>14.63</v>
      </c>
      <c r="F343">
        <v>6</v>
      </c>
      <c r="G343">
        <v>13.1</v>
      </c>
      <c r="H343">
        <v>5.34</v>
      </c>
      <c r="I343">
        <v>12.21</v>
      </c>
    </row>
    <row r="344" spans="1:9" x14ac:dyDescent="0.25">
      <c r="A344" s="2">
        <v>42088</v>
      </c>
      <c r="B344">
        <v>7.63</v>
      </c>
      <c r="C344">
        <v>5.45</v>
      </c>
      <c r="E344">
        <v>14.34</v>
      </c>
      <c r="F344">
        <v>5.91</v>
      </c>
      <c r="G344">
        <v>12.94</v>
      </c>
      <c r="H344">
        <v>5.4</v>
      </c>
      <c r="I344">
        <v>12.25</v>
      </c>
    </row>
    <row r="345" spans="1:9" x14ac:dyDescent="0.25">
      <c r="A345" s="2">
        <v>42089</v>
      </c>
      <c r="B345">
        <v>7.72</v>
      </c>
      <c r="C345">
        <v>5.54</v>
      </c>
      <c r="E345">
        <v>14.37</v>
      </c>
      <c r="F345">
        <v>5.92</v>
      </c>
      <c r="G345">
        <v>13.01</v>
      </c>
      <c r="H345">
        <v>5.44</v>
      </c>
      <c r="I345">
        <v>11.94</v>
      </c>
    </row>
    <row r="346" spans="1:9" x14ac:dyDescent="0.25">
      <c r="A346" s="2">
        <v>42090</v>
      </c>
      <c r="B346">
        <v>7.62</v>
      </c>
      <c r="C346">
        <v>5.52</v>
      </c>
      <c r="E346">
        <v>13.82</v>
      </c>
      <c r="F346">
        <v>5.92</v>
      </c>
      <c r="G346">
        <v>12.73</v>
      </c>
      <c r="H346">
        <v>5.48</v>
      </c>
      <c r="I346">
        <v>11.7</v>
      </c>
    </row>
    <row r="347" spans="1:9" x14ac:dyDescent="0.25">
      <c r="A347" s="2">
        <v>42093</v>
      </c>
      <c r="B347">
        <v>7.21</v>
      </c>
      <c r="C347">
        <v>5.5</v>
      </c>
      <c r="E347">
        <v>13.54</v>
      </c>
      <c r="F347">
        <v>5.89</v>
      </c>
      <c r="G347">
        <v>12.47</v>
      </c>
      <c r="H347">
        <v>5.54</v>
      </c>
      <c r="I347">
        <v>11.75</v>
      </c>
    </row>
    <row r="348" spans="1:9" x14ac:dyDescent="0.25">
      <c r="A348" s="2">
        <v>42094</v>
      </c>
      <c r="B348">
        <v>7.41</v>
      </c>
      <c r="C348">
        <v>5.52</v>
      </c>
      <c r="E348">
        <v>13.64</v>
      </c>
      <c r="F348">
        <v>5.9</v>
      </c>
      <c r="G348">
        <v>12.55</v>
      </c>
      <c r="H348">
        <v>5.51</v>
      </c>
      <c r="I348">
        <v>12.08</v>
      </c>
    </row>
    <row r="349" spans="1:9" x14ac:dyDescent="0.25">
      <c r="A349" s="2">
        <v>42095</v>
      </c>
      <c r="B349">
        <v>7.5</v>
      </c>
      <c r="C349">
        <v>5.59</v>
      </c>
      <c r="E349">
        <v>14.44</v>
      </c>
      <c r="F349">
        <v>5.97</v>
      </c>
      <c r="G349">
        <v>12.95</v>
      </c>
      <c r="H349">
        <v>5.57</v>
      </c>
      <c r="I349">
        <v>12.2</v>
      </c>
    </row>
    <row r="350" spans="1:9" x14ac:dyDescent="0.25">
      <c r="A350" s="2">
        <v>42096</v>
      </c>
      <c r="B350">
        <v>7.49</v>
      </c>
      <c r="C350">
        <v>5.65</v>
      </c>
      <c r="E350">
        <v>14.56</v>
      </c>
      <c r="F350">
        <v>6.15</v>
      </c>
      <c r="G350">
        <v>12.98</v>
      </c>
      <c r="H350">
        <v>5.57</v>
      </c>
      <c r="I350">
        <v>12.1</v>
      </c>
    </row>
    <row r="351" spans="1:9" x14ac:dyDescent="0.25">
      <c r="A351" s="2">
        <v>42101</v>
      </c>
      <c r="B351">
        <v>7.65</v>
      </c>
      <c r="C351">
        <v>5.74</v>
      </c>
      <c r="E351">
        <v>14.5</v>
      </c>
      <c r="F351">
        <v>6.24</v>
      </c>
      <c r="G351">
        <v>12.87</v>
      </c>
      <c r="H351">
        <v>5.53</v>
      </c>
      <c r="I351">
        <v>12.12</v>
      </c>
    </row>
    <row r="352" spans="1:9" x14ac:dyDescent="0.25">
      <c r="A352" s="2">
        <v>42102</v>
      </c>
      <c r="B352">
        <v>7.86</v>
      </c>
      <c r="C352">
        <v>5.78</v>
      </c>
      <c r="E352">
        <v>14.89</v>
      </c>
      <c r="F352">
        <v>6.21</v>
      </c>
      <c r="G352">
        <v>12.86</v>
      </c>
      <c r="H352">
        <v>5.53</v>
      </c>
      <c r="I352">
        <v>12.44</v>
      </c>
    </row>
    <row r="353" spans="1:9" x14ac:dyDescent="0.25">
      <c r="A353" s="2">
        <v>42103</v>
      </c>
      <c r="B353">
        <v>8.2100000000000009</v>
      </c>
      <c r="C353">
        <v>5.94</v>
      </c>
      <c r="E353">
        <v>15.14</v>
      </c>
      <c r="F353">
        <v>6.24</v>
      </c>
      <c r="G353">
        <v>13.28</v>
      </c>
      <c r="H353">
        <v>5.58</v>
      </c>
      <c r="I353">
        <v>12.71</v>
      </c>
    </row>
    <row r="354" spans="1:9" x14ac:dyDescent="0.25">
      <c r="A354" s="2">
        <v>42104</v>
      </c>
      <c r="B354">
        <v>8.48</v>
      </c>
      <c r="C354">
        <v>6.17</v>
      </c>
      <c r="E354">
        <v>15.54</v>
      </c>
      <c r="F354">
        <v>6.41</v>
      </c>
      <c r="G354">
        <v>13.58</v>
      </c>
      <c r="H354">
        <v>5.73</v>
      </c>
      <c r="I354">
        <v>13.03</v>
      </c>
    </row>
    <row r="355" spans="1:9" x14ac:dyDescent="0.25">
      <c r="A355" s="2">
        <v>42107</v>
      </c>
      <c r="B355">
        <v>8.68</v>
      </c>
      <c r="C355">
        <v>6.37</v>
      </c>
      <c r="E355">
        <v>16.2</v>
      </c>
      <c r="F355">
        <v>6.55</v>
      </c>
      <c r="G355">
        <v>14.09</v>
      </c>
      <c r="H355">
        <v>5.91</v>
      </c>
      <c r="I355">
        <v>13.51</v>
      </c>
    </row>
    <row r="356" spans="1:9" x14ac:dyDescent="0.25">
      <c r="A356" s="2">
        <v>42108</v>
      </c>
      <c r="B356">
        <v>8.84</v>
      </c>
      <c r="C356">
        <v>6.41</v>
      </c>
      <c r="E356">
        <v>16.86</v>
      </c>
      <c r="F356">
        <v>6.62</v>
      </c>
      <c r="G356">
        <v>14.46</v>
      </c>
      <c r="H356">
        <v>5.84</v>
      </c>
      <c r="I356">
        <v>13.63</v>
      </c>
    </row>
    <row r="357" spans="1:9" x14ac:dyDescent="0.25">
      <c r="A357" s="2">
        <v>42109</v>
      </c>
      <c r="B357">
        <v>8.8699999999999992</v>
      </c>
      <c r="C357">
        <v>6.42</v>
      </c>
      <c r="E357">
        <v>17.04</v>
      </c>
      <c r="F357">
        <v>6.62</v>
      </c>
      <c r="G357">
        <v>14.54</v>
      </c>
      <c r="H357">
        <v>5.81</v>
      </c>
      <c r="I357">
        <v>13.39</v>
      </c>
    </row>
    <row r="358" spans="1:9" x14ac:dyDescent="0.25">
      <c r="A358" s="2">
        <v>42110</v>
      </c>
      <c r="B358">
        <v>8.83</v>
      </c>
      <c r="C358">
        <v>6.43</v>
      </c>
      <c r="E358">
        <v>16.52</v>
      </c>
      <c r="F358">
        <v>6.62</v>
      </c>
      <c r="G358">
        <v>14.25</v>
      </c>
      <c r="H358">
        <v>5.8</v>
      </c>
      <c r="I358">
        <v>13.62</v>
      </c>
    </row>
    <row r="359" spans="1:9" x14ac:dyDescent="0.25">
      <c r="A359" s="2">
        <v>42111</v>
      </c>
      <c r="B359">
        <v>8.82</v>
      </c>
      <c r="C359">
        <v>6.34</v>
      </c>
      <c r="E359">
        <v>16.93</v>
      </c>
      <c r="F359">
        <v>6.69</v>
      </c>
      <c r="G359">
        <v>14.4</v>
      </c>
      <c r="H359">
        <v>5.69</v>
      </c>
      <c r="I359">
        <v>13.42</v>
      </c>
    </row>
    <row r="360" spans="1:9" x14ac:dyDescent="0.25">
      <c r="A360" s="2">
        <v>42114</v>
      </c>
      <c r="B360">
        <v>8.6300000000000008</v>
      </c>
      <c r="C360">
        <v>6.28</v>
      </c>
      <c r="E360">
        <v>16.489999999999998</v>
      </c>
      <c r="F360">
        <v>6.55</v>
      </c>
      <c r="G360">
        <v>14.09</v>
      </c>
      <c r="H360">
        <v>5.64</v>
      </c>
      <c r="I360">
        <v>12.93</v>
      </c>
    </row>
    <row r="361" spans="1:9" x14ac:dyDescent="0.25">
      <c r="A361" s="2">
        <v>42115</v>
      </c>
      <c r="B361">
        <v>8.4600000000000009</v>
      </c>
      <c r="C361">
        <v>6.36</v>
      </c>
      <c r="E361">
        <v>15.52</v>
      </c>
      <c r="F361">
        <v>6.42</v>
      </c>
      <c r="G361">
        <v>13.72</v>
      </c>
      <c r="H361">
        <v>5.74</v>
      </c>
      <c r="I361">
        <v>13.08</v>
      </c>
    </row>
    <row r="362" spans="1:9" x14ac:dyDescent="0.25">
      <c r="A362" s="2">
        <v>42116</v>
      </c>
      <c r="B362">
        <v>8.4700000000000006</v>
      </c>
      <c r="C362">
        <v>6.31</v>
      </c>
      <c r="E362">
        <v>16.010000000000002</v>
      </c>
      <c r="F362">
        <v>6.43</v>
      </c>
      <c r="G362">
        <v>13.88</v>
      </c>
      <c r="H362">
        <v>5.69</v>
      </c>
      <c r="I362">
        <v>13.22</v>
      </c>
    </row>
    <row r="363" spans="1:9" x14ac:dyDescent="0.25">
      <c r="A363" s="2">
        <v>42117</v>
      </c>
      <c r="B363">
        <v>8.49</v>
      </c>
      <c r="C363">
        <v>6.26</v>
      </c>
      <c r="E363">
        <v>16.170000000000002</v>
      </c>
      <c r="F363">
        <v>6.4</v>
      </c>
      <c r="G363">
        <v>14.04</v>
      </c>
      <c r="H363">
        <v>5.57</v>
      </c>
      <c r="I363">
        <v>13.34</v>
      </c>
    </row>
    <row r="364" spans="1:9" x14ac:dyDescent="0.25">
      <c r="A364" s="2">
        <v>42118</v>
      </c>
      <c r="B364">
        <v>8.31</v>
      </c>
      <c r="C364">
        <v>6.23</v>
      </c>
      <c r="E364">
        <v>16.25</v>
      </c>
      <c r="F364">
        <v>6.38</v>
      </c>
      <c r="G364">
        <v>13.97</v>
      </c>
      <c r="H364">
        <v>5.55</v>
      </c>
      <c r="I364">
        <v>13.28</v>
      </c>
    </row>
    <row r="365" spans="1:9" x14ac:dyDescent="0.25">
      <c r="A365" s="2">
        <v>42121</v>
      </c>
      <c r="B365">
        <v>8.26</v>
      </c>
      <c r="C365">
        <v>6.21</v>
      </c>
      <c r="E365">
        <v>16.07</v>
      </c>
      <c r="F365">
        <v>6.33</v>
      </c>
      <c r="G365">
        <v>13.84</v>
      </c>
      <c r="H365">
        <v>5.5</v>
      </c>
      <c r="I365">
        <v>13.34</v>
      </c>
    </row>
    <row r="366" spans="1:9" x14ac:dyDescent="0.25">
      <c r="A366" s="2">
        <v>42122</v>
      </c>
      <c r="B366">
        <v>8.48</v>
      </c>
      <c r="C366">
        <v>6.29</v>
      </c>
      <c r="E366">
        <v>16.2</v>
      </c>
      <c r="F366">
        <v>6.31</v>
      </c>
      <c r="G366">
        <v>13.87</v>
      </c>
      <c r="H366">
        <v>5.52</v>
      </c>
      <c r="I366">
        <v>13.45</v>
      </c>
    </row>
    <row r="367" spans="1:9" x14ac:dyDescent="0.25">
      <c r="A367" s="2">
        <v>42123</v>
      </c>
      <c r="B367">
        <v>8.59</v>
      </c>
      <c r="C367">
        <v>6.27</v>
      </c>
      <c r="E367">
        <v>16.41</v>
      </c>
      <c r="F367">
        <v>6.31</v>
      </c>
      <c r="G367">
        <v>13.95</v>
      </c>
      <c r="H367">
        <v>5.45</v>
      </c>
      <c r="I367">
        <v>13.1</v>
      </c>
    </row>
    <row r="368" spans="1:9" x14ac:dyDescent="0.25">
      <c r="A368" s="2">
        <v>42124</v>
      </c>
      <c r="B368">
        <v>8.35</v>
      </c>
      <c r="C368">
        <v>6.2</v>
      </c>
      <c r="E368">
        <v>15.78</v>
      </c>
      <c r="F368">
        <v>6.24</v>
      </c>
      <c r="G368">
        <v>13.55</v>
      </c>
      <c r="H368">
        <v>5.47</v>
      </c>
      <c r="I368">
        <v>12.52</v>
      </c>
    </row>
    <row r="369" spans="1:9" x14ac:dyDescent="0.25">
      <c r="A369" s="2">
        <v>42129</v>
      </c>
      <c r="B369">
        <v>7.9</v>
      </c>
      <c r="C369">
        <v>5.92</v>
      </c>
      <c r="E369">
        <v>13.84</v>
      </c>
      <c r="F369">
        <v>5.49</v>
      </c>
      <c r="G369">
        <v>12.81</v>
      </c>
      <c r="H369">
        <v>5.22</v>
      </c>
    </row>
    <row r="370" spans="1:9" x14ac:dyDescent="0.25">
      <c r="A370" s="2">
        <v>42130</v>
      </c>
      <c r="B370">
        <v>7.59</v>
      </c>
      <c r="C370">
        <v>5.74</v>
      </c>
      <c r="E370">
        <v>14.21</v>
      </c>
      <c r="F370">
        <v>5.36</v>
      </c>
      <c r="G370">
        <v>12.43</v>
      </c>
      <c r="H370">
        <v>5.2</v>
      </c>
      <c r="I370">
        <v>11.7</v>
      </c>
    </row>
    <row r="371" spans="1:9" x14ac:dyDescent="0.25">
      <c r="A371" s="2">
        <v>42131</v>
      </c>
      <c r="B371">
        <v>7.34</v>
      </c>
      <c r="C371">
        <v>5.55</v>
      </c>
      <c r="E371">
        <v>13.4</v>
      </c>
      <c r="F371">
        <v>5.12</v>
      </c>
      <c r="G371">
        <v>12.05</v>
      </c>
      <c r="H371">
        <v>4.87</v>
      </c>
      <c r="I371">
        <v>10.99</v>
      </c>
    </row>
    <row r="372" spans="1:9" x14ac:dyDescent="0.25">
      <c r="A372" s="2">
        <v>42132</v>
      </c>
      <c r="B372">
        <v>6.91</v>
      </c>
      <c r="C372">
        <v>5.35</v>
      </c>
      <c r="E372">
        <v>12.6</v>
      </c>
      <c r="F372">
        <v>4.8600000000000003</v>
      </c>
      <c r="G372">
        <v>11.34</v>
      </c>
      <c r="H372">
        <v>4.72</v>
      </c>
      <c r="I372">
        <v>10.84</v>
      </c>
    </row>
    <row r="373" spans="1:9" x14ac:dyDescent="0.25">
      <c r="A373" s="2">
        <v>42135</v>
      </c>
      <c r="B373">
        <v>6.82</v>
      </c>
      <c r="C373">
        <v>5.42</v>
      </c>
      <c r="E373">
        <v>12.6</v>
      </c>
      <c r="F373">
        <v>4.82</v>
      </c>
      <c r="G373">
        <v>11.28</v>
      </c>
      <c r="H373">
        <v>4.6500000000000004</v>
      </c>
      <c r="I373">
        <v>11.61</v>
      </c>
    </row>
    <row r="374" spans="1:9" x14ac:dyDescent="0.25">
      <c r="A374" s="2">
        <v>42136</v>
      </c>
      <c r="B374">
        <v>7.42</v>
      </c>
      <c r="C374">
        <v>5.57</v>
      </c>
      <c r="E374">
        <v>13.76</v>
      </c>
      <c r="F374">
        <v>5.1100000000000003</v>
      </c>
      <c r="G374">
        <v>12.12</v>
      </c>
      <c r="H374">
        <v>4.74</v>
      </c>
      <c r="I374">
        <v>11.67</v>
      </c>
    </row>
    <row r="375" spans="1:9" x14ac:dyDescent="0.25">
      <c r="A375" s="2">
        <v>42137</v>
      </c>
      <c r="B375">
        <v>7.39</v>
      </c>
      <c r="C375">
        <v>5.43</v>
      </c>
      <c r="E375">
        <v>13.86</v>
      </c>
      <c r="F375">
        <v>5.08</v>
      </c>
      <c r="G375">
        <v>12.25</v>
      </c>
      <c r="H375">
        <v>4.62</v>
      </c>
      <c r="I375">
        <v>11.3</v>
      </c>
    </row>
    <row r="376" spans="1:9" x14ac:dyDescent="0.25">
      <c r="A376" s="2">
        <v>42138</v>
      </c>
      <c r="B376">
        <v>7.1</v>
      </c>
      <c r="C376">
        <v>5.36</v>
      </c>
      <c r="E376">
        <v>13.06</v>
      </c>
      <c r="F376">
        <v>4.76</v>
      </c>
      <c r="G376">
        <v>11.69</v>
      </c>
      <c r="H376">
        <v>4.54</v>
      </c>
      <c r="I376">
        <v>11.17</v>
      </c>
    </row>
    <row r="377" spans="1:9" x14ac:dyDescent="0.25">
      <c r="A377" s="2">
        <v>42139</v>
      </c>
      <c r="B377">
        <v>7.05</v>
      </c>
      <c r="C377">
        <v>5.2</v>
      </c>
      <c r="E377">
        <v>12.75</v>
      </c>
      <c r="F377">
        <v>4.68</v>
      </c>
      <c r="G377">
        <v>11.56</v>
      </c>
      <c r="H377">
        <v>4.3600000000000003</v>
      </c>
      <c r="I377">
        <v>11.18</v>
      </c>
    </row>
    <row r="378" spans="1:9" x14ac:dyDescent="0.25">
      <c r="A378" s="2">
        <v>42142</v>
      </c>
      <c r="B378">
        <v>7.26</v>
      </c>
      <c r="C378">
        <v>5.34</v>
      </c>
      <c r="E378">
        <v>13.12</v>
      </c>
      <c r="F378">
        <v>4.72</v>
      </c>
      <c r="G378">
        <v>11.6</v>
      </c>
      <c r="H378">
        <v>4.49</v>
      </c>
      <c r="I378">
        <v>11.22</v>
      </c>
    </row>
    <row r="379" spans="1:9" x14ac:dyDescent="0.25">
      <c r="A379" s="2">
        <v>42143</v>
      </c>
      <c r="B379">
        <v>7.41</v>
      </c>
      <c r="C379">
        <v>5.44</v>
      </c>
      <c r="E379">
        <v>12.98</v>
      </c>
      <c r="F379">
        <v>4.75</v>
      </c>
      <c r="G379">
        <v>11.86</v>
      </c>
      <c r="H379">
        <v>4.51</v>
      </c>
      <c r="I379">
        <v>11.36</v>
      </c>
    </row>
    <row r="380" spans="1:9" x14ac:dyDescent="0.25">
      <c r="A380" s="2">
        <v>42144</v>
      </c>
      <c r="B380">
        <v>7.65</v>
      </c>
      <c r="C380">
        <v>5.64</v>
      </c>
      <c r="E380">
        <v>13.35</v>
      </c>
      <c r="F380">
        <v>4.84</v>
      </c>
      <c r="G380">
        <v>12.14</v>
      </c>
      <c r="H380">
        <v>4.7300000000000004</v>
      </c>
      <c r="I380">
        <v>12.1</v>
      </c>
    </row>
    <row r="381" spans="1:9" x14ac:dyDescent="0.25">
      <c r="A381" s="2">
        <v>42145</v>
      </c>
      <c r="B381">
        <v>7.9</v>
      </c>
      <c r="C381">
        <v>5.64</v>
      </c>
      <c r="E381">
        <v>14.29</v>
      </c>
      <c r="F381">
        <v>5.09</v>
      </c>
      <c r="G381">
        <v>12.74</v>
      </c>
      <c r="H381">
        <v>4.74</v>
      </c>
      <c r="I381">
        <v>12.26</v>
      </c>
    </row>
    <row r="382" spans="1:9" x14ac:dyDescent="0.25">
      <c r="A382" s="2">
        <v>42146</v>
      </c>
      <c r="B382">
        <v>7.84</v>
      </c>
      <c r="C382">
        <v>5.63</v>
      </c>
      <c r="E382">
        <v>14.39</v>
      </c>
      <c r="F382">
        <v>5.0599999999999996</v>
      </c>
      <c r="G382">
        <v>12.8</v>
      </c>
      <c r="H382">
        <v>4.63</v>
      </c>
      <c r="I382">
        <v>12.3</v>
      </c>
    </row>
    <row r="383" spans="1:9" x14ac:dyDescent="0.25">
      <c r="A383" s="2">
        <v>42149</v>
      </c>
      <c r="B383">
        <v>7.88</v>
      </c>
      <c r="C383">
        <v>5.67</v>
      </c>
      <c r="E383">
        <v>14.46</v>
      </c>
      <c r="F383">
        <v>5.05</v>
      </c>
      <c r="G383">
        <v>12.82</v>
      </c>
      <c r="H383">
        <v>4.6100000000000003</v>
      </c>
      <c r="I383">
        <v>12.52</v>
      </c>
    </row>
    <row r="384" spans="1:9" x14ac:dyDescent="0.25">
      <c r="A384" s="2">
        <v>42150</v>
      </c>
      <c r="B384">
        <v>8.0399999999999991</v>
      </c>
      <c r="C384">
        <v>5.83</v>
      </c>
      <c r="E384">
        <v>14.74</v>
      </c>
      <c r="F384">
        <v>5.16</v>
      </c>
      <c r="G384">
        <v>13.16</v>
      </c>
      <c r="H384">
        <v>4.8099999999999996</v>
      </c>
      <c r="I384">
        <v>12.6</v>
      </c>
    </row>
    <row r="385" spans="1:9" x14ac:dyDescent="0.25">
      <c r="A385" s="2">
        <v>42151</v>
      </c>
      <c r="B385">
        <v>8.06</v>
      </c>
      <c r="C385">
        <v>5.91</v>
      </c>
      <c r="E385">
        <v>15.03</v>
      </c>
      <c r="F385">
        <v>5.33</v>
      </c>
      <c r="G385">
        <v>13.11</v>
      </c>
      <c r="H385">
        <v>4.78</v>
      </c>
      <c r="I385">
        <v>12.5</v>
      </c>
    </row>
    <row r="386" spans="1:9" x14ac:dyDescent="0.25">
      <c r="A386" s="2">
        <v>42152</v>
      </c>
      <c r="B386">
        <v>7.9</v>
      </c>
      <c r="C386">
        <v>6.2</v>
      </c>
      <c r="E386">
        <v>14.82</v>
      </c>
      <c r="F386">
        <v>5.33</v>
      </c>
      <c r="G386">
        <v>13.17</v>
      </c>
      <c r="H386">
        <v>4.83</v>
      </c>
      <c r="I386">
        <v>12.61</v>
      </c>
    </row>
    <row r="387" spans="1:9" x14ac:dyDescent="0.25">
      <c r="A387" s="2">
        <v>42153</v>
      </c>
      <c r="B387">
        <v>7.73</v>
      </c>
      <c r="C387">
        <v>6.12</v>
      </c>
      <c r="E387">
        <v>15.01</v>
      </c>
      <c r="F387">
        <v>5.33</v>
      </c>
      <c r="G387">
        <v>13.2</v>
      </c>
      <c r="H387">
        <v>4.75</v>
      </c>
      <c r="I387">
        <v>12.45</v>
      </c>
    </row>
    <row r="388" spans="1:9" x14ac:dyDescent="0.25">
      <c r="A388" s="2">
        <v>42156</v>
      </c>
      <c r="B388">
        <v>7.61</v>
      </c>
      <c r="C388">
        <v>6.03</v>
      </c>
      <c r="E388">
        <v>14.65</v>
      </c>
      <c r="F388">
        <v>5.25</v>
      </c>
      <c r="G388">
        <v>13.05</v>
      </c>
      <c r="H388">
        <v>4.68</v>
      </c>
      <c r="I388">
        <v>12.14</v>
      </c>
    </row>
    <row r="389" spans="1:9" x14ac:dyDescent="0.25">
      <c r="A389" s="2">
        <v>42157</v>
      </c>
      <c r="B389">
        <v>7.48</v>
      </c>
      <c r="C389">
        <v>6.01</v>
      </c>
      <c r="E389">
        <v>14.06</v>
      </c>
      <c r="F389">
        <v>5.27</v>
      </c>
      <c r="G389">
        <v>12.82</v>
      </c>
      <c r="H389">
        <v>4.71</v>
      </c>
      <c r="I389">
        <v>12.06</v>
      </c>
    </row>
    <row r="390" spans="1:9" x14ac:dyDescent="0.25">
      <c r="A390" s="2">
        <v>42158</v>
      </c>
      <c r="B390">
        <v>7.15</v>
      </c>
      <c r="C390">
        <v>5.81</v>
      </c>
      <c r="E390">
        <v>14.11</v>
      </c>
      <c r="F390">
        <v>5.18</v>
      </c>
      <c r="G390">
        <v>12.68</v>
      </c>
      <c r="H390">
        <v>4.63</v>
      </c>
      <c r="I390">
        <v>11.56</v>
      </c>
    </row>
    <row r="391" spans="1:9" x14ac:dyDescent="0.25">
      <c r="A391" s="2">
        <v>42159</v>
      </c>
      <c r="B391">
        <v>6.84</v>
      </c>
      <c r="C391">
        <v>5.57</v>
      </c>
      <c r="E391">
        <v>13.19</v>
      </c>
      <c r="F391">
        <v>4.6900000000000004</v>
      </c>
      <c r="G391">
        <v>11.96</v>
      </c>
      <c r="H391">
        <v>4.45</v>
      </c>
      <c r="I391">
        <v>11.19</v>
      </c>
    </row>
    <row r="392" spans="1:9" x14ac:dyDescent="0.25">
      <c r="A392" s="2">
        <v>42160</v>
      </c>
      <c r="B392">
        <v>6.5</v>
      </c>
      <c r="C392">
        <v>5.23</v>
      </c>
      <c r="E392">
        <v>12.75</v>
      </c>
      <c r="F392">
        <v>4.25</v>
      </c>
      <c r="G392">
        <v>11.53</v>
      </c>
      <c r="H392">
        <v>4.18</v>
      </c>
      <c r="I392">
        <v>10.72</v>
      </c>
    </row>
    <row r="393" spans="1:9" x14ac:dyDescent="0.25">
      <c r="A393" s="2">
        <v>42163</v>
      </c>
      <c r="B393">
        <v>6.36</v>
      </c>
      <c r="C393">
        <v>5.17</v>
      </c>
      <c r="E393">
        <v>12.24</v>
      </c>
      <c r="F393">
        <v>4.2</v>
      </c>
      <c r="G393">
        <v>11.1</v>
      </c>
      <c r="H393">
        <v>4.12</v>
      </c>
      <c r="I393">
        <v>10.61</v>
      </c>
    </row>
    <row r="394" spans="1:9" x14ac:dyDescent="0.25">
      <c r="A394" s="2">
        <v>42164</v>
      </c>
      <c r="B394">
        <v>5.93</v>
      </c>
      <c r="C394">
        <v>5.0999999999999996</v>
      </c>
      <c r="E394">
        <v>12.27</v>
      </c>
      <c r="F394">
        <v>4.2</v>
      </c>
      <c r="G394">
        <v>10.96</v>
      </c>
      <c r="H394">
        <v>3.96</v>
      </c>
      <c r="I394">
        <v>10.25</v>
      </c>
    </row>
    <row r="395" spans="1:9" x14ac:dyDescent="0.25">
      <c r="A395" s="2">
        <v>42165</v>
      </c>
      <c r="B395">
        <v>5.67</v>
      </c>
      <c r="C395">
        <v>4.95</v>
      </c>
      <c r="E395">
        <v>11.69</v>
      </c>
      <c r="F395">
        <v>4.04</v>
      </c>
      <c r="G395">
        <v>10.46</v>
      </c>
      <c r="H395">
        <v>3.84</v>
      </c>
      <c r="I395">
        <v>9.85</v>
      </c>
    </row>
    <row r="396" spans="1:9" x14ac:dyDescent="0.25">
      <c r="A396" s="2">
        <v>42166</v>
      </c>
      <c r="B396">
        <v>5.45</v>
      </c>
      <c r="C396">
        <v>4.82</v>
      </c>
      <c r="E396">
        <v>11.22</v>
      </c>
      <c r="F396">
        <v>3.98</v>
      </c>
      <c r="G396">
        <v>10.029999999999999</v>
      </c>
      <c r="H396">
        <v>3.77</v>
      </c>
      <c r="I396">
        <v>9.98</v>
      </c>
    </row>
    <row r="397" spans="1:9" x14ac:dyDescent="0.25">
      <c r="A397" s="2">
        <v>42167</v>
      </c>
      <c r="B397">
        <v>5.73</v>
      </c>
      <c r="C397">
        <v>4.75</v>
      </c>
      <c r="E397">
        <v>11.66</v>
      </c>
      <c r="F397">
        <v>3.85</v>
      </c>
      <c r="G397">
        <v>10.35</v>
      </c>
      <c r="H397">
        <v>3.68</v>
      </c>
      <c r="I397">
        <v>10.31</v>
      </c>
    </row>
    <row r="398" spans="1:9" x14ac:dyDescent="0.25">
      <c r="A398" s="2">
        <v>42170</v>
      </c>
      <c r="B398">
        <v>6.02</v>
      </c>
      <c r="C398">
        <v>4.8600000000000003</v>
      </c>
      <c r="E398">
        <v>12.13</v>
      </c>
      <c r="F398">
        <v>4.0199999999999996</v>
      </c>
      <c r="G398">
        <v>10.83</v>
      </c>
      <c r="H398">
        <v>3.67</v>
      </c>
      <c r="I398">
        <v>10.17</v>
      </c>
    </row>
    <row r="399" spans="1:9" x14ac:dyDescent="0.25">
      <c r="A399" s="2">
        <v>42171</v>
      </c>
      <c r="B399">
        <v>5.73</v>
      </c>
      <c r="C399">
        <v>4.87</v>
      </c>
      <c r="E399">
        <v>11.78</v>
      </c>
      <c r="F399">
        <v>4.05</v>
      </c>
      <c r="G399">
        <v>10.58</v>
      </c>
      <c r="H399">
        <v>3.69</v>
      </c>
      <c r="I399">
        <v>9.89</v>
      </c>
    </row>
    <row r="400" spans="1:9" x14ac:dyDescent="0.25">
      <c r="A400" s="2">
        <v>42172</v>
      </c>
      <c r="B400">
        <v>5.44</v>
      </c>
      <c r="C400">
        <v>4.76</v>
      </c>
      <c r="E400">
        <v>11.25</v>
      </c>
      <c r="F400">
        <v>4</v>
      </c>
      <c r="G400">
        <v>10.11</v>
      </c>
      <c r="H400">
        <v>3.64</v>
      </c>
      <c r="I400">
        <v>9.91</v>
      </c>
    </row>
    <row r="401" spans="1:9" x14ac:dyDescent="0.25">
      <c r="A401" s="2">
        <v>42173</v>
      </c>
      <c r="B401">
        <v>5.4</v>
      </c>
      <c r="C401">
        <v>4.72</v>
      </c>
      <c r="E401">
        <v>11.41</v>
      </c>
      <c r="F401">
        <v>3.95</v>
      </c>
      <c r="G401">
        <v>10.11</v>
      </c>
      <c r="H401">
        <v>3.6</v>
      </c>
      <c r="I401">
        <v>9.81</v>
      </c>
    </row>
    <row r="402" spans="1:9" x14ac:dyDescent="0.25">
      <c r="A402" s="2">
        <v>42174</v>
      </c>
      <c r="B402">
        <v>5.37</v>
      </c>
      <c r="C402">
        <v>4.62</v>
      </c>
      <c r="E402">
        <v>11.33</v>
      </c>
      <c r="F402">
        <v>3.93</v>
      </c>
      <c r="G402">
        <v>10.06</v>
      </c>
      <c r="H402">
        <v>3.56</v>
      </c>
      <c r="I402">
        <v>9.7200000000000006</v>
      </c>
    </row>
    <row r="403" spans="1:9" x14ac:dyDescent="0.25">
      <c r="A403" s="2">
        <v>42180</v>
      </c>
      <c r="B403">
        <v>5.58</v>
      </c>
      <c r="C403">
        <v>4.68</v>
      </c>
      <c r="E403">
        <v>11.28</v>
      </c>
      <c r="F403">
        <v>3.83</v>
      </c>
      <c r="G403">
        <v>9.9700000000000006</v>
      </c>
      <c r="H403">
        <v>3.6</v>
      </c>
      <c r="I403">
        <v>9.89</v>
      </c>
    </row>
    <row r="404" spans="1:9" x14ac:dyDescent="0.25">
      <c r="A404" s="2">
        <v>42181</v>
      </c>
      <c r="B404">
        <v>6.54</v>
      </c>
      <c r="C404">
        <v>4.93</v>
      </c>
      <c r="E404">
        <v>12.77</v>
      </c>
      <c r="F404">
        <v>4.12</v>
      </c>
      <c r="G404">
        <v>11.2</v>
      </c>
      <c r="H404">
        <v>3.69</v>
      </c>
      <c r="I404">
        <v>10.71</v>
      </c>
    </row>
    <row r="405" spans="1:9" x14ac:dyDescent="0.25">
      <c r="A405" s="2">
        <v>42182</v>
      </c>
      <c r="B405">
        <v>6.49</v>
      </c>
      <c r="C405">
        <v>4.95</v>
      </c>
      <c r="E405">
        <v>12.44</v>
      </c>
      <c r="F405">
        <v>3.9</v>
      </c>
      <c r="G405">
        <v>11.06</v>
      </c>
      <c r="H405">
        <v>3.67</v>
      </c>
      <c r="I405">
        <v>10.64</v>
      </c>
    </row>
    <row r="406" spans="1:9" x14ac:dyDescent="0.25">
      <c r="A406" s="2">
        <v>42184</v>
      </c>
      <c r="B406">
        <v>6.48</v>
      </c>
      <c r="C406">
        <v>4.9400000000000004</v>
      </c>
      <c r="E406">
        <v>12.33</v>
      </c>
      <c r="F406">
        <v>3.81</v>
      </c>
      <c r="G406">
        <v>11.06</v>
      </c>
      <c r="H406">
        <v>3.68</v>
      </c>
      <c r="I406">
        <v>10.64</v>
      </c>
    </row>
    <row r="407" spans="1:9" x14ac:dyDescent="0.25">
      <c r="A407" s="2">
        <v>42185</v>
      </c>
      <c r="B407">
        <v>6.19</v>
      </c>
      <c r="C407">
        <v>4.83</v>
      </c>
      <c r="E407">
        <v>12.31</v>
      </c>
      <c r="F407">
        <v>3.79</v>
      </c>
      <c r="G407">
        <v>11.12</v>
      </c>
      <c r="H407">
        <v>3.68</v>
      </c>
      <c r="I407">
        <v>10.08</v>
      </c>
    </row>
    <row r="408" spans="1:9" x14ac:dyDescent="0.25">
      <c r="A408" s="2">
        <v>42186</v>
      </c>
      <c r="B408">
        <v>5.66</v>
      </c>
      <c r="C408">
        <v>4.71</v>
      </c>
      <c r="E408">
        <v>11.17</v>
      </c>
      <c r="F408">
        <v>3.73</v>
      </c>
      <c r="G408">
        <v>10.35</v>
      </c>
      <c r="H408">
        <v>3.57</v>
      </c>
      <c r="I408">
        <v>9.75</v>
      </c>
    </row>
    <row r="409" spans="1:9" x14ac:dyDescent="0.25">
      <c r="A409" s="2">
        <v>42187</v>
      </c>
      <c r="B409">
        <v>5.65</v>
      </c>
      <c r="C409">
        <v>4.78</v>
      </c>
      <c r="E409">
        <v>11.05</v>
      </c>
      <c r="F409">
        <v>3.81</v>
      </c>
      <c r="G409">
        <v>9.94</v>
      </c>
      <c r="H409">
        <v>3.47</v>
      </c>
      <c r="I409">
        <v>10.06</v>
      </c>
    </row>
    <row r="410" spans="1:9" x14ac:dyDescent="0.25">
      <c r="A410" s="2">
        <v>42188</v>
      </c>
      <c r="B410">
        <v>5.79</v>
      </c>
      <c r="C410">
        <v>4.8</v>
      </c>
      <c r="E410">
        <v>11.61</v>
      </c>
      <c r="F410">
        <v>3.82</v>
      </c>
      <c r="G410">
        <v>10.47</v>
      </c>
      <c r="H410">
        <v>3.51</v>
      </c>
      <c r="I410">
        <v>10.039999999999999</v>
      </c>
    </row>
    <row r="411" spans="1:9" x14ac:dyDescent="0.25">
      <c r="A411" s="2">
        <v>42191</v>
      </c>
      <c r="B411">
        <v>5.77</v>
      </c>
      <c r="C411">
        <v>4.83</v>
      </c>
      <c r="E411">
        <v>11.56</v>
      </c>
      <c r="F411">
        <v>3.84</v>
      </c>
      <c r="G411">
        <v>10.37</v>
      </c>
      <c r="H411">
        <v>3.51</v>
      </c>
      <c r="I411">
        <v>9.9</v>
      </c>
    </row>
    <row r="412" spans="1:9" x14ac:dyDescent="0.25">
      <c r="A412" s="2">
        <v>42192</v>
      </c>
      <c r="B412">
        <v>5.72</v>
      </c>
      <c r="C412">
        <v>4.9000000000000004</v>
      </c>
      <c r="E412">
        <v>11.41</v>
      </c>
      <c r="F412">
        <v>3.92</v>
      </c>
      <c r="G412">
        <v>10.3</v>
      </c>
      <c r="H412">
        <v>3.55</v>
      </c>
      <c r="I412">
        <v>9.7899999999999991</v>
      </c>
    </row>
    <row r="413" spans="1:9" x14ac:dyDescent="0.25">
      <c r="A413" s="2">
        <v>42193</v>
      </c>
      <c r="B413">
        <v>5.59</v>
      </c>
      <c r="C413">
        <v>5.03</v>
      </c>
      <c r="E413">
        <v>11.06</v>
      </c>
      <c r="F413">
        <v>3.91</v>
      </c>
      <c r="G413">
        <v>10.06</v>
      </c>
      <c r="H413">
        <v>3.59</v>
      </c>
      <c r="I413">
        <v>9.5500000000000007</v>
      </c>
    </row>
    <row r="414" spans="1:9" x14ac:dyDescent="0.25">
      <c r="A414" s="2">
        <v>42194</v>
      </c>
      <c r="B414">
        <v>5.38</v>
      </c>
      <c r="C414">
        <v>4.93</v>
      </c>
      <c r="E414">
        <v>10.63</v>
      </c>
      <c r="F414">
        <v>4.1100000000000003</v>
      </c>
      <c r="G414">
        <v>10.02</v>
      </c>
      <c r="H414">
        <v>3.61</v>
      </c>
      <c r="I414">
        <v>9.2100000000000009</v>
      </c>
    </row>
    <row r="415" spans="1:9" x14ac:dyDescent="0.25">
      <c r="A415" s="2">
        <v>42195</v>
      </c>
      <c r="B415">
        <v>5.2</v>
      </c>
      <c r="C415">
        <v>4.84</v>
      </c>
      <c r="E415">
        <v>10.210000000000001</v>
      </c>
      <c r="F415">
        <v>3.96</v>
      </c>
      <c r="G415">
        <v>9.4499999999999993</v>
      </c>
      <c r="H415">
        <v>3.56</v>
      </c>
      <c r="I415">
        <v>9.44</v>
      </c>
    </row>
    <row r="416" spans="1:9" x14ac:dyDescent="0.25">
      <c r="A416" s="2">
        <v>42198</v>
      </c>
      <c r="B416">
        <v>5.37</v>
      </c>
      <c r="C416">
        <v>4.72</v>
      </c>
      <c r="E416">
        <v>10.84</v>
      </c>
      <c r="F416">
        <v>3.96</v>
      </c>
      <c r="G416">
        <v>9.75</v>
      </c>
      <c r="H416">
        <v>3.53</v>
      </c>
      <c r="I416">
        <v>9.5299999999999994</v>
      </c>
    </row>
    <row r="417" spans="1:9" x14ac:dyDescent="0.25">
      <c r="A417" s="2">
        <v>42199</v>
      </c>
      <c r="B417">
        <v>5.78</v>
      </c>
      <c r="C417">
        <v>4.8600000000000003</v>
      </c>
      <c r="E417">
        <v>11.09</v>
      </c>
      <c r="F417">
        <v>3.73</v>
      </c>
      <c r="G417">
        <v>10.039999999999999</v>
      </c>
      <c r="H417">
        <v>3.59</v>
      </c>
      <c r="I417">
        <v>10.130000000000001</v>
      </c>
    </row>
    <row r="418" spans="1:9" x14ac:dyDescent="0.25">
      <c r="A418" s="2">
        <v>42200</v>
      </c>
      <c r="B418">
        <v>6.1</v>
      </c>
      <c r="C418">
        <v>4.95</v>
      </c>
      <c r="E418">
        <v>12.06</v>
      </c>
      <c r="F418">
        <v>3.91</v>
      </c>
      <c r="G418">
        <v>10.86</v>
      </c>
      <c r="H418">
        <v>3.63</v>
      </c>
      <c r="I418">
        <v>10.25</v>
      </c>
    </row>
    <row r="419" spans="1:9" x14ac:dyDescent="0.25">
      <c r="A419" s="2">
        <v>42201</v>
      </c>
      <c r="B419">
        <v>6.26</v>
      </c>
      <c r="C419">
        <v>5.01</v>
      </c>
      <c r="E419">
        <v>12.32</v>
      </c>
      <c r="F419">
        <v>3.97</v>
      </c>
      <c r="G419">
        <v>11.07</v>
      </c>
      <c r="H419">
        <v>3.64</v>
      </c>
      <c r="I419">
        <v>10.53</v>
      </c>
    </row>
    <row r="420" spans="1:9" x14ac:dyDescent="0.25">
      <c r="A420" s="2">
        <v>42202</v>
      </c>
      <c r="B420">
        <v>6.64</v>
      </c>
      <c r="C420">
        <v>5.22</v>
      </c>
      <c r="E420">
        <v>12.66</v>
      </c>
      <c r="F420">
        <v>4.21</v>
      </c>
      <c r="G420">
        <v>11.39</v>
      </c>
      <c r="H420">
        <v>3.73</v>
      </c>
      <c r="I420">
        <v>11.03</v>
      </c>
    </row>
    <row r="421" spans="1:9" x14ac:dyDescent="0.25">
      <c r="A421" s="2">
        <v>42205</v>
      </c>
      <c r="B421">
        <v>6.88</v>
      </c>
      <c r="C421">
        <v>5.26</v>
      </c>
      <c r="E421">
        <v>13.32</v>
      </c>
      <c r="F421">
        <v>4.32</v>
      </c>
      <c r="G421">
        <v>11.85</v>
      </c>
      <c r="H421">
        <v>3.74</v>
      </c>
      <c r="I421">
        <v>11.14</v>
      </c>
    </row>
    <row r="422" spans="1:9" x14ac:dyDescent="0.25">
      <c r="A422" s="2">
        <v>42206</v>
      </c>
      <c r="B422">
        <v>6.98</v>
      </c>
      <c r="C422">
        <v>5.36</v>
      </c>
      <c r="E422">
        <v>13.55</v>
      </c>
      <c r="F422">
        <v>4.51</v>
      </c>
      <c r="G422">
        <v>12.01</v>
      </c>
      <c r="H422">
        <v>3.79</v>
      </c>
      <c r="I422">
        <v>11.21</v>
      </c>
    </row>
    <row r="423" spans="1:9" x14ac:dyDescent="0.25">
      <c r="A423" s="2">
        <v>42207</v>
      </c>
      <c r="B423">
        <v>6.96</v>
      </c>
      <c r="C423">
        <v>5.34</v>
      </c>
      <c r="E423">
        <v>13.65</v>
      </c>
      <c r="F423">
        <v>4.54</v>
      </c>
      <c r="G423">
        <v>12.06</v>
      </c>
      <c r="H423">
        <v>3.8</v>
      </c>
      <c r="I423">
        <v>10.98</v>
      </c>
    </row>
    <row r="424" spans="1:9" x14ac:dyDescent="0.25">
      <c r="A424" s="2">
        <v>42208</v>
      </c>
      <c r="B424">
        <v>6.76</v>
      </c>
      <c r="C424">
        <v>5.31</v>
      </c>
      <c r="E424">
        <v>13.14</v>
      </c>
      <c r="F424">
        <v>4.45</v>
      </c>
      <c r="G424">
        <v>11.74</v>
      </c>
      <c r="H424">
        <v>3.78</v>
      </c>
      <c r="I424">
        <v>10.83</v>
      </c>
    </row>
    <row r="425" spans="1:9" x14ac:dyDescent="0.25">
      <c r="A425" s="2">
        <v>42209</v>
      </c>
      <c r="B425">
        <v>6.4</v>
      </c>
      <c r="C425">
        <v>5.23</v>
      </c>
      <c r="E425">
        <v>12.98</v>
      </c>
      <c r="F425">
        <v>4.5199999999999996</v>
      </c>
      <c r="G425">
        <v>11.44</v>
      </c>
      <c r="H425">
        <v>3.75</v>
      </c>
      <c r="I425">
        <v>10.51</v>
      </c>
    </row>
    <row r="426" spans="1:9" x14ac:dyDescent="0.25">
      <c r="A426" s="2">
        <v>42212</v>
      </c>
      <c r="B426">
        <v>6.37</v>
      </c>
      <c r="C426">
        <v>5.23</v>
      </c>
      <c r="E426">
        <v>12.61</v>
      </c>
      <c r="F426">
        <v>4.46</v>
      </c>
      <c r="G426">
        <v>11.1</v>
      </c>
      <c r="H426">
        <v>3.76</v>
      </c>
      <c r="I426">
        <v>10.38</v>
      </c>
    </row>
    <row r="427" spans="1:9" x14ac:dyDescent="0.25">
      <c r="A427" s="2">
        <v>42213</v>
      </c>
      <c r="B427">
        <v>6</v>
      </c>
      <c r="C427">
        <v>5.0199999999999996</v>
      </c>
      <c r="E427">
        <v>12.22</v>
      </c>
      <c r="F427">
        <v>4.5</v>
      </c>
      <c r="G427">
        <v>10.79</v>
      </c>
      <c r="H427">
        <v>3.69</v>
      </c>
      <c r="I427">
        <v>9.69</v>
      </c>
    </row>
    <row r="428" spans="1:9" x14ac:dyDescent="0.25">
      <c r="A428" s="2">
        <v>42214</v>
      </c>
      <c r="B428">
        <v>5.64</v>
      </c>
      <c r="C428">
        <v>4.93</v>
      </c>
      <c r="E428">
        <v>11.04</v>
      </c>
      <c r="F428">
        <v>4.3899999999999997</v>
      </c>
      <c r="G428">
        <v>9.8699999999999992</v>
      </c>
      <c r="H428">
        <v>3.68</v>
      </c>
      <c r="I428">
        <v>9.82</v>
      </c>
    </row>
    <row r="429" spans="1:9" x14ac:dyDescent="0.25">
      <c r="A429" s="2">
        <v>42215</v>
      </c>
      <c r="B429">
        <v>5.65</v>
      </c>
      <c r="C429">
        <v>4.8899999999999997</v>
      </c>
      <c r="E429">
        <v>11.54</v>
      </c>
      <c r="F429">
        <v>4.41</v>
      </c>
      <c r="G429">
        <v>10.039999999999999</v>
      </c>
      <c r="H429">
        <v>3.66</v>
      </c>
      <c r="I429">
        <v>10.09</v>
      </c>
    </row>
    <row r="430" spans="1:9" x14ac:dyDescent="0.25">
      <c r="A430" s="2">
        <v>42216</v>
      </c>
      <c r="B430">
        <v>5.78</v>
      </c>
      <c r="C430">
        <v>4.99</v>
      </c>
      <c r="E430">
        <v>12.02</v>
      </c>
      <c r="F430">
        <v>4.42</v>
      </c>
      <c r="G430">
        <v>10.49</v>
      </c>
      <c r="H430">
        <v>3.7</v>
      </c>
      <c r="I430">
        <v>10.28</v>
      </c>
    </row>
    <row r="431" spans="1:9" x14ac:dyDescent="0.25">
      <c r="A431" s="2">
        <v>42219</v>
      </c>
      <c r="B431">
        <v>5.93</v>
      </c>
      <c r="C431">
        <v>5.0199999999999996</v>
      </c>
      <c r="E431">
        <v>12.33</v>
      </c>
      <c r="F431">
        <v>4.58</v>
      </c>
      <c r="G431">
        <v>10.75</v>
      </c>
      <c r="H431">
        <v>3.72</v>
      </c>
      <c r="I431">
        <v>10.31</v>
      </c>
    </row>
    <row r="432" spans="1:9" x14ac:dyDescent="0.25">
      <c r="A432" s="2">
        <v>42220</v>
      </c>
      <c r="B432">
        <v>6.07</v>
      </c>
      <c r="C432">
        <v>5.1100000000000003</v>
      </c>
      <c r="E432">
        <v>12.34</v>
      </c>
      <c r="F432">
        <v>4.5999999999999996</v>
      </c>
      <c r="G432">
        <v>10.65</v>
      </c>
      <c r="H432">
        <v>3.76</v>
      </c>
      <c r="I432">
        <v>10.47</v>
      </c>
    </row>
    <row r="433" spans="1:9" x14ac:dyDescent="0.25">
      <c r="A433" s="2">
        <v>42221</v>
      </c>
      <c r="B433">
        <v>6.25</v>
      </c>
      <c r="C433">
        <v>5.12</v>
      </c>
      <c r="E433">
        <v>12.46</v>
      </c>
      <c r="F433">
        <v>4.63</v>
      </c>
      <c r="G433">
        <v>10.86</v>
      </c>
      <c r="H433">
        <v>3.77</v>
      </c>
      <c r="I433">
        <v>10.48</v>
      </c>
    </row>
    <row r="434" spans="1:9" x14ac:dyDescent="0.25">
      <c r="A434" s="2">
        <v>42222</v>
      </c>
      <c r="B434">
        <v>6.37</v>
      </c>
      <c r="C434">
        <v>5.14</v>
      </c>
      <c r="E434">
        <v>12.44</v>
      </c>
      <c r="F434">
        <v>4.63</v>
      </c>
      <c r="G434">
        <v>10.85</v>
      </c>
      <c r="H434">
        <v>3.8</v>
      </c>
      <c r="I434">
        <v>10.8</v>
      </c>
    </row>
    <row r="435" spans="1:9" x14ac:dyDescent="0.25">
      <c r="A435" s="2">
        <v>42223</v>
      </c>
      <c r="B435">
        <v>6.52</v>
      </c>
      <c r="C435">
        <v>5.0599999999999996</v>
      </c>
      <c r="E435">
        <v>12.92</v>
      </c>
      <c r="F435">
        <v>4.51</v>
      </c>
      <c r="G435">
        <v>11.06</v>
      </c>
      <c r="H435">
        <v>3.8</v>
      </c>
      <c r="I435">
        <v>10.57</v>
      </c>
    </row>
    <row r="436" spans="1:9" x14ac:dyDescent="0.25">
      <c r="A436" s="2">
        <v>42226</v>
      </c>
      <c r="B436">
        <v>6.28</v>
      </c>
      <c r="C436">
        <v>4.97</v>
      </c>
      <c r="E436">
        <v>12.32</v>
      </c>
      <c r="F436">
        <v>4.54</v>
      </c>
      <c r="G436">
        <v>10.69</v>
      </c>
      <c r="H436">
        <v>3.74</v>
      </c>
      <c r="I436">
        <v>10.41</v>
      </c>
    </row>
    <row r="437" spans="1:9" x14ac:dyDescent="0.25">
      <c r="A437" s="2">
        <v>42227</v>
      </c>
      <c r="B437">
        <v>6.14</v>
      </c>
      <c r="C437">
        <v>4.9400000000000004</v>
      </c>
      <c r="E437">
        <v>11.97</v>
      </c>
      <c r="F437">
        <v>4.57</v>
      </c>
      <c r="G437">
        <v>10.43</v>
      </c>
      <c r="H437">
        <v>3.73</v>
      </c>
      <c r="I437">
        <v>10.49</v>
      </c>
    </row>
    <row r="438" spans="1:9" x14ac:dyDescent="0.25">
      <c r="A438" s="2">
        <v>42228</v>
      </c>
      <c r="B438">
        <v>6.03</v>
      </c>
      <c r="C438">
        <v>4.8499999999999996</v>
      </c>
      <c r="E438">
        <v>12.38</v>
      </c>
      <c r="F438">
        <v>4.49</v>
      </c>
      <c r="G438">
        <v>10.5</v>
      </c>
      <c r="H438">
        <v>3.69</v>
      </c>
      <c r="I438">
        <v>10.1</v>
      </c>
    </row>
    <row r="439" spans="1:9" x14ac:dyDescent="0.25">
      <c r="A439" s="2">
        <v>42229</v>
      </c>
      <c r="B439">
        <v>5.76</v>
      </c>
      <c r="C439">
        <v>4.8099999999999996</v>
      </c>
      <c r="E439">
        <v>11.51</v>
      </c>
      <c r="F439">
        <v>4.55</v>
      </c>
      <c r="G439">
        <v>10.119999999999999</v>
      </c>
      <c r="H439">
        <v>3.69</v>
      </c>
      <c r="I439">
        <v>9.58</v>
      </c>
    </row>
    <row r="440" spans="1:9" x14ac:dyDescent="0.25">
      <c r="A440" s="2">
        <v>42230</v>
      </c>
      <c r="B440">
        <v>5.43</v>
      </c>
      <c r="C440">
        <v>4.79</v>
      </c>
      <c r="E440">
        <v>10.34</v>
      </c>
      <c r="F440">
        <v>4.47</v>
      </c>
      <c r="G440">
        <v>9.35</v>
      </c>
      <c r="H440">
        <v>3.72</v>
      </c>
      <c r="I440">
        <v>9.73</v>
      </c>
    </row>
    <row r="441" spans="1:9" x14ac:dyDescent="0.25">
      <c r="A441" s="2">
        <v>42233</v>
      </c>
      <c r="B441">
        <v>5.47</v>
      </c>
      <c r="C441">
        <v>4.68</v>
      </c>
      <c r="E441">
        <v>10.88</v>
      </c>
      <c r="F441">
        <v>4.43</v>
      </c>
      <c r="G441">
        <v>9.61</v>
      </c>
      <c r="H441">
        <v>3.74</v>
      </c>
      <c r="I441">
        <v>9.73</v>
      </c>
    </row>
    <row r="442" spans="1:9" x14ac:dyDescent="0.25">
      <c r="A442" s="2">
        <v>42234</v>
      </c>
      <c r="B442">
        <v>5.42</v>
      </c>
      <c r="C442">
        <v>4.6900000000000004</v>
      </c>
      <c r="E442">
        <v>10.86</v>
      </c>
      <c r="F442">
        <v>4.42</v>
      </c>
      <c r="G442">
        <v>9.59</v>
      </c>
      <c r="H442">
        <v>3.75</v>
      </c>
      <c r="I442">
        <v>9.75</v>
      </c>
    </row>
    <row r="443" spans="1:9" x14ac:dyDescent="0.25">
      <c r="A443" s="2">
        <v>42235</v>
      </c>
      <c r="B443">
        <v>5.5</v>
      </c>
      <c r="C443">
        <v>4.75</v>
      </c>
      <c r="E443">
        <v>11.03</v>
      </c>
      <c r="F443">
        <v>4.4800000000000004</v>
      </c>
      <c r="G443">
        <v>9.64</v>
      </c>
      <c r="H443">
        <v>3.79</v>
      </c>
      <c r="I443">
        <v>9.86</v>
      </c>
    </row>
    <row r="444" spans="1:9" x14ac:dyDescent="0.25">
      <c r="A444" s="2">
        <v>42236</v>
      </c>
      <c r="B444">
        <v>5.41</v>
      </c>
      <c r="C444">
        <v>4.7300000000000004</v>
      </c>
      <c r="E444">
        <v>11.07</v>
      </c>
      <c r="F444">
        <v>4.4400000000000004</v>
      </c>
      <c r="G444">
        <v>9.8000000000000007</v>
      </c>
      <c r="H444">
        <v>3.8</v>
      </c>
      <c r="I444">
        <v>9.65</v>
      </c>
    </row>
    <row r="445" spans="1:9" x14ac:dyDescent="0.25">
      <c r="A445" s="2">
        <v>42237</v>
      </c>
      <c r="B445">
        <v>5</v>
      </c>
      <c r="C445">
        <v>4.5599999999999996</v>
      </c>
      <c r="E445">
        <v>10.25</v>
      </c>
      <c r="F445">
        <v>4.4000000000000004</v>
      </c>
      <c r="G445">
        <v>9.2899999999999991</v>
      </c>
      <c r="H445">
        <v>3.72</v>
      </c>
      <c r="I445">
        <v>9.14</v>
      </c>
    </row>
    <row r="446" spans="1:9" x14ac:dyDescent="0.25">
      <c r="A446" s="2">
        <v>42240</v>
      </c>
      <c r="B446">
        <v>4.4800000000000004</v>
      </c>
      <c r="C446">
        <v>4.4400000000000004</v>
      </c>
      <c r="E446">
        <v>9.32</v>
      </c>
      <c r="F446">
        <v>4.33</v>
      </c>
      <c r="G446">
        <v>8.5299999999999994</v>
      </c>
      <c r="H446">
        <v>3.68</v>
      </c>
      <c r="I446">
        <v>8.65</v>
      </c>
    </row>
    <row r="447" spans="1:9" x14ac:dyDescent="0.25">
      <c r="A447" s="2">
        <v>42241</v>
      </c>
      <c r="B447">
        <v>3.54</v>
      </c>
      <c r="C447">
        <v>4.13</v>
      </c>
      <c r="E447">
        <v>7.72</v>
      </c>
      <c r="F447">
        <v>4.24</v>
      </c>
      <c r="G447">
        <v>7.54</v>
      </c>
      <c r="H447">
        <v>3.58</v>
      </c>
      <c r="I447">
        <v>7.51</v>
      </c>
    </row>
    <row r="448" spans="1:9" x14ac:dyDescent="0.25">
      <c r="A448" s="2">
        <v>42242</v>
      </c>
      <c r="B448">
        <v>2.13</v>
      </c>
      <c r="C448">
        <v>3.9</v>
      </c>
      <c r="E448">
        <v>5.3</v>
      </c>
      <c r="F448">
        <v>3.98</v>
      </c>
      <c r="G448">
        <v>5.36</v>
      </c>
      <c r="H448">
        <v>3.47</v>
      </c>
      <c r="I448">
        <v>7.82</v>
      </c>
    </row>
    <row r="449" spans="1:9" x14ac:dyDescent="0.25">
      <c r="A449" s="2">
        <v>42243</v>
      </c>
      <c r="B449">
        <v>2.59</v>
      </c>
      <c r="C449">
        <v>3.81</v>
      </c>
      <c r="E449">
        <v>7.08</v>
      </c>
      <c r="F449">
        <v>3.84</v>
      </c>
      <c r="G449">
        <v>6.09</v>
      </c>
      <c r="H449">
        <v>3.47</v>
      </c>
      <c r="I449">
        <v>7.66</v>
      </c>
    </row>
    <row r="450" spans="1:9" x14ac:dyDescent="0.25">
      <c r="A450" s="2">
        <v>42244</v>
      </c>
      <c r="B450">
        <v>2.69</v>
      </c>
      <c r="C450">
        <v>3.94</v>
      </c>
      <c r="E450">
        <v>6.24</v>
      </c>
      <c r="F450">
        <v>3.87</v>
      </c>
      <c r="G450">
        <v>6.14</v>
      </c>
      <c r="H450">
        <v>3.52</v>
      </c>
      <c r="I450">
        <v>8.27</v>
      </c>
    </row>
    <row r="451" spans="1:9" x14ac:dyDescent="0.25">
      <c r="A451" s="2">
        <v>42247</v>
      </c>
      <c r="B451">
        <v>3.34</v>
      </c>
      <c r="C451">
        <v>4.16</v>
      </c>
      <c r="E451">
        <v>8.06</v>
      </c>
      <c r="F451">
        <v>3.96</v>
      </c>
      <c r="G451">
        <v>7.04</v>
      </c>
      <c r="H451">
        <v>3.54</v>
      </c>
      <c r="I451">
        <v>8.44</v>
      </c>
    </row>
    <row r="452" spans="1:9" x14ac:dyDescent="0.25">
      <c r="A452" s="2">
        <v>42248</v>
      </c>
      <c r="B452">
        <v>3.5</v>
      </c>
      <c r="C452">
        <v>4.3</v>
      </c>
      <c r="E452">
        <v>8.32</v>
      </c>
      <c r="F452">
        <v>4</v>
      </c>
      <c r="G452">
        <v>7.33</v>
      </c>
      <c r="H452">
        <v>3.59</v>
      </c>
      <c r="I452">
        <v>8.4499999999999993</v>
      </c>
    </row>
    <row r="453" spans="1:9" x14ac:dyDescent="0.25">
      <c r="A453" s="2">
        <v>42249</v>
      </c>
      <c r="B453">
        <v>3.34</v>
      </c>
      <c r="C453">
        <v>4.28</v>
      </c>
      <c r="E453">
        <v>8.0500000000000007</v>
      </c>
      <c r="F453">
        <v>3.98</v>
      </c>
      <c r="G453">
        <v>7.23</v>
      </c>
      <c r="H453">
        <v>3.58</v>
      </c>
      <c r="I453">
        <v>8</v>
      </c>
    </row>
    <row r="454" spans="1:9" x14ac:dyDescent="0.25">
      <c r="A454" s="2">
        <v>42250</v>
      </c>
      <c r="B454">
        <v>2.74</v>
      </c>
      <c r="C454">
        <v>4.18</v>
      </c>
      <c r="E454">
        <v>6.96</v>
      </c>
      <c r="F454">
        <v>3.9</v>
      </c>
      <c r="G454">
        <v>6.61</v>
      </c>
      <c r="H454">
        <v>3.53</v>
      </c>
      <c r="I454">
        <v>7.93</v>
      </c>
    </row>
    <row r="455" spans="1:9" x14ac:dyDescent="0.25">
      <c r="A455" s="2">
        <v>42251</v>
      </c>
      <c r="B455">
        <v>2.82</v>
      </c>
      <c r="C455">
        <v>4.22</v>
      </c>
      <c r="E455">
        <v>6.95</v>
      </c>
      <c r="F455">
        <v>3.87</v>
      </c>
      <c r="G455">
        <v>6.59</v>
      </c>
      <c r="H455">
        <v>3.49</v>
      </c>
      <c r="I455">
        <v>8.3000000000000007</v>
      </c>
    </row>
    <row r="456" spans="1:9" x14ac:dyDescent="0.25">
      <c r="A456" s="2">
        <v>42254</v>
      </c>
      <c r="B456">
        <v>3.2</v>
      </c>
      <c r="C456">
        <v>4.3099999999999996</v>
      </c>
      <c r="E456">
        <v>8</v>
      </c>
      <c r="F456">
        <v>4.0599999999999996</v>
      </c>
      <c r="G456">
        <v>7.15</v>
      </c>
      <c r="H456">
        <v>3.54</v>
      </c>
      <c r="I456">
        <v>8.0500000000000007</v>
      </c>
    </row>
    <row r="457" spans="1:9" x14ac:dyDescent="0.25">
      <c r="A457" s="2">
        <v>42255</v>
      </c>
      <c r="B457">
        <v>2.91</v>
      </c>
      <c r="C457">
        <v>4.3099999999999996</v>
      </c>
      <c r="E457">
        <v>7.11</v>
      </c>
      <c r="F457">
        <v>4.1399999999999997</v>
      </c>
      <c r="G457">
        <v>6.73</v>
      </c>
      <c r="H457">
        <v>3.55</v>
      </c>
      <c r="I457">
        <v>8</v>
      </c>
    </row>
    <row r="458" spans="1:9" x14ac:dyDescent="0.25">
      <c r="A458" s="2">
        <v>42256</v>
      </c>
      <c r="B458">
        <v>2.93</v>
      </c>
      <c r="C458">
        <v>4.28</v>
      </c>
      <c r="E458">
        <v>7.18</v>
      </c>
      <c r="F458">
        <v>4.0999999999999996</v>
      </c>
      <c r="G458">
        <v>6.68</v>
      </c>
      <c r="H458">
        <v>3.52</v>
      </c>
      <c r="I458">
        <v>8.19</v>
      </c>
    </row>
    <row r="459" spans="1:9" x14ac:dyDescent="0.25">
      <c r="A459" s="2">
        <v>42257</v>
      </c>
      <c r="B459">
        <v>3.4</v>
      </c>
      <c r="C459">
        <v>4.2699999999999996</v>
      </c>
      <c r="E459">
        <v>7.63</v>
      </c>
      <c r="F459">
        <v>4.09</v>
      </c>
      <c r="G459">
        <v>6.98</v>
      </c>
      <c r="H459">
        <v>3.54</v>
      </c>
      <c r="I459">
        <v>8.36</v>
      </c>
    </row>
    <row r="460" spans="1:9" x14ac:dyDescent="0.25">
      <c r="A460" s="2">
        <v>42258</v>
      </c>
      <c r="B460">
        <v>3.57</v>
      </c>
      <c r="C460">
        <v>4.2699999999999996</v>
      </c>
      <c r="E460">
        <v>8.16</v>
      </c>
      <c r="F460">
        <v>4.1100000000000003</v>
      </c>
      <c r="G460">
        <v>7.42</v>
      </c>
      <c r="H460">
        <v>3.56</v>
      </c>
      <c r="I460">
        <v>8.24</v>
      </c>
    </row>
    <row r="461" spans="1:9" x14ac:dyDescent="0.25">
      <c r="A461" s="2">
        <v>42261</v>
      </c>
      <c r="B461">
        <v>3.2</v>
      </c>
      <c r="C461">
        <v>4.1900000000000004</v>
      </c>
      <c r="E461">
        <v>7.51</v>
      </c>
      <c r="F461">
        <v>4.03</v>
      </c>
      <c r="G461">
        <v>6.92</v>
      </c>
      <c r="H461">
        <v>3.52</v>
      </c>
      <c r="I461">
        <v>8.11</v>
      </c>
    </row>
    <row r="462" spans="1:9" x14ac:dyDescent="0.25">
      <c r="A462" s="2">
        <v>42262</v>
      </c>
      <c r="B462">
        <v>2.96</v>
      </c>
      <c r="C462">
        <v>4.17</v>
      </c>
      <c r="E462">
        <v>7.24</v>
      </c>
      <c r="F462">
        <v>4.03</v>
      </c>
      <c r="G462">
        <v>6.69</v>
      </c>
      <c r="H462">
        <v>3.47</v>
      </c>
      <c r="I462">
        <v>7.96</v>
      </c>
    </row>
    <row r="463" spans="1:9" x14ac:dyDescent="0.25">
      <c r="A463" s="2">
        <v>42263</v>
      </c>
      <c r="B463">
        <v>2.94</v>
      </c>
      <c r="C463">
        <v>4.1399999999999997</v>
      </c>
      <c r="E463">
        <v>7.24</v>
      </c>
      <c r="F463">
        <v>4.03</v>
      </c>
      <c r="G463">
        <v>6.58</v>
      </c>
      <c r="H463">
        <v>3.47</v>
      </c>
      <c r="I463">
        <v>8.0399999999999991</v>
      </c>
    </row>
    <row r="464" spans="1:9" x14ac:dyDescent="0.25">
      <c r="A464" s="2">
        <v>42264</v>
      </c>
      <c r="B464">
        <v>3</v>
      </c>
      <c r="C464">
        <v>4.13</v>
      </c>
      <c r="E464">
        <v>7.48</v>
      </c>
      <c r="F464">
        <v>3.93</v>
      </c>
      <c r="G464">
        <v>6.73</v>
      </c>
      <c r="H464">
        <v>3.46</v>
      </c>
      <c r="I464">
        <v>8.26</v>
      </c>
    </row>
    <row r="465" spans="1:9" x14ac:dyDescent="0.25">
      <c r="A465" s="2">
        <v>42265</v>
      </c>
      <c r="B465">
        <v>3.27</v>
      </c>
      <c r="C465">
        <v>4.07</v>
      </c>
      <c r="E465">
        <v>7.9</v>
      </c>
      <c r="F465">
        <v>3.84</v>
      </c>
      <c r="G465">
        <v>7.05</v>
      </c>
      <c r="H465">
        <v>3.37</v>
      </c>
      <c r="I465">
        <v>8.25</v>
      </c>
    </row>
    <row r="466" spans="1:9" x14ac:dyDescent="0.25">
      <c r="A466" s="2">
        <v>42268</v>
      </c>
      <c r="B466">
        <v>3.28</v>
      </c>
      <c r="C466">
        <v>4.1100000000000003</v>
      </c>
      <c r="E466">
        <v>7.93</v>
      </c>
      <c r="F466">
        <v>3.89</v>
      </c>
      <c r="G466">
        <v>7.06</v>
      </c>
      <c r="H466">
        <v>3.36</v>
      </c>
      <c r="I466">
        <v>7.97</v>
      </c>
    </row>
    <row r="467" spans="1:9" x14ac:dyDescent="0.25">
      <c r="A467" s="2">
        <v>42269</v>
      </c>
      <c r="B467">
        <v>3.08</v>
      </c>
      <c r="C467">
        <v>4.3600000000000003</v>
      </c>
      <c r="E467">
        <v>7.46</v>
      </c>
      <c r="F467">
        <v>4.1100000000000003</v>
      </c>
      <c r="G467">
        <v>6.75</v>
      </c>
      <c r="H467">
        <v>3.48</v>
      </c>
      <c r="I467">
        <v>8.17</v>
      </c>
    </row>
    <row r="468" spans="1:9" x14ac:dyDescent="0.25">
      <c r="A468" s="2">
        <v>42270</v>
      </c>
      <c r="B468">
        <v>2.83</v>
      </c>
      <c r="C468">
        <v>4.3499999999999996</v>
      </c>
      <c r="E468">
        <v>7.85</v>
      </c>
      <c r="F468">
        <v>4.1399999999999997</v>
      </c>
      <c r="G468">
        <v>7.12</v>
      </c>
      <c r="H468">
        <v>3.53</v>
      </c>
      <c r="I468">
        <v>7.85</v>
      </c>
    </row>
    <row r="469" spans="1:9" x14ac:dyDescent="0.25">
      <c r="A469" s="2">
        <v>42271</v>
      </c>
      <c r="B469">
        <v>2.37</v>
      </c>
      <c r="C469">
        <v>4.2699999999999996</v>
      </c>
      <c r="E469">
        <v>7.1</v>
      </c>
      <c r="F469">
        <v>4.17</v>
      </c>
      <c r="G469">
        <v>6.73</v>
      </c>
      <c r="H469">
        <v>3.49</v>
      </c>
      <c r="I469">
        <v>7.82</v>
      </c>
    </row>
    <row r="470" spans="1:9" x14ac:dyDescent="0.25">
      <c r="A470" s="2">
        <v>42272</v>
      </c>
      <c r="B470">
        <v>1.99</v>
      </c>
      <c r="C470">
        <v>4.07</v>
      </c>
      <c r="E470">
        <v>6.99</v>
      </c>
      <c r="F470">
        <v>4.09</v>
      </c>
      <c r="G470">
        <v>6.49</v>
      </c>
      <c r="H470">
        <v>3.43</v>
      </c>
      <c r="I470">
        <v>7.4</v>
      </c>
    </row>
    <row r="471" spans="1:9" x14ac:dyDescent="0.25">
      <c r="A471" s="2">
        <v>42275</v>
      </c>
      <c r="B471">
        <v>1.68</v>
      </c>
      <c r="C471">
        <v>4.0199999999999996</v>
      </c>
      <c r="E471">
        <v>6</v>
      </c>
      <c r="F471">
        <v>3.97</v>
      </c>
      <c r="G471">
        <v>5.97</v>
      </c>
      <c r="H471">
        <v>3.4</v>
      </c>
      <c r="I471">
        <v>7.74</v>
      </c>
    </row>
    <row r="472" spans="1:9" x14ac:dyDescent="0.25">
      <c r="A472" s="2">
        <v>42276</v>
      </c>
      <c r="B472">
        <v>1.84</v>
      </c>
      <c r="C472">
        <v>3.86</v>
      </c>
      <c r="E472">
        <v>7</v>
      </c>
      <c r="F472">
        <v>3.88</v>
      </c>
      <c r="G472">
        <v>6.43</v>
      </c>
      <c r="H472">
        <v>3.37</v>
      </c>
      <c r="I472">
        <v>7.44</v>
      </c>
    </row>
    <row r="473" spans="1:9" x14ac:dyDescent="0.25">
      <c r="A473" s="2">
        <v>42277</v>
      </c>
      <c r="B473">
        <v>1.46</v>
      </c>
      <c r="C473">
        <v>3.66</v>
      </c>
      <c r="E473">
        <v>5.9</v>
      </c>
      <c r="F473">
        <v>3.77</v>
      </c>
      <c r="G473">
        <v>5.91</v>
      </c>
      <c r="H473">
        <v>3.29</v>
      </c>
      <c r="I473">
        <v>7.2</v>
      </c>
    </row>
    <row r="474" spans="1:9" x14ac:dyDescent="0.25">
      <c r="A474" s="2">
        <v>42278</v>
      </c>
      <c r="B474">
        <v>1.1200000000000001</v>
      </c>
      <c r="C474">
        <v>3.5</v>
      </c>
      <c r="E474">
        <v>5.46</v>
      </c>
      <c r="F474">
        <v>3.54</v>
      </c>
      <c r="G474">
        <v>5.34</v>
      </c>
      <c r="H474">
        <v>3.21</v>
      </c>
      <c r="I474">
        <v>7.45</v>
      </c>
    </row>
    <row r="475" spans="1:9" x14ac:dyDescent="0.25">
      <c r="A475" s="2">
        <v>42279</v>
      </c>
      <c r="B475">
        <v>1.6</v>
      </c>
      <c r="C475">
        <v>3.63</v>
      </c>
      <c r="E475">
        <v>6.51</v>
      </c>
      <c r="F475">
        <v>3.7</v>
      </c>
      <c r="G475">
        <v>5.88</v>
      </c>
      <c r="H475">
        <v>3.23</v>
      </c>
      <c r="I475">
        <v>7.56</v>
      </c>
    </row>
    <row r="476" spans="1:9" x14ac:dyDescent="0.25">
      <c r="A476" s="2">
        <v>42282</v>
      </c>
      <c r="B476">
        <v>1.78</v>
      </c>
      <c r="C476">
        <v>3.7</v>
      </c>
      <c r="E476">
        <v>6.53</v>
      </c>
      <c r="F476">
        <v>3.84</v>
      </c>
      <c r="G476">
        <v>6.09</v>
      </c>
      <c r="H476">
        <v>3.28</v>
      </c>
      <c r="I476">
        <v>7.57</v>
      </c>
    </row>
    <row r="477" spans="1:9" x14ac:dyDescent="0.25">
      <c r="A477" s="2">
        <v>42283</v>
      </c>
      <c r="B477">
        <v>1.81</v>
      </c>
      <c r="C477">
        <v>3.75</v>
      </c>
      <c r="E477">
        <v>6.6</v>
      </c>
      <c r="F477">
        <v>3.9</v>
      </c>
      <c r="G477">
        <v>5.99</v>
      </c>
      <c r="H477">
        <v>3.29</v>
      </c>
      <c r="I477">
        <v>8.08</v>
      </c>
    </row>
    <row r="478" spans="1:9" x14ac:dyDescent="0.25">
      <c r="A478" s="2">
        <v>42284</v>
      </c>
      <c r="B478">
        <v>2.46</v>
      </c>
      <c r="C478">
        <v>3.88</v>
      </c>
      <c r="E478">
        <v>7.82</v>
      </c>
      <c r="F478">
        <v>3.88</v>
      </c>
      <c r="G478">
        <v>6.86</v>
      </c>
      <c r="H478">
        <v>3.36</v>
      </c>
      <c r="I478">
        <v>8.1999999999999993</v>
      </c>
    </row>
    <row r="479" spans="1:9" x14ac:dyDescent="0.25">
      <c r="A479" s="2">
        <v>42285</v>
      </c>
      <c r="B479">
        <v>3.05</v>
      </c>
      <c r="C479">
        <v>3.99</v>
      </c>
      <c r="E479">
        <v>7.87</v>
      </c>
      <c r="F479">
        <v>3.9</v>
      </c>
      <c r="G479">
        <v>7.07</v>
      </c>
      <c r="H479">
        <v>3.41</v>
      </c>
      <c r="I479">
        <v>8.3000000000000007</v>
      </c>
    </row>
    <row r="480" spans="1:9" x14ac:dyDescent="0.25">
      <c r="A480" s="2">
        <v>42286</v>
      </c>
      <c r="B480">
        <v>3.27</v>
      </c>
      <c r="C480">
        <v>4.1100000000000003</v>
      </c>
      <c r="E480">
        <v>8.15</v>
      </c>
      <c r="F480">
        <v>4.04</v>
      </c>
      <c r="G480">
        <v>7.16</v>
      </c>
      <c r="H480">
        <v>3.47</v>
      </c>
      <c r="I480">
        <v>8.33</v>
      </c>
    </row>
    <row r="481" spans="1:9" x14ac:dyDescent="0.25">
      <c r="A481" s="2">
        <v>42289</v>
      </c>
      <c r="B481">
        <v>3.26</v>
      </c>
      <c r="C481">
        <v>4.13</v>
      </c>
      <c r="E481">
        <v>8.24</v>
      </c>
      <c r="F481">
        <v>4.04</v>
      </c>
      <c r="G481">
        <v>7.19</v>
      </c>
      <c r="H481">
        <v>3.5</v>
      </c>
      <c r="I481">
        <v>8.32</v>
      </c>
    </row>
    <row r="482" spans="1:9" x14ac:dyDescent="0.25">
      <c r="A482" s="2">
        <v>42290</v>
      </c>
      <c r="B482">
        <v>3.47</v>
      </c>
      <c r="C482">
        <v>4.16</v>
      </c>
      <c r="E482">
        <v>8.42</v>
      </c>
      <c r="F482">
        <v>4.01</v>
      </c>
      <c r="G482">
        <v>7.3</v>
      </c>
      <c r="H482">
        <v>3.49</v>
      </c>
      <c r="I482">
        <v>8.31</v>
      </c>
    </row>
    <row r="483" spans="1:9" x14ac:dyDescent="0.25">
      <c r="A483" s="2">
        <v>42291</v>
      </c>
      <c r="B483">
        <v>3.37</v>
      </c>
      <c r="C483">
        <v>4.24</v>
      </c>
      <c r="E483">
        <v>8.41</v>
      </c>
      <c r="F483">
        <v>4.1100000000000003</v>
      </c>
      <c r="G483">
        <v>7.24</v>
      </c>
      <c r="H483">
        <v>3.52</v>
      </c>
      <c r="I483">
        <v>8.15</v>
      </c>
    </row>
    <row r="484" spans="1:9" x14ac:dyDescent="0.25">
      <c r="A484" s="2">
        <v>42292</v>
      </c>
      <c r="B484">
        <v>3.2</v>
      </c>
      <c r="C484">
        <v>4.1900000000000004</v>
      </c>
      <c r="E484">
        <v>8.2100000000000009</v>
      </c>
      <c r="F484">
        <v>4.09</v>
      </c>
      <c r="G484">
        <v>7.05</v>
      </c>
      <c r="H484">
        <v>3.5</v>
      </c>
      <c r="I484">
        <v>8.1300000000000008</v>
      </c>
    </row>
    <row r="485" spans="1:9" x14ac:dyDescent="0.25">
      <c r="A485" s="2">
        <v>42293</v>
      </c>
      <c r="B485">
        <v>3.13</v>
      </c>
      <c r="C485">
        <v>4.2</v>
      </c>
      <c r="E485">
        <v>7.85</v>
      </c>
      <c r="F485">
        <v>4.1100000000000003</v>
      </c>
      <c r="G485">
        <v>6.83</v>
      </c>
      <c r="H485">
        <v>3.51</v>
      </c>
      <c r="I485">
        <v>8.1999999999999993</v>
      </c>
    </row>
    <row r="486" spans="1:9" x14ac:dyDescent="0.25">
      <c r="A486" s="2">
        <v>42296</v>
      </c>
      <c r="B486">
        <v>3.41</v>
      </c>
      <c r="C486">
        <v>4.32</v>
      </c>
      <c r="E486">
        <v>8.27</v>
      </c>
      <c r="F486">
        <v>4.1399999999999997</v>
      </c>
      <c r="G486">
        <v>7.1</v>
      </c>
      <c r="H486">
        <v>3.55</v>
      </c>
      <c r="I486">
        <v>8.3800000000000008</v>
      </c>
    </row>
    <row r="487" spans="1:9" x14ac:dyDescent="0.25">
      <c r="A487" s="2">
        <v>42297</v>
      </c>
      <c r="B487">
        <v>3.62</v>
      </c>
      <c r="C487">
        <v>4.41</v>
      </c>
      <c r="E487">
        <v>8.6999999999999993</v>
      </c>
      <c r="F487">
        <v>4.21</v>
      </c>
      <c r="G487">
        <v>7.39</v>
      </c>
      <c r="H487">
        <v>3.6</v>
      </c>
      <c r="I487">
        <v>8.48</v>
      </c>
    </row>
    <row r="488" spans="1:9" x14ac:dyDescent="0.25">
      <c r="A488" s="2">
        <v>42298</v>
      </c>
      <c r="B488">
        <v>3.62</v>
      </c>
      <c r="C488">
        <v>4.4000000000000004</v>
      </c>
      <c r="E488">
        <v>8.75</v>
      </c>
      <c r="F488">
        <v>4.22</v>
      </c>
      <c r="G488">
        <v>7.47</v>
      </c>
      <c r="H488">
        <v>3.62</v>
      </c>
      <c r="I488">
        <v>8.36</v>
      </c>
    </row>
    <row r="489" spans="1:9" x14ac:dyDescent="0.25">
      <c r="A489" s="2">
        <v>42299</v>
      </c>
      <c r="B489">
        <v>3.67</v>
      </c>
      <c r="C489">
        <v>4.4000000000000004</v>
      </c>
      <c r="E489">
        <v>8.6</v>
      </c>
      <c r="F489">
        <v>4.1100000000000003</v>
      </c>
      <c r="G489">
        <v>7.39</v>
      </c>
      <c r="H489">
        <v>3.59</v>
      </c>
      <c r="I489">
        <v>8.3699999999999992</v>
      </c>
    </row>
    <row r="490" spans="1:9" x14ac:dyDescent="0.25">
      <c r="A490" s="2">
        <v>42300</v>
      </c>
      <c r="B490">
        <v>3.78</v>
      </c>
      <c r="C490">
        <v>4.4400000000000004</v>
      </c>
      <c r="E490">
        <v>8.68</v>
      </c>
      <c r="F490">
        <v>4.18</v>
      </c>
      <c r="G490">
        <v>7.38</v>
      </c>
      <c r="H490">
        <v>3.59</v>
      </c>
      <c r="I490">
        <v>8.67</v>
      </c>
    </row>
    <row r="491" spans="1:9" x14ac:dyDescent="0.25">
      <c r="A491" s="2">
        <v>42303</v>
      </c>
      <c r="B491">
        <v>4.1399999999999997</v>
      </c>
      <c r="C491">
        <v>4.71</v>
      </c>
      <c r="E491">
        <v>9.52</v>
      </c>
      <c r="F491">
        <v>4.42</v>
      </c>
      <c r="G491">
        <v>7.85</v>
      </c>
      <c r="H491">
        <v>3.68</v>
      </c>
      <c r="I491">
        <v>9.1300000000000008</v>
      </c>
    </row>
    <row r="492" spans="1:9" x14ac:dyDescent="0.25">
      <c r="A492" s="2">
        <v>42304</v>
      </c>
      <c r="B492">
        <v>4.75</v>
      </c>
      <c r="C492">
        <v>4.8</v>
      </c>
      <c r="E492">
        <v>10.3</v>
      </c>
      <c r="F492">
        <v>4.5199999999999996</v>
      </c>
      <c r="G492">
        <v>8.5399999999999991</v>
      </c>
      <c r="H492">
        <v>3.74</v>
      </c>
      <c r="I492">
        <v>9.23</v>
      </c>
    </row>
    <row r="493" spans="1:9" x14ac:dyDescent="0.25">
      <c r="A493" s="2">
        <v>42305</v>
      </c>
      <c r="B493">
        <v>4.7</v>
      </c>
      <c r="C493">
        <v>4.88</v>
      </c>
      <c r="E493">
        <v>10.220000000000001</v>
      </c>
      <c r="F493">
        <v>4.58</v>
      </c>
      <c r="G493">
        <v>8.4600000000000009</v>
      </c>
      <c r="H493">
        <v>3.75</v>
      </c>
      <c r="I493">
        <v>9.1199999999999992</v>
      </c>
    </row>
    <row r="494" spans="1:9" x14ac:dyDescent="0.25">
      <c r="A494" s="2">
        <v>42306</v>
      </c>
      <c r="B494">
        <v>4.54</v>
      </c>
      <c r="C494">
        <v>4.8499999999999996</v>
      </c>
      <c r="E494">
        <v>9.98</v>
      </c>
      <c r="F494">
        <v>4.67</v>
      </c>
      <c r="G494">
        <v>8.34</v>
      </c>
      <c r="H494">
        <v>3.79</v>
      </c>
      <c r="I494">
        <v>9.16</v>
      </c>
    </row>
    <row r="495" spans="1:9" x14ac:dyDescent="0.25">
      <c r="A495" s="2">
        <v>42307</v>
      </c>
      <c r="B495">
        <v>4.74</v>
      </c>
      <c r="C495">
        <v>4.9400000000000004</v>
      </c>
      <c r="E495">
        <v>10.23</v>
      </c>
      <c r="F495">
        <v>4.68</v>
      </c>
      <c r="G495">
        <v>8.57</v>
      </c>
      <c r="H495">
        <v>3.83</v>
      </c>
      <c r="I495">
        <v>9.2899999999999991</v>
      </c>
    </row>
    <row r="496" spans="1:9" x14ac:dyDescent="0.25">
      <c r="A496" s="2">
        <v>42310</v>
      </c>
      <c r="B496">
        <v>4.5999999999999996</v>
      </c>
      <c r="C496">
        <v>4.8600000000000003</v>
      </c>
      <c r="E496">
        <v>10.220000000000001</v>
      </c>
      <c r="F496">
        <v>4.58</v>
      </c>
      <c r="G496">
        <v>8.59</v>
      </c>
      <c r="H496">
        <v>3.74</v>
      </c>
      <c r="I496">
        <v>9.16</v>
      </c>
    </row>
    <row r="497" spans="1:9" x14ac:dyDescent="0.25">
      <c r="A497" s="2">
        <v>42311</v>
      </c>
      <c r="B497">
        <v>4.6500000000000004</v>
      </c>
      <c r="C497">
        <v>4.8600000000000003</v>
      </c>
      <c r="E497">
        <v>10.11</v>
      </c>
      <c r="F497">
        <v>4.5599999999999996</v>
      </c>
      <c r="G497">
        <v>8.4600000000000009</v>
      </c>
      <c r="H497">
        <v>3.71</v>
      </c>
      <c r="I497">
        <v>9.25</v>
      </c>
    </row>
    <row r="498" spans="1:9" x14ac:dyDescent="0.25">
      <c r="A498" s="2">
        <v>42312</v>
      </c>
      <c r="B498">
        <v>4.72</v>
      </c>
      <c r="C498">
        <v>4.93</v>
      </c>
      <c r="E498">
        <v>10.18</v>
      </c>
      <c r="F498">
        <v>4.51</v>
      </c>
      <c r="G498">
        <v>8.67</v>
      </c>
      <c r="H498">
        <v>3.77</v>
      </c>
      <c r="I498">
        <v>9.34</v>
      </c>
    </row>
    <row r="499" spans="1:9" x14ac:dyDescent="0.25">
      <c r="A499" s="2">
        <v>42313</v>
      </c>
      <c r="B499">
        <v>4.79</v>
      </c>
      <c r="C499">
        <v>4.9800000000000004</v>
      </c>
      <c r="E499">
        <v>10.58</v>
      </c>
      <c r="F499">
        <v>4.5999999999999996</v>
      </c>
      <c r="G499">
        <v>8.9</v>
      </c>
      <c r="H499">
        <v>3.8</v>
      </c>
      <c r="I499">
        <v>9.4700000000000006</v>
      </c>
    </row>
    <row r="500" spans="1:9" x14ac:dyDescent="0.25">
      <c r="A500" s="2">
        <v>42314</v>
      </c>
      <c r="B500">
        <v>5</v>
      </c>
      <c r="C500">
        <v>5.05</v>
      </c>
      <c r="E500">
        <v>10.82</v>
      </c>
      <c r="F500">
        <v>4.63</v>
      </c>
      <c r="G500">
        <v>9.1199999999999992</v>
      </c>
      <c r="H500">
        <v>3.84</v>
      </c>
      <c r="I500">
        <v>9.48</v>
      </c>
    </row>
    <row r="501" spans="1:9" x14ac:dyDescent="0.25">
      <c r="A501" s="2">
        <v>42317</v>
      </c>
      <c r="B501">
        <v>4.9800000000000004</v>
      </c>
      <c r="C501">
        <v>5.0199999999999996</v>
      </c>
      <c r="E501">
        <v>10.73</v>
      </c>
      <c r="F501">
        <v>4.62</v>
      </c>
      <c r="G501">
        <v>9.08</v>
      </c>
      <c r="H501">
        <v>3.8</v>
      </c>
      <c r="I501">
        <v>9.49</v>
      </c>
    </row>
    <row r="502" spans="1:9" x14ac:dyDescent="0.25">
      <c r="A502" s="2">
        <v>42318</v>
      </c>
      <c r="B502">
        <v>4.71</v>
      </c>
      <c r="C502">
        <v>5.0199999999999996</v>
      </c>
      <c r="E502">
        <v>10.73</v>
      </c>
      <c r="F502">
        <v>4.45</v>
      </c>
      <c r="G502">
        <v>9.06</v>
      </c>
      <c r="H502">
        <v>3.8</v>
      </c>
      <c r="I502">
        <v>9.42</v>
      </c>
    </row>
    <row r="503" spans="1:9" x14ac:dyDescent="0.25">
      <c r="A503" s="2">
        <v>42319</v>
      </c>
      <c r="B503">
        <v>4.6100000000000003</v>
      </c>
      <c r="C503">
        <v>4.9800000000000004</v>
      </c>
      <c r="E503">
        <v>10.24</v>
      </c>
      <c r="F503">
        <v>4.47</v>
      </c>
      <c r="G503">
        <v>8.85</v>
      </c>
      <c r="H503">
        <v>3.72</v>
      </c>
      <c r="I503">
        <v>9.5399999999999991</v>
      </c>
    </row>
    <row r="504" spans="1:9" x14ac:dyDescent="0.25">
      <c r="A504" s="2">
        <v>42320</v>
      </c>
      <c r="B504">
        <v>4.46</v>
      </c>
      <c r="C504">
        <v>5</v>
      </c>
      <c r="E504">
        <v>10.46</v>
      </c>
      <c r="F504">
        <v>4.57</v>
      </c>
      <c r="G504">
        <v>8.8699999999999992</v>
      </c>
      <c r="H504">
        <v>3.74</v>
      </c>
      <c r="I504">
        <v>9.57</v>
      </c>
    </row>
    <row r="505" spans="1:9" x14ac:dyDescent="0.25">
      <c r="A505" s="2">
        <v>42321</v>
      </c>
      <c r="B505">
        <v>4.58</v>
      </c>
      <c r="C505">
        <v>5.01</v>
      </c>
      <c r="E505">
        <v>10.54</v>
      </c>
      <c r="F505">
        <v>4.5599999999999996</v>
      </c>
      <c r="G505">
        <v>8.98</v>
      </c>
      <c r="H505">
        <v>3.74</v>
      </c>
      <c r="I505">
        <v>9.44</v>
      </c>
    </row>
    <row r="506" spans="1:9" x14ac:dyDescent="0.25">
      <c r="A506" s="2">
        <v>42324</v>
      </c>
      <c r="B506">
        <v>4.37</v>
      </c>
      <c r="C506">
        <v>4.9800000000000004</v>
      </c>
      <c r="E506">
        <v>10.1</v>
      </c>
      <c r="F506">
        <v>4.54</v>
      </c>
      <c r="G506">
        <v>8.6199999999999992</v>
      </c>
      <c r="H506">
        <v>3.71</v>
      </c>
      <c r="I506">
        <v>9.33</v>
      </c>
    </row>
    <row r="507" spans="1:9" x14ac:dyDescent="0.25">
      <c r="A507" s="2">
        <v>42325</v>
      </c>
      <c r="B507">
        <v>4.1500000000000004</v>
      </c>
      <c r="C507">
        <v>5.04</v>
      </c>
      <c r="E507">
        <v>9.7899999999999991</v>
      </c>
      <c r="F507">
        <v>4.59</v>
      </c>
      <c r="G507">
        <v>8.33</v>
      </c>
      <c r="H507">
        <v>3.73</v>
      </c>
      <c r="I507">
        <v>9.36</v>
      </c>
    </row>
    <row r="508" spans="1:9" x14ac:dyDescent="0.25">
      <c r="A508" s="2">
        <v>42327</v>
      </c>
      <c r="B508">
        <v>4.24</v>
      </c>
      <c r="C508">
        <v>5.09</v>
      </c>
      <c r="E508">
        <v>9.81</v>
      </c>
      <c r="F508">
        <v>4.57</v>
      </c>
      <c r="G508">
        <v>8.4</v>
      </c>
      <c r="H508">
        <v>3.76</v>
      </c>
      <c r="I508">
        <v>9.64</v>
      </c>
    </row>
    <row r="509" spans="1:9" x14ac:dyDescent="0.25">
      <c r="A509" s="2">
        <v>42328</v>
      </c>
      <c r="B509">
        <v>4.72</v>
      </c>
      <c r="C509">
        <v>5.21</v>
      </c>
      <c r="E509">
        <v>10.72</v>
      </c>
      <c r="F509">
        <v>4.71</v>
      </c>
      <c r="G509">
        <v>8.91</v>
      </c>
      <c r="H509">
        <v>3.82</v>
      </c>
      <c r="I509">
        <v>9.6999999999999993</v>
      </c>
    </row>
    <row r="510" spans="1:9" x14ac:dyDescent="0.25">
      <c r="A510" s="2">
        <v>42331</v>
      </c>
      <c r="B510">
        <v>5.04</v>
      </c>
      <c r="C510">
        <v>5.27</v>
      </c>
      <c r="E510">
        <v>10.85</v>
      </c>
      <c r="F510">
        <v>4.7300000000000004</v>
      </c>
      <c r="G510">
        <v>9.07</v>
      </c>
      <c r="H510">
        <v>3.82</v>
      </c>
      <c r="I510">
        <v>9.82</v>
      </c>
    </row>
    <row r="511" spans="1:9" x14ac:dyDescent="0.25">
      <c r="A511" s="2">
        <v>42332</v>
      </c>
      <c r="B511">
        <v>5.14</v>
      </c>
      <c r="C511">
        <v>5.37</v>
      </c>
      <c r="E511">
        <v>11.34</v>
      </c>
      <c r="F511">
        <v>4.82</v>
      </c>
      <c r="G511">
        <v>9.3000000000000007</v>
      </c>
      <c r="H511">
        <v>3.88</v>
      </c>
      <c r="I511">
        <v>9.84</v>
      </c>
    </row>
    <row r="512" spans="1:9" x14ac:dyDescent="0.25">
      <c r="A512" s="2">
        <v>42333</v>
      </c>
      <c r="B512">
        <v>5.04</v>
      </c>
      <c r="C512">
        <v>5.35</v>
      </c>
      <c r="E512">
        <v>11.32</v>
      </c>
      <c r="F512">
        <v>4.8099999999999996</v>
      </c>
      <c r="G512">
        <v>9.1999999999999993</v>
      </c>
      <c r="H512">
        <v>3.86</v>
      </c>
      <c r="I512">
        <v>9.7100000000000009</v>
      </c>
    </row>
    <row r="513" spans="1:9" x14ac:dyDescent="0.25">
      <c r="A513" s="2">
        <v>42334</v>
      </c>
      <c r="B513">
        <v>4.93</v>
      </c>
      <c r="C513">
        <v>5.38</v>
      </c>
      <c r="E513">
        <v>10.86</v>
      </c>
      <c r="F513">
        <v>4.7699999999999996</v>
      </c>
      <c r="G513">
        <v>8.98</v>
      </c>
      <c r="H513">
        <v>3.91</v>
      </c>
      <c r="I513">
        <v>9.9</v>
      </c>
    </row>
    <row r="514" spans="1:9" x14ac:dyDescent="0.25">
      <c r="A514" s="2">
        <v>42335</v>
      </c>
      <c r="B514">
        <v>5.18</v>
      </c>
      <c r="C514">
        <v>5.36</v>
      </c>
      <c r="E514">
        <v>11.32</v>
      </c>
      <c r="F514">
        <v>4.8499999999999996</v>
      </c>
      <c r="G514">
        <v>9.26</v>
      </c>
      <c r="H514">
        <v>3.91</v>
      </c>
      <c r="I514">
        <v>9.94</v>
      </c>
    </row>
    <row r="515" spans="1:9" x14ac:dyDescent="0.25">
      <c r="A515" s="2">
        <v>42338</v>
      </c>
      <c r="B515">
        <v>5.35</v>
      </c>
      <c r="C515">
        <v>5.39</v>
      </c>
      <c r="E515">
        <v>11.61</v>
      </c>
      <c r="F515">
        <v>4.8600000000000003</v>
      </c>
      <c r="G515">
        <v>9.33</v>
      </c>
      <c r="H515">
        <v>3.95</v>
      </c>
      <c r="I515">
        <v>9.9499999999999993</v>
      </c>
    </row>
    <row r="516" spans="1:9" x14ac:dyDescent="0.25">
      <c r="A516" s="2">
        <v>42339</v>
      </c>
      <c r="B516">
        <v>5.37</v>
      </c>
      <c r="C516">
        <v>5.39</v>
      </c>
      <c r="E516">
        <v>11.41</v>
      </c>
      <c r="F516">
        <v>4.88</v>
      </c>
      <c r="G516">
        <v>9.33</v>
      </c>
      <c r="H516">
        <v>3.97</v>
      </c>
      <c r="I516">
        <v>9.9499999999999993</v>
      </c>
    </row>
    <row r="517" spans="1:9" x14ac:dyDescent="0.25">
      <c r="A517" s="2">
        <v>42340</v>
      </c>
      <c r="B517">
        <v>5.39</v>
      </c>
      <c r="C517">
        <v>5.4</v>
      </c>
      <c r="E517">
        <v>11.49</v>
      </c>
      <c r="F517">
        <v>4.88</v>
      </c>
      <c r="G517">
        <v>9.33</v>
      </c>
      <c r="H517">
        <v>4</v>
      </c>
      <c r="I517">
        <v>9.94</v>
      </c>
    </row>
    <row r="518" spans="1:9" x14ac:dyDescent="0.25">
      <c r="A518" s="2">
        <v>42341</v>
      </c>
      <c r="B518">
        <v>5.46</v>
      </c>
      <c r="C518">
        <v>5.44</v>
      </c>
      <c r="E518">
        <v>11.49</v>
      </c>
      <c r="F518">
        <v>4.9000000000000004</v>
      </c>
      <c r="G518">
        <v>9.3699999999999992</v>
      </c>
      <c r="H518">
        <v>4.07</v>
      </c>
      <c r="I518">
        <v>9.9700000000000006</v>
      </c>
    </row>
    <row r="519" spans="1:9" x14ac:dyDescent="0.25">
      <c r="A519" s="2">
        <v>42342</v>
      </c>
      <c r="B519">
        <v>5.42</v>
      </c>
      <c r="C519">
        <v>5.44</v>
      </c>
      <c r="E519">
        <v>11.66</v>
      </c>
      <c r="F519">
        <v>4.96</v>
      </c>
      <c r="G519">
        <v>9.44</v>
      </c>
      <c r="H519">
        <v>4.07</v>
      </c>
      <c r="I519">
        <v>9.57</v>
      </c>
    </row>
    <row r="520" spans="1:9" x14ac:dyDescent="0.25">
      <c r="A520" s="2">
        <v>42345</v>
      </c>
      <c r="B520">
        <v>4.7300000000000004</v>
      </c>
      <c r="C520">
        <v>5.03</v>
      </c>
      <c r="E520">
        <v>9.82</v>
      </c>
      <c r="F520">
        <v>4.3499999999999996</v>
      </c>
      <c r="G520">
        <v>8.5</v>
      </c>
      <c r="H520">
        <v>3.82</v>
      </c>
      <c r="I520">
        <v>9.33</v>
      </c>
    </row>
    <row r="521" spans="1:9" x14ac:dyDescent="0.25">
      <c r="A521" s="2">
        <v>42346</v>
      </c>
      <c r="B521">
        <v>4.41</v>
      </c>
      <c r="C521">
        <v>5.09</v>
      </c>
      <c r="E521">
        <v>9.7799999999999994</v>
      </c>
      <c r="F521">
        <v>4.29</v>
      </c>
      <c r="G521">
        <v>8.1199999999999992</v>
      </c>
      <c r="H521">
        <v>3.79</v>
      </c>
      <c r="I521">
        <v>9.42</v>
      </c>
    </row>
    <row r="522" spans="1:9" x14ac:dyDescent="0.25">
      <c r="A522" s="2">
        <v>42347</v>
      </c>
      <c r="B522">
        <v>4.5599999999999996</v>
      </c>
      <c r="C522">
        <v>5.03</v>
      </c>
      <c r="E522">
        <v>9.98</v>
      </c>
      <c r="F522">
        <v>4.47</v>
      </c>
      <c r="G522">
        <v>8.35</v>
      </c>
      <c r="H522">
        <v>3.79</v>
      </c>
      <c r="I522">
        <v>9.2100000000000009</v>
      </c>
    </row>
    <row r="523" spans="1:9" x14ac:dyDescent="0.25">
      <c r="A523" s="2">
        <v>42348</v>
      </c>
      <c r="B523">
        <v>4.05</v>
      </c>
      <c r="C523">
        <v>4.9000000000000004</v>
      </c>
      <c r="E523">
        <v>9.4700000000000006</v>
      </c>
      <c r="F523">
        <v>4.43</v>
      </c>
      <c r="G523">
        <v>7.84</v>
      </c>
      <c r="H523">
        <v>3.73</v>
      </c>
      <c r="I523">
        <v>9.1</v>
      </c>
    </row>
    <row r="524" spans="1:9" x14ac:dyDescent="0.25">
      <c r="A524" s="2">
        <v>42349</v>
      </c>
      <c r="B524">
        <v>4</v>
      </c>
      <c r="C524">
        <v>4.84</v>
      </c>
      <c r="E524">
        <v>9.1300000000000008</v>
      </c>
      <c r="F524">
        <v>4.3</v>
      </c>
      <c r="G524">
        <v>7.61</v>
      </c>
      <c r="H524">
        <v>3.67</v>
      </c>
      <c r="I524">
        <v>9.08</v>
      </c>
    </row>
    <row r="525" spans="1:9" x14ac:dyDescent="0.25">
      <c r="A525" s="2">
        <v>42352</v>
      </c>
      <c r="B525">
        <v>3.77</v>
      </c>
      <c r="C525">
        <v>4.7699999999999996</v>
      </c>
      <c r="E525">
        <v>9.06</v>
      </c>
      <c r="F525">
        <v>4.3099999999999996</v>
      </c>
      <c r="G525">
        <v>7.48</v>
      </c>
      <c r="H525">
        <v>3.66</v>
      </c>
      <c r="I525">
        <v>8.89</v>
      </c>
    </row>
    <row r="526" spans="1:9" x14ac:dyDescent="0.25">
      <c r="A526" s="2">
        <v>42353</v>
      </c>
      <c r="B526">
        <v>3.33</v>
      </c>
      <c r="C526">
        <v>4.6399999999999997</v>
      </c>
      <c r="E526">
        <v>8.25</v>
      </c>
      <c r="F526">
        <v>4.24</v>
      </c>
      <c r="G526">
        <v>6.91</v>
      </c>
      <c r="H526">
        <v>3.59</v>
      </c>
      <c r="I526">
        <v>8.7200000000000006</v>
      </c>
    </row>
    <row r="527" spans="1:9" x14ac:dyDescent="0.25">
      <c r="A527" s="2">
        <v>42354</v>
      </c>
      <c r="B527">
        <v>3.06</v>
      </c>
      <c r="C527">
        <v>4.43</v>
      </c>
      <c r="E527">
        <v>7.58</v>
      </c>
      <c r="F527">
        <v>3.98</v>
      </c>
      <c r="G527">
        <v>6.55</v>
      </c>
      <c r="H527">
        <v>3.49</v>
      </c>
      <c r="I527">
        <v>8.9700000000000006</v>
      </c>
    </row>
    <row r="528" spans="1:9" x14ac:dyDescent="0.25">
      <c r="A528" s="2">
        <v>42355</v>
      </c>
      <c r="B528">
        <v>3.32</v>
      </c>
      <c r="C528">
        <v>4.42</v>
      </c>
      <c r="E528">
        <v>8.56</v>
      </c>
      <c r="F528">
        <v>3.95</v>
      </c>
      <c r="G528">
        <v>6.99</v>
      </c>
      <c r="H528">
        <v>3.49</v>
      </c>
      <c r="I528">
        <v>8.9499999999999993</v>
      </c>
    </row>
    <row r="529" spans="1:9" x14ac:dyDescent="0.25">
      <c r="A529" s="2">
        <v>42356</v>
      </c>
      <c r="B529">
        <v>3.72</v>
      </c>
      <c r="C529">
        <v>4.55</v>
      </c>
      <c r="E529">
        <v>8.69</v>
      </c>
      <c r="F529">
        <v>3.93</v>
      </c>
      <c r="G529">
        <v>7.32</v>
      </c>
      <c r="H529">
        <v>3.55</v>
      </c>
      <c r="I529">
        <v>9.19</v>
      </c>
    </row>
    <row r="530" spans="1:9" x14ac:dyDescent="0.25">
      <c r="A530" s="2">
        <v>42359</v>
      </c>
      <c r="B530">
        <v>4.03</v>
      </c>
      <c r="C530">
        <v>4.59</v>
      </c>
      <c r="E530">
        <v>9.2799999999999994</v>
      </c>
      <c r="F530">
        <v>4.1500000000000004</v>
      </c>
      <c r="G530">
        <v>7.64</v>
      </c>
      <c r="H530">
        <v>3.57</v>
      </c>
      <c r="I530">
        <v>9.08</v>
      </c>
    </row>
    <row r="531" spans="1:9" x14ac:dyDescent="0.25">
      <c r="A531" s="2">
        <v>42360</v>
      </c>
      <c r="B531">
        <v>3.68</v>
      </c>
      <c r="C531">
        <v>4.58</v>
      </c>
      <c r="E531">
        <v>8.85</v>
      </c>
      <c r="F531">
        <v>4.2</v>
      </c>
      <c r="G531">
        <v>7.31</v>
      </c>
      <c r="H531">
        <v>3.57</v>
      </c>
      <c r="I531">
        <v>8.8800000000000008</v>
      </c>
    </row>
    <row r="532" spans="1:9" x14ac:dyDescent="0.25">
      <c r="A532" s="2">
        <v>42361</v>
      </c>
      <c r="B532">
        <v>3.54</v>
      </c>
      <c r="C532">
        <v>4.49</v>
      </c>
      <c r="E532">
        <v>8.3800000000000008</v>
      </c>
      <c r="F532">
        <v>4.12</v>
      </c>
      <c r="G532">
        <v>7.21</v>
      </c>
      <c r="H532">
        <v>3.53</v>
      </c>
      <c r="I532">
        <v>8.8800000000000008</v>
      </c>
    </row>
    <row r="533" spans="1:9" x14ac:dyDescent="0.25">
      <c r="A533" s="2">
        <v>42366</v>
      </c>
      <c r="B533">
        <v>3.39</v>
      </c>
      <c r="C533">
        <v>4.4800000000000004</v>
      </c>
      <c r="E533">
        <v>8.4499999999999993</v>
      </c>
      <c r="F533">
        <v>4</v>
      </c>
      <c r="G533">
        <v>7.08</v>
      </c>
      <c r="H533">
        <v>3.56</v>
      </c>
      <c r="I533">
        <v>9.2100000000000009</v>
      </c>
    </row>
    <row r="534" spans="1:9" x14ac:dyDescent="0.25">
      <c r="A534" s="2">
        <v>42367</v>
      </c>
      <c r="B534">
        <v>3.73</v>
      </c>
      <c r="C534">
        <v>4.47</v>
      </c>
      <c r="E534">
        <v>9.2899999999999991</v>
      </c>
      <c r="F534">
        <v>4.03</v>
      </c>
      <c r="G534">
        <v>7.58</v>
      </c>
      <c r="H534">
        <v>3.56</v>
      </c>
      <c r="I534">
        <v>9</v>
      </c>
    </row>
    <row r="535" spans="1:9" x14ac:dyDescent="0.25">
      <c r="A535" s="2">
        <v>42368</v>
      </c>
      <c r="B535">
        <v>3.81</v>
      </c>
      <c r="C535">
        <v>4.53</v>
      </c>
      <c r="E535">
        <v>8.92</v>
      </c>
      <c r="F535">
        <v>4.08</v>
      </c>
      <c r="G535">
        <v>7.46</v>
      </c>
      <c r="H535">
        <v>3.54</v>
      </c>
      <c r="I535">
        <v>9.2200000000000006</v>
      </c>
    </row>
    <row r="536" spans="1:9" x14ac:dyDescent="0.25">
      <c r="A536" s="2">
        <v>42369</v>
      </c>
      <c r="B536">
        <v>4.0199999999999996</v>
      </c>
      <c r="C536">
        <v>4.55</v>
      </c>
      <c r="E536">
        <v>9.39</v>
      </c>
      <c r="F536">
        <v>4.05</v>
      </c>
      <c r="G536">
        <v>7.87</v>
      </c>
      <c r="H536">
        <v>3.6</v>
      </c>
      <c r="I536">
        <v>9.16</v>
      </c>
    </row>
    <row r="537" spans="1:9" x14ac:dyDescent="0.25">
      <c r="A537" s="2">
        <v>42373</v>
      </c>
      <c r="B537">
        <v>3.99</v>
      </c>
      <c r="C537">
        <v>4.51</v>
      </c>
      <c r="E537">
        <v>9.58</v>
      </c>
      <c r="F537">
        <v>4.0599999999999996</v>
      </c>
      <c r="G537">
        <v>7.87</v>
      </c>
      <c r="H537">
        <v>3.59</v>
      </c>
      <c r="I537">
        <v>9.15</v>
      </c>
    </row>
    <row r="538" spans="1:9" x14ac:dyDescent="0.25">
      <c r="A538" s="2">
        <v>42374</v>
      </c>
      <c r="B538">
        <v>3.75</v>
      </c>
      <c r="C538">
        <v>4.5199999999999996</v>
      </c>
      <c r="E538">
        <v>9.42</v>
      </c>
      <c r="F538">
        <v>4.0599999999999996</v>
      </c>
      <c r="G538">
        <v>7.69</v>
      </c>
      <c r="H538">
        <v>3.53</v>
      </c>
      <c r="I538">
        <v>8.74</v>
      </c>
    </row>
    <row r="539" spans="1:9" x14ac:dyDescent="0.25">
      <c r="A539" s="2">
        <v>42375</v>
      </c>
      <c r="B539">
        <v>3.06</v>
      </c>
      <c r="C539">
        <v>4.66</v>
      </c>
      <c r="E539">
        <v>8.1999999999999993</v>
      </c>
      <c r="F539">
        <v>4.25</v>
      </c>
      <c r="G539">
        <v>7.04</v>
      </c>
      <c r="H539">
        <v>3.73</v>
      </c>
      <c r="I539">
        <v>9.02</v>
      </c>
    </row>
    <row r="540" spans="1:9" x14ac:dyDescent="0.25">
      <c r="A540" s="2">
        <v>42376</v>
      </c>
      <c r="B540">
        <v>3</v>
      </c>
      <c r="C540">
        <v>4.68</v>
      </c>
      <c r="E540">
        <v>8.74</v>
      </c>
      <c r="F540">
        <v>4.3600000000000003</v>
      </c>
      <c r="G540">
        <v>7.28</v>
      </c>
      <c r="H540">
        <v>3.77</v>
      </c>
      <c r="I540">
        <v>8.82</v>
      </c>
    </row>
    <row r="541" spans="1:9" x14ac:dyDescent="0.25">
      <c r="A541" s="2">
        <v>42377</v>
      </c>
      <c r="B541">
        <v>2.54</v>
      </c>
      <c r="C541">
        <v>4.5599999999999996</v>
      </c>
      <c r="E541">
        <v>8.17</v>
      </c>
      <c r="F541">
        <v>4.4000000000000004</v>
      </c>
      <c r="G541">
        <v>6.89</v>
      </c>
      <c r="H541">
        <v>3.74</v>
      </c>
      <c r="I541">
        <v>8.31</v>
      </c>
    </row>
    <row r="542" spans="1:9" x14ac:dyDescent="0.25">
      <c r="A542" s="2">
        <v>42380</v>
      </c>
      <c r="B542">
        <v>1.99</v>
      </c>
      <c r="C542">
        <v>4.46</v>
      </c>
      <c r="E542">
        <v>7.01</v>
      </c>
      <c r="F542">
        <v>4.21</v>
      </c>
      <c r="G542">
        <v>6.11</v>
      </c>
      <c r="H542">
        <v>3.69</v>
      </c>
      <c r="I542">
        <v>7.94</v>
      </c>
    </row>
    <row r="543" spans="1:9" x14ac:dyDescent="0.25">
      <c r="A543" s="2">
        <v>42381</v>
      </c>
      <c r="B543">
        <v>1.99</v>
      </c>
      <c r="C543">
        <v>4.38</v>
      </c>
      <c r="E543">
        <v>6.19</v>
      </c>
      <c r="F543">
        <v>4.22</v>
      </c>
      <c r="G543">
        <v>5.86</v>
      </c>
      <c r="H543">
        <v>3.64</v>
      </c>
      <c r="I543">
        <v>7.85</v>
      </c>
    </row>
    <row r="544" spans="1:9" x14ac:dyDescent="0.25">
      <c r="A544" s="2">
        <v>42382</v>
      </c>
      <c r="B544">
        <v>1.76</v>
      </c>
      <c r="C544">
        <v>4.34</v>
      </c>
      <c r="E544">
        <v>5.98</v>
      </c>
      <c r="F544">
        <v>4.16</v>
      </c>
      <c r="G544">
        <v>5.48</v>
      </c>
      <c r="H544">
        <v>3.62</v>
      </c>
      <c r="I544">
        <v>8.02</v>
      </c>
    </row>
    <row r="545" spans="1:9" x14ac:dyDescent="0.25">
      <c r="A545" s="2">
        <v>42383</v>
      </c>
      <c r="B545">
        <v>1.92</v>
      </c>
      <c r="C545">
        <v>4.3600000000000003</v>
      </c>
      <c r="E545">
        <v>6.27</v>
      </c>
      <c r="F545">
        <v>4.16</v>
      </c>
      <c r="G545">
        <v>5.81</v>
      </c>
      <c r="H545">
        <v>3.57</v>
      </c>
      <c r="I545">
        <v>8.06</v>
      </c>
    </row>
    <row r="546" spans="1:9" x14ac:dyDescent="0.25">
      <c r="A546" s="2">
        <v>42384</v>
      </c>
      <c r="B546">
        <v>1.86</v>
      </c>
      <c r="C546">
        <v>4.28</v>
      </c>
      <c r="E546">
        <v>6.55</v>
      </c>
      <c r="F546">
        <v>4.13</v>
      </c>
      <c r="G546">
        <v>5.76</v>
      </c>
      <c r="H546">
        <v>3.53</v>
      </c>
      <c r="I546">
        <v>7.75</v>
      </c>
    </row>
    <row r="547" spans="1:9" x14ac:dyDescent="0.25">
      <c r="A547" s="2">
        <v>42387</v>
      </c>
      <c r="B547">
        <v>1.08</v>
      </c>
      <c r="C547">
        <v>4.18</v>
      </c>
      <c r="E547">
        <v>5.6</v>
      </c>
      <c r="F547">
        <v>3.83</v>
      </c>
      <c r="G547">
        <v>4.97</v>
      </c>
      <c r="H547">
        <v>3.47</v>
      </c>
      <c r="I547">
        <v>7.29</v>
      </c>
    </row>
    <row r="548" spans="1:9" x14ac:dyDescent="0.25">
      <c r="A548" s="2">
        <v>42388</v>
      </c>
      <c r="B548">
        <v>0.7</v>
      </c>
      <c r="C548">
        <v>4.0199999999999996</v>
      </c>
      <c r="E548">
        <v>4.46</v>
      </c>
      <c r="F548">
        <v>3.68</v>
      </c>
      <c r="G548">
        <v>4.32</v>
      </c>
      <c r="H548">
        <v>3.39</v>
      </c>
      <c r="I548">
        <v>7.3</v>
      </c>
    </row>
    <row r="549" spans="1:9" x14ac:dyDescent="0.25">
      <c r="A549" s="2">
        <v>42389</v>
      </c>
      <c r="B549">
        <v>0.56999999999999995</v>
      </c>
      <c r="C549">
        <v>3.99</v>
      </c>
      <c r="E549">
        <v>4.57</v>
      </c>
      <c r="F549">
        <v>3.66</v>
      </c>
      <c r="G549">
        <v>4.2</v>
      </c>
      <c r="H549">
        <v>3.31</v>
      </c>
      <c r="I549">
        <v>7.44</v>
      </c>
    </row>
    <row r="550" spans="1:9" x14ac:dyDescent="0.25">
      <c r="A550" s="2">
        <v>42390</v>
      </c>
      <c r="B550">
        <v>0.77</v>
      </c>
      <c r="C550">
        <v>3.87</v>
      </c>
      <c r="E550">
        <v>5</v>
      </c>
      <c r="F550">
        <v>3.63</v>
      </c>
      <c r="G550">
        <v>4.47</v>
      </c>
      <c r="H550">
        <v>3.25</v>
      </c>
      <c r="I550">
        <v>6.82</v>
      </c>
    </row>
    <row r="551" spans="1:9" x14ac:dyDescent="0.25">
      <c r="A551" s="2">
        <v>42391</v>
      </c>
      <c r="B551">
        <v>7.0000000000000007E-2</v>
      </c>
      <c r="C551">
        <v>3.72</v>
      </c>
      <c r="E551">
        <v>3.59</v>
      </c>
      <c r="F551">
        <v>3.57</v>
      </c>
      <c r="G551">
        <v>3.64</v>
      </c>
      <c r="H551">
        <v>3.18</v>
      </c>
      <c r="I551">
        <v>7.15</v>
      </c>
    </row>
    <row r="552" spans="1:9" x14ac:dyDescent="0.25">
      <c r="A552" s="2">
        <v>42394</v>
      </c>
      <c r="B552">
        <v>0.06</v>
      </c>
      <c r="C552">
        <v>3.71</v>
      </c>
      <c r="E552">
        <v>4.55</v>
      </c>
      <c r="F552">
        <v>3.69</v>
      </c>
      <c r="G552">
        <v>3.84</v>
      </c>
      <c r="H552">
        <v>3.17</v>
      </c>
      <c r="I552">
        <v>7.61</v>
      </c>
    </row>
    <row r="553" spans="1:9" x14ac:dyDescent="0.25">
      <c r="A553" s="2">
        <v>42395</v>
      </c>
      <c r="B553">
        <v>0.97</v>
      </c>
      <c r="C553">
        <v>3.87</v>
      </c>
      <c r="E553">
        <v>5.57</v>
      </c>
      <c r="F553">
        <v>3.86</v>
      </c>
      <c r="G553">
        <v>4.88</v>
      </c>
      <c r="H553">
        <v>3.27</v>
      </c>
      <c r="I553">
        <v>7.59</v>
      </c>
    </row>
    <row r="554" spans="1:9" x14ac:dyDescent="0.25">
      <c r="A554" s="2">
        <v>42396</v>
      </c>
      <c r="B554">
        <v>1.05</v>
      </c>
      <c r="C554">
        <v>3.88</v>
      </c>
      <c r="E554">
        <v>5.47</v>
      </c>
      <c r="F554">
        <v>3.89</v>
      </c>
      <c r="G554">
        <v>4.8499999999999996</v>
      </c>
      <c r="H554">
        <v>3.34</v>
      </c>
      <c r="I554">
        <v>7.68</v>
      </c>
    </row>
    <row r="555" spans="1:9" x14ac:dyDescent="0.25">
      <c r="A555" s="2">
        <v>42397</v>
      </c>
      <c r="B555">
        <v>0.91</v>
      </c>
      <c r="C555">
        <v>3.89</v>
      </c>
      <c r="E555">
        <v>5.6</v>
      </c>
      <c r="F555">
        <v>3.93</v>
      </c>
      <c r="G555">
        <v>4.8600000000000003</v>
      </c>
      <c r="H555">
        <v>3.35</v>
      </c>
      <c r="I555">
        <v>7.73</v>
      </c>
    </row>
    <row r="556" spans="1:9" x14ac:dyDescent="0.25">
      <c r="A556" s="2">
        <v>42398</v>
      </c>
      <c r="B556">
        <v>1.1399999999999999</v>
      </c>
      <c r="C556">
        <v>3.95</v>
      </c>
      <c r="E556">
        <v>5.87</v>
      </c>
      <c r="F556">
        <v>3.98</v>
      </c>
      <c r="G556">
        <v>5</v>
      </c>
      <c r="H556">
        <v>3.39</v>
      </c>
      <c r="I556">
        <v>7.43</v>
      </c>
    </row>
    <row r="557" spans="1:9" x14ac:dyDescent="0.25">
      <c r="A557" s="2">
        <v>42401</v>
      </c>
      <c r="B557">
        <v>1.21</v>
      </c>
      <c r="C557">
        <v>4.05</v>
      </c>
      <c r="E557">
        <v>5.3</v>
      </c>
      <c r="F557">
        <v>4.18</v>
      </c>
      <c r="G557">
        <v>5.03</v>
      </c>
      <c r="H557">
        <v>3.44</v>
      </c>
      <c r="I557">
        <v>7.98</v>
      </c>
    </row>
    <row r="558" spans="1:9" x14ac:dyDescent="0.25">
      <c r="A558" s="2">
        <v>42402</v>
      </c>
      <c r="B558">
        <v>1.46</v>
      </c>
      <c r="C558">
        <v>4.26</v>
      </c>
      <c r="E558">
        <v>6.63</v>
      </c>
      <c r="F558">
        <v>4.53</v>
      </c>
      <c r="G558">
        <v>5.64</v>
      </c>
      <c r="H558">
        <v>3.6</v>
      </c>
      <c r="I558">
        <v>7.96</v>
      </c>
    </row>
    <row r="559" spans="1:9" x14ac:dyDescent="0.25">
      <c r="A559" s="2">
        <v>42403</v>
      </c>
      <c r="B559">
        <v>1.55</v>
      </c>
      <c r="C559">
        <v>4.2300000000000004</v>
      </c>
      <c r="E559">
        <v>6.6</v>
      </c>
      <c r="F559">
        <v>4.42</v>
      </c>
      <c r="G559">
        <v>5.67</v>
      </c>
      <c r="H559">
        <v>3.61</v>
      </c>
      <c r="I559">
        <v>7.63</v>
      </c>
    </row>
    <row r="560" spans="1:9" x14ac:dyDescent="0.25">
      <c r="A560" s="2">
        <v>42404</v>
      </c>
      <c r="B560">
        <v>1.29</v>
      </c>
      <c r="C560">
        <v>4.2</v>
      </c>
      <c r="E560">
        <v>5.93</v>
      </c>
      <c r="F560">
        <v>4.43</v>
      </c>
      <c r="G560">
        <v>5.27</v>
      </c>
      <c r="H560">
        <v>3.59</v>
      </c>
      <c r="I560">
        <v>7.23</v>
      </c>
    </row>
    <row r="561" spans="1:9" x14ac:dyDescent="0.25">
      <c r="A561" s="2">
        <v>42405</v>
      </c>
      <c r="B561">
        <v>0.7</v>
      </c>
      <c r="C561">
        <v>3.9</v>
      </c>
      <c r="E561">
        <v>4.91</v>
      </c>
      <c r="F561">
        <v>4.34</v>
      </c>
      <c r="G561">
        <v>4.87</v>
      </c>
      <c r="H561">
        <v>3.4</v>
      </c>
      <c r="I561">
        <v>7.18</v>
      </c>
    </row>
    <row r="562" spans="1:9" x14ac:dyDescent="0.25">
      <c r="A562" s="2">
        <v>42408</v>
      </c>
      <c r="B562">
        <v>0.62</v>
      </c>
      <c r="C562">
        <v>3.95</v>
      </c>
      <c r="E562">
        <v>4.96</v>
      </c>
      <c r="F562">
        <v>4.2699999999999996</v>
      </c>
      <c r="G562">
        <v>4.46</v>
      </c>
      <c r="H562">
        <v>3.4</v>
      </c>
      <c r="I562">
        <v>7.01</v>
      </c>
    </row>
    <row r="563" spans="1:9" x14ac:dyDescent="0.25">
      <c r="A563" s="2">
        <v>42409</v>
      </c>
      <c r="B563">
        <v>0.42</v>
      </c>
      <c r="C563">
        <v>4.01</v>
      </c>
      <c r="E563">
        <v>4.58</v>
      </c>
      <c r="F563">
        <v>4.2699999999999996</v>
      </c>
      <c r="G563">
        <v>4.3600000000000003</v>
      </c>
      <c r="H563">
        <v>3.5</v>
      </c>
      <c r="I563">
        <v>6.4</v>
      </c>
    </row>
    <row r="564" spans="1:9" x14ac:dyDescent="0.25">
      <c r="A564" s="2">
        <v>42410</v>
      </c>
      <c r="B564">
        <v>-0.53</v>
      </c>
      <c r="C564">
        <v>3.78</v>
      </c>
      <c r="E564">
        <v>3.36</v>
      </c>
      <c r="F564">
        <v>4.17</v>
      </c>
      <c r="G564">
        <v>3.52</v>
      </c>
      <c r="H564">
        <v>3.39</v>
      </c>
      <c r="I564">
        <v>6.1</v>
      </c>
    </row>
    <row r="565" spans="1:9" x14ac:dyDescent="0.25">
      <c r="A565" s="2">
        <v>42411</v>
      </c>
      <c r="B565">
        <v>-0.9</v>
      </c>
      <c r="C565">
        <v>3.63</v>
      </c>
      <c r="E565">
        <v>2.68</v>
      </c>
      <c r="F565">
        <v>4.03</v>
      </c>
      <c r="G565">
        <v>2.94</v>
      </c>
      <c r="H565">
        <v>3.24</v>
      </c>
      <c r="I565">
        <v>6.33</v>
      </c>
    </row>
    <row r="566" spans="1:9" x14ac:dyDescent="0.25">
      <c r="A566" s="2">
        <v>42412</v>
      </c>
      <c r="B566">
        <v>-0.91</v>
      </c>
      <c r="C566">
        <v>3.47</v>
      </c>
      <c r="E566">
        <v>3.29</v>
      </c>
      <c r="F566">
        <v>4.12</v>
      </c>
      <c r="G566">
        <v>2.97</v>
      </c>
      <c r="H566">
        <v>3.19</v>
      </c>
      <c r="I566">
        <v>5.63</v>
      </c>
    </row>
    <row r="567" spans="1:9" x14ac:dyDescent="0.25">
      <c r="A567" s="2">
        <v>42415</v>
      </c>
      <c r="B567">
        <v>-1.3</v>
      </c>
      <c r="C567">
        <v>3.44</v>
      </c>
      <c r="E567">
        <v>1.83</v>
      </c>
      <c r="F567">
        <v>4.0199999999999996</v>
      </c>
      <c r="G567">
        <v>2.65</v>
      </c>
      <c r="H567">
        <v>3.2</v>
      </c>
      <c r="I567">
        <v>6.23</v>
      </c>
    </row>
    <row r="568" spans="1:9" x14ac:dyDescent="0.25">
      <c r="A568" s="2">
        <v>42416</v>
      </c>
      <c r="B568">
        <v>-1</v>
      </c>
      <c r="C568">
        <v>3.47</v>
      </c>
      <c r="E568">
        <v>2.85</v>
      </c>
      <c r="F568">
        <v>3.97</v>
      </c>
      <c r="G568">
        <v>3.02</v>
      </c>
      <c r="H568">
        <v>3.19</v>
      </c>
      <c r="I568">
        <v>6.65</v>
      </c>
    </row>
    <row r="569" spans="1:9" x14ac:dyDescent="0.25">
      <c r="A569" s="2">
        <v>42417</v>
      </c>
      <c r="B569">
        <v>-0.43</v>
      </c>
      <c r="C569">
        <v>3.52</v>
      </c>
      <c r="E569">
        <v>3.94</v>
      </c>
      <c r="F569">
        <v>4.09</v>
      </c>
      <c r="G569">
        <v>3.43</v>
      </c>
      <c r="H569">
        <v>3.24</v>
      </c>
      <c r="I569">
        <v>6.73</v>
      </c>
    </row>
    <row r="570" spans="1:9" x14ac:dyDescent="0.25">
      <c r="A570" s="2">
        <v>42418</v>
      </c>
      <c r="B570">
        <v>-0.24</v>
      </c>
      <c r="C570">
        <v>3.58</v>
      </c>
      <c r="E570">
        <v>3.96</v>
      </c>
      <c r="F570">
        <v>4.07</v>
      </c>
      <c r="G570">
        <v>3.84</v>
      </c>
      <c r="H570">
        <v>3.31</v>
      </c>
      <c r="I570">
        <v>7.13</v>
      </c>
    </row>
    <row r="571" spans="1:9" x14ac:dyDescent="0.25">
      <c r="A571" s="2">
        <v>42419</v>
      </c>
      <c r="B571">
        <v>0.17</v>
      </c>
      <c r="C571">
        <v>3.7</v>
      </c>
      <c r="E571">
        <v>4.8899999999999997</v>
      </c>
      <c r="F571">
        <v>4.1100000000000003</v>
      </c>
      <c r="G571">
        <v>4.4400000000000004</v>
      </c>
      <c r="H571">
        <v>3.41</v>
      </c>
      <c r="I571">
        <v>7.18</v>
      </c>
    </row>
    <row r="572" spans="1:9" x14ac:dyDescent="0.25">
      <c r="A572" s="2">
        <v>42422</v>
      </c>
      <c r="B572">
        <v>0.52</v>
      </c>
      <c r="C572">
        <v>3.83</v>
      </c>
      <c r="E572">
        <v>5.15</v>
      </c>
      <c r="F572">
        <v>4.3499999999999996</v>
      </c>
      <c r="G572">
        <v>4.72</v>
      </c>
      <c r="H572">
        <v>3.52</v>
      </c>
      <c r="I572">
        <v>7.12</v>
      </c>
    </row>
    <row r="573" spans="1:9" x14ac:dyDescent="0.25">
      <c r="A573" s="2">
        <v>42423</v>
      </c>
      <c r="B573">
        <v>0.44</v>
      </c>
      <c r="C573">
        <v>3.94</v>
      </c>
      <c r="E573">
        <v>4.91</v>
      </c>
      <c r="F573">
        <v>4.3499999999999996</v>
      </c>
      <c r="G573">
        <v>4.71</v>
      </c>
      <c r="H573">
        <v>3.61</v>
      </c>
      <c r="I573">
        <v>7.49</v>
      </c>
    </row>
    <row r="574" spans="1:9" x14ac:dyDescent="0.25">
      <c r="A574" s="2">
        <v>42424</v>
      </c>
      <c r="B574">
        <v>0.77</v>
      </c>
      <c r="C574">
        <v>4.0599999999999996</v>
      </c>
      <c r="E574">
        <v>5.86</v>
      </c>
      <c r="F574">
        <v>4.5199999999999996</v>
      </c>
      <c r="G574">
        <v>5.21</v>
      </c>
      <c r="H574">
        <v>3.66</v>
      </c>
      <c r="I574">
        <v>7.39</v>
      </c>
    </row>
    <row r="575" spans="1:9" x14ac:dyDescent="0.25">
      <c r="A575" s="2">
        <v>42425</v>
      </c>
      <c r="B575">
        <v>0.55000000000000004</v>
      </c>
      <c r="C575">
        <v>4.0999999999999996</v>
      </c>
      <c r="E575">
        <v>5.35</v>
      </c>
      <c r="F575">
        <v>4.51</v>
      </c>
      <c r="G575">
        <v>5.16</v>
      </c>
      <c r="H575">
        <v>3.72</v>
      </c>
      <c r="I575">
        <v>7.03</v>
      </c>
    </row>
    <row r="576" spans="1:9" x14ac:dyDescent="0.25">
      <c r="A576" s="2">
        <v>42426</v>
      </c>
      <c r="B576">
        <v>0.16</v>
      </c>
      <c r="C576">
        <v>4.08</v>
      </c>
      <c r="E576">
        <v>4.55</v>
      </c>
      <c r="F576">
        <v>4.53</v>
      </c>
      <c r="G576">
        <v>4.8</v>
      </c>
      <c r="H576">
        <v>3.7</v>
      </c>
      <c r="I576">
        <v>7.3</v>
      </c>
    </row>
    <row r="577" spans="1:9" x14ac:dyDescent="0.25">
      <c r="A577" s="2">
        <v>42429</v>
      </c>
      <c r="B577">
        <v>0.7</v>
      </c>
      <c r="C577">
        <v>4.13</v>
      </c>
      <c r="E577">
        <v>5.35</v>
      </c>
      <c r="F577">
        <v>4.63</v>
      </c>
      <c r="G577">
        <v>5.3</v>
      </c>
      <c r="H577">
        <v>3.71</v>
      </c>
      <c r="I577">
        <v>7.63</v>
      </c>
    </row>
    <row r="578" spans="1:9" x14ac:dyDescent="0.25">
      <c r="A578" s="2">
        <v>42430</v>
      </c>
      <c r="B578">
        <v>0.95</v>
      </c>
      <c r="C578">
        <v>4.28</v>
      </c>
      <c r="E578">
        <v>6.19</v>
      </c>
      <c r="F578">
        <v>4.76</v>
      </c>
      <c r="G578">
        <v>5.62</v>
      </c>
      <c r="H578">
        <v>3.84</v>
      </c>
      <c r="I578">
        <v>7.83</v>
      </c>
    </row>
    <row r="579" spans="1:9" x14ac:dyDescent="0.25">
      <c r="A579" s="2">
        <v>42431</v>
      </c>
      <c r="B579">
        <v>1.17</v>
      </c>
      <c r="C579">
        <v>4.3899999999999997</v>
      </c>
      <c r="E579">
        <v>6.5</v>
      </c>
      <c r="F579">
        <v>4.93</v>
      </c>
      <c r="G579">
        <v>5.77</v>
      </c>
      <c r="H579">
        <v>3.9</v>
      </c>
      <c r="I579">
        <v>8.16</v>
      </c>
    </row>
    <row r="580" spans="1:9" x14ac:dyDescent="0.25">
      <c r="A580" s="2">
        <v>42432</v>
      </c>
      <c r="B580">
        <v>1.59</v>
      </c>
      <c r="C580">
        <v>4.49</v>
      </c>
      <c r="E580">
        <v>7.04</v>
      </c>
      <c r="F580">
        <v>5.0199999999999996</v>
      </c>
      <c r="G580">
        <v>6.27</v>
      </c>
      <c r="H580">
        <v>3.99</v>
      </c>
      <c r="I580">
        <v>8.34</v>
      </c>
    </row>
    <row r="581" spans="1:9" x14ac:dyDescent="0.25">
      <c r="A581" s="2">
        <v>42433</v>
      </c>
      <c r="B581">
        <v>1.84</v>
      </c>
      <c r="C581">
        <v>4.54</v>
      </c>
      <c r="E581">
        <v>7.59</v>
      </c>
      <c r="F581">
        <v>4.96</v>
      </c>
      <c r="G581">
        <v>6.43</v>
      </c>
      <c r="H581">
        <v>4.07</v>
      </c>
      <c r="I581">
        <v>8.35</v>
      </c>
    </row>
    <row r="582" spans="1:9" x14ac:dyDescent="0.25">
      <c r="A582" s="2">
        <v>42436</v>
      </c>
      <c r="B582">
        <v>1.96</v>
      </c>
      <c r="C582">
        <v>4.5999999999999996</v>
      </c>
      <c r="E582">
        <v>7.27</v>
      </c>
      <c r="F582">
        <v>5</v>
      </c>
      <c r="G582">
        <v>6.41</v>
      </c>
      <c r="H582">
        <v>4.0999999999999996</v>
      </c>
      <c r="I582">
        <v>8.57</v>
      </c>
    </row>
    <row r="583" spans="1:9" x14ac:dyDescent="0.25">
      <c r="A583" s="2">
        <v>42437</v>
      </c>
      <c r="B583">
        <v>2.0099999999999998</v>
      </c>
      <c r="C583">
        <v>4.67</v>
      </c>
      <c r="E583">
        <v>7.68</v>
      </c>
      <c r="F583">
        <v>4.95</v>
      </c>
      <c r="G583">
        <v>6.51</v>
      </c>
      <c r="H583">
        <v>4.18</v>
      </c>
      <c r="I583">
        <v>8.5500000000000007</v>
      </c>
    </row>
    <row r="584" spans="1:9" x14ac:dyDescent="0.25">
      <c r="A584" s="2">
        <v>42438</v>
      </c>
      <c r="B584">
        <v>1.93</v>
      </c>
      <c r="C584">
        <v>4.67</v>
      </c>
      <c r="E584">
        <v>7.63</v>
      </c>
      <c r="F584">
        <v>5.01</v>
      </c>
      <c r="G584">
        <v>6.59</v>
      </c>
      <c r="H584">
        <v>4.2300000000000004</v>
      </c>
      <c r="I584">
        <v>8.2899999999999991</v>
      </c>
    </row>
    <row r="585" spans="1:9" x14ac:dyDescent="0.25">
      <c r="A585" s="2">
        <v>42439</v>
      </c>
      <c r="B585">
        <v>1.99</v>
      </c>
      <c r="C585">
        <v>4.75</v>
      </c>
      <c r="E585">
        <v>7.19</v>
      </c>
      <c r="F585">
        <v>5.1100000000000003</v>
      </c>
      <c r="G585">
        <v>6.56</v>
      </c>
      <c r="H585">
        <v>4.29</v>
      </c>
      <c r="I585">
        <v>8.4499999999999993</v>
      </c>
    </row>
    <row r="586" spans="1:9" x14ac:dyDescent="0.25">
      <c r="A586" s="2">
        <v>42440</v>
      </c>
      <c r="B586">
        <v>2.17</v>
      </c>
      <c r="C586">
        <v>4.84</v>
      </c>
      <c r="E586">
        <v>7.35</v>
      </c>
      <c r="F586">
        <v>5.03</v>
      </c>
      <c r="G586">
        <v>6.8</v>
      </c>
      <c r="H586">
        <v>4.3499999999999996</v>
      </c>
      <c r="I586">
        <v>8.11</v>
      </c>
    </row>
    <row r="587" spans="1:9" x14ac:dyDescent="0.25">
      <c r="A587" s="2">
        <v>42443</v>
      </c>
      <c r="B587">
        <v>2.0099999999999998</v>
      </c>
      <c r="C587">
        <v>4.7300000000000004</v>
      </c>
      <c r="E587">
        <v>6.49</v>
      </c>
      <c r="F587">
        <v>4.78</v>
      </c>
      <c r="G587">
        <v>6.76</v>
      </c>
      <c r="H587">
        <v>4.2699999999999996</v>
      </c>
      <c r="I587">
        <v>8.5399999999999991</v>
      </c>
    </row>
    <row r="588" spans="1:9" x14ac:dyDescent="0.25">
      <c r="A588" s="2">
        <v>42444</v>
      </c>
      <c r="B588">
        <v>2.2000000000000002</v>
      </c>
      <c r="C588">
        <v>4.8899999999999997</v>
      </c>
      <c r="E588">
        <v>7.81</v>
      </c>
      <c r="F588">
        <v>5.3</v>
      </c>
      <c r="G588">
        <v>6.84</v>
      </c>
      <c r="H588">
        <v>4.3600000000000003</v>
      </c>
      <c r="I588">
        <v>8.6300000000000008</v>
      </c>
    </row>
    <row r="589" spans="1:9" x14ac:dyDescent="0.25">
      <c r="A589" s="2">
        <v>42445</v>
      </c>
      <c r="B589">
        <v>2.52</v>
      </c>
      <c r="C589">
        <v>5.03</v>
      </c>
      <c r="E589">
        <v>8.14</v>
      </c>
      <c r="F589">
        <v>5.35</v>
      </c>
      <c r="G589">
        <v>7.04</v>
      </c>
      <c r="H589">
        <v>4.51</v>
      </c>
      <c r="I589">
        <v>8.39</v>
      </c>
    </row>
    <row r="590" spans="1:9" x14ac:dyDescent="0.25">
      <c r="A590" s="2">
        <v>42446</v>
      </c>
      <c r="B590">
        <v>2.4500000000000002</v>
      </c>
      <c r="C590">
        <v>5.04</v>
      </c>
      <c r="E590">
        <v>7.59</v>
      </c>
      <c r="F590">
        <v>5.05</v>
      </c>
      <c r="G590">
        <v>6.89</v>
      </c>
      <c r="H590">
        <v>4.53</v>
      </c>
      <c r="I590">
        <v>8.43</v>
      </c>
    </row>
    <row r="591" spans="1:9" x14ac:dyDescent="0.25">
      <c r="A591" s="2">
        <v>42447</v>
      </c>
      <c r="B591">
        <v>2.2599999999999998</v>
      </c>
      <c r="C591">
        <v>4.84</v>
      </c>
      <c r="E591">
        <v>7.69</v>
      </c>
      <c r="F591">
        <v>5.01</v>
      </c>
      <c r="G591">
        <v>6.58</v>
      </c>
      <c r="H591">
        <v>4.32</v>
      </c>
      <c r="I591">
        <v>8.5</v>
      </c>
    </row>
    <row r="592" spans="1:9" x14ac:dyDescent="0.25">
      <c r="A592" s="2">
        <v>42450</v>
      </c>
      <c r="B592">
        <v>2.41</v>
      </c>
      <c r="C592">
        <v>5.0199999999999996</v>
      </c>
      <c r="E592">
        <v>7.7</v>
      </c>
      <c r="F592">
        <v>5.18</v>
      </c>
      <c r="G592">
        <v>6.8</v>
      </c>
      <c r="H592">
        <v>4.42</v>
      </c>
      <c r="I592">
        <v>8.67</v>
      </c>
    </row>
    <row r="593" spans="1:9" x14ac:dyDescent="0.25">
      <c r="A593" s="2">
        <v>42451</v>
      </c>
      <c r="B593">
        <v>2.62</v>
      </c>
      <c r="C593">
        <v>5.19</v>
      </c>
      <c r="E593">
        <v>8.02</v>
      </c>
      <c r="F593">
        <v>5.31</v>
      </c>
      <c r="G593">
        <v>7.15</v>
      </c>
      <c r="H593">
        <v>4.5999999999999996</v>
      </c>
      <c r="I593">
        <v>8.64</v>
      </c>
    </row>
    <row r="594" spans="1:9" x14ac:dyDescent="0.25">
      <c r="A594" s="2">
        <v>42452</v>
      </c>
      <c r="B594">
        <v>2.61</v>
      </c>
      <c r="C594">
        <v>5.25</v>
      </c>
      <c r="E594">
        <v>8.09</v>
      </c>
      <c r="F594">
        <v>5.37</v>
      </c>
      <c r="G594">
        <v>7.17</v>
      </c>
      <c r="H594">
        <v>4.68</v>
      </c>
      <c r="I594">
        <v>8.74</v>
      </c>
    </row>
    <row r="595" spans="1:9" x14ac:dyDescent="0.25">
      <c r="A595" s="2">
        <v>42453</v>
      </c>
      <c r="B595">
        <v>2.75</v>
      </c>
      <c r="C595">
        <v>5.34</v>
      </c>
      <c r="E595">
        <v>8.26</v>
      </c>
      <c r="F595">
        <v>5.48</v>
      </c>
      <c r="G595">
        <v>7.24</v>
      </c>
      <c r="H595">
        <v>4.7</v>
      </c>
      <c r="I595">
        <v>8.66</v>
      </c>
    </row>
    <row r="596" spans="1:9" x14ac:dyDescent="0.25">
      <c r="A596" s="2">
        <v>42458</v>
      </c>
      <c r="B596">
        <v>2.82</v>
      </c>
      <c r="C596">
        <v>5.4</v>
      </c>
      <c r="E596">
        <v>8.1199999999999992</v>
      </c>
      <c r="F596">
        <v>5.39</v>
      </c>
      <c r="G596">
        <v>7.18</v>
      </c>
      <c r="H596">
        <v>4.7300000000000004</v>
      </c>
      <c r="I596">
        <v>8.43</v>
      </c>
    </row>
    <row r="597" spans="1:9" x14ac:dyDescent="0.25">
      <c r="A597" s="2">
        <v>42459</v>
      </c>
      <c r="B597">
        <v>2.5099999999999998</v>
      </c>
      <c r="C597">
        <v>5.37</v>
      </c>
      <c r="E597">
        <v>7.57</v>
      </c>
      <c r="F597">
        <v>5.34</v>
      </c>
      <c r="G597">
        <v>6.98</v>
      </c>
      <c r="H597">
        <v>4.67</v>
      </c>
      <c r="I597">
        <v>8.5</v>
      </c>
    </row>
    <row r="598" spans="1:9" x14ac:dyDescent="0.25">
      <c r="A598" s="2">
        <v>42460</v>
      </c>
      <c r="B598">
        <v>2.64</v>
      </c>
      <c r="C598">
        <v>5.31</v>
      </c>
      <c r="E598">
        <v>7.81</v>
      </c>
      <c r="F598">
        <v>5.45</v>
      </c>
      <c r="G598">
        <v>6.97</v>
      </c>
      <c r="H598">
        <v>4.58</v>
      </c>
      <c r="I598">
        <v>8.74</v>
      </c>
    </row>
    <row r="599" spans="1:9" x14ac:dyDescent="0.25">
      <c r="A599" s="2">
        <v>42461</v>
      </c>
      <c r="B599">
        <v>2.91</v>
      </c>
      <c r="C599">
        <v>5.36</v>
      </c>
      <c r="E599">
        <v>8.1999999999999993</v>
      </c>
      <c r="F599">
        <v>5.46</v>
      </c>
      <c r="G599">
        <v>7.23</v>
      </c>
      <c r="H599">
        <v>4.5999999999999996</v>
      </c>
      <c r="I599">
        <v>8.5500000000000007</v>
      </c>
    </row>
    <row r="600" spans="1:9" x14ac:dyDescent="0.25">
      <c r="A600" s="2">
        <v>42464</v>
      </c>
      <c r="B600">
        <v>2.66</v>
      </c>
      <c r="C600">
        <v>5.42</v>
      </c>
      <c r="E600">
        <v>7.94</v>
      </c>
      <c r="F600">
        <v>5.5</v>
      </c>
      <c r="G600">
        <v>7.06</v>
      </c>
      <c r="H600">
        <v>4.66</v>
      </c>
      <c r="I600">
        <v>8.35</v>
      </c>
    </row>
    <row r="601" spans="1:9" x14ac:dyDescent="0.25">
      <c r="A601" s="2">
        <v>42465</v>
      </c>
      <c r="B601">
        <v>2.44</v>
      </c>
      <c r="C601">
        <v>5.5</v>
      </c>
      <c r="E601">
        <v>7.52</v>
      </c>
      <c r="F601">
        <v>5.5</v>
      </c>
      <c r="G601">
        <v>6.89</v>
      </c>
      <c r="H601">
        <v>4.72</v>
      </c>
      <c r="I601">
        <v>8.4</v>
      </c>
    </row>
    <row r="602" spans="1:9" x14ac:dyDescent="0.25">
      <c r="A602" s="2">
        <v>42466</v>
      </c>
      <c r="B602">
        <v>2.5</v>
      </c>
      <c r="C602">
        <v>5.55</v>
      </c>
      <c r="E602">
        <v>7.74</v>
      </c>
      <c r="F602">
        <v>5.66</v>
      </c>
      <c r="G602">
        <v>7.03</v>
      </c>
      <c r="H602">
        <v>4.79</v>
      </c>
      <c r="I602">
        <v>8.1</v>
      </c>
    </row>
    <row r="603" spans="1:9" x14ac:dyDescent="0.25">
      <c r="A603" s="2">
        <v>42467</v>
      </c>
      <c r="B603">
        <v>2.08</v>
      </c>
      <c r="C603">
        <v>5.55</v>
      </c>
      <c r="E603">
        <v>7</v>
      </c>
      <c r="F603">
        <v>5.65</v>
      </c>
      <c r="G603">
        <v>6.76</v>
      </c>
      <c r="H603">
        <v>4.82</v>
      </c>
      <c r="I603">
        <v>8.1199999999999992</v>
      </c>
    </row>
    <row r="604" spans="1:9" x14ac:dyDescent="0.25">
      <c r="A604" s="2">
        <v>42468</v>
      </c>
      <c r="B604">
        <v>2.09</v>
      </c>
      <c r="C604">
        <v>5.55</v>
      </c>
      <c r="E604">
        <v>7.22</v>
      </c>
      <c r="F604">
        <v>5.66</v>
      </c>
      <c r="G604">
        <v>6.76</v>
      </c>
      <c r="H604">
        <v>4.8499999999999996</v>
      </c>
      <c r="I604">
        <v>8.02</v>
      </c>
    </row>
    <row r="605" spans="1:9" x14ac:dyDescent="0.25">
      <c r="A605" s="2">
        <v>42471</v>
      </c>
      <c r="B605">
        <v>2.2799999999999998</v>
      </c>
      <c r="C605">
        <v>5.56</v>
      </c>
      <c r="E605">
        <v>7.07</v>
      </c>
      <c r="F605">
        <v>5.75</v>
      </c>
      <c r="G605">
        <v>6.82</v>
      </c>
      <c r="H605">
        <v>4.8499999999999996</v>
      </c>
      <c r="I605">
        <v>8.2100000000000009</v>
      </c>
    </row>
    <row r="606" spans="1:9" x14ac:dyDescent="0.25">
      <c r="A606" s="2">
        <v>42472</v>
      </c>
      <c r="B606">
        <v>2.38</v>
      </c>
      <c r="C606">
        <v>5.54</v>
      </c>
      <c r="E606">
        <v>7.37</v>
      </c>
      <c r="F606">
        <v>5.73</v>
      </c>
      <c r="G606">
        <v>6.95</v>
      </c>
      <c r="H606">
        <v>4.88</v>
      </c>
      <c r="I606">
        <v>8.34</v>
      </c>
    </row>
    <row r="607" spans="1:9" x14ac:dyDescent="0.25">
      <c r="A607" s="2">
        <v>42473</v>
      </c>
      <c r="B607">
        <v>2.5</v>
      </c>
      <c r="C607">
        <v>5.59</v>
      </c>
      <c r="E607">
        <v>7.44</v>
      </c>
      <c r="F607">
        <v>5.71</v>
      </c>
      <c r="G607">
        <v>7.06</v>
      </c>
      <c r="H607">
        <v>4.93</v>
      </c>
      <c r="I607">
        <v>8.4499999999999993</v>
      </c>
    </row>
    <row r="608" spans="1:9" x14ac:dyDescent="0.25">
      <c r="A608" s="2">
        <v>42474</v>
      </c>
      <c r="B608">
        <v>2.72</v>
      </c>
      <c r="C608">
        <v>5.7</v>
      </c>
      <c r="E608">
        <v>7.66</v>
      </c>
      <c r="F608">
        <v>5.67</v>
      </c>
      <c r="G608">
        <v>7.31</v>
      </c>
      <c r="H608">
        <v>5.01</v>
      </c>
      <c r="I608">
        <v>8.9600000000000009</v>
      </c>
    </row>
    <row r="609" spans="1:9" x14ac:dyDescent="0.25">
      <c r="A609" s="2">
        <v>42475</v>
      </c>
      <c r="B609">
        <v>3.31</v>
      </c>
      <c r="C609">
        <v>5.91</v>
      </c>
      <c r="E609">
        <v>8.56</v>
      </c>
      <c r="F609">
        <v>5.83</v>
      </c>
      <c r="G609">
        <v>7.85</v>
      </c>
      <c r="H609">
        <v>5.0999999999999996</v>
      </c>
      <c r="I609">
        <v>9.08</v>
      </c>
    </row>
    <row r="610" spans="1:9" x14ac:dyDescent="0.25">
      <c r="A610" s="2">
        <v>42478</v>
      </c>
      <c r="B610">
        <v>3.41</v>
      </c>
      <c r="C610">
        <v>5.92</v>
      </c>
      <c r="E610">
        <v>8.7799999999999994</v>
      </c>
      <c r="F610">
        <v>5.83</v>
      </c>
      <c r="G610">
        <v>7.92</v>
      </c>
      <c r="H610">
        <v>5.14</v>
      </c>
      <c r="I610">
        <v>9.0500000000000007</v>
      </c>
    </row>
    <row r="611" spans="1:9" x14ac:dyDescent="0.25">
      <c r="A611" s="2">
        <v>42479</v>
      </c>
      <c r="B611">
        <v>3.37</v>
      </c>
      <c r="C611">
        <v>5.98</v>
      </c>
      <c r="E611">
        <v>8.6300000000000008</v>
      </c>
      <c r="F611">
        <v>5.85</v>
      </c>
      <c r="G611">
        <v>7.88</v>
      </c>
      <c r="H611">
        <v>5.18</v>
      </c>
      <c r="I611">
        <v>9.0299999999999994</v>
      </c>
    </row>
    <row r="612" spans="1:9" x14ac:dyDescent="0.25">
      <c r="A612" s="2">
        <v>42480</v>
      </c>
      <c r="B612">
        <v>3.51</v>
      </c>
      <c r="C612">
        <v>5.96</v>
      </c>
      <c r="E612">
        <v>8.6300000000000008</v>
      </c>
      <c r="F612">
        <v>5.78</v>
      </c>
      <c r="G612">
        <v>7.9</v>
      </c>
      <c r="H612">
        <v>5.13</v>
      </c>
      <c r="I612">
        <v>9.1300000000000008</v>
      </c>
    </row>
    <row r="613" spans="1:9" x14ac:dyDescent="0.25">
      <c r="A613" s="2">
        <v>42481</v>
      </c>
      <c r="B613">
        <v>3.91</v>
      </c>
      <c r="C613">
        <v>6.03</v>
      </c>
      <c r="E613">
        <v>9.1</v>
      </c>
      <c r="F613">
        <v>5.8</v>
      </c>
      <c r="G613">
        <v>8.19</v>
      </c>
      <c r="H613">
        <v>5.16</v>
      </c>
      <c r="I613">
        <v>9.17</v>
      </c>
    </row>
    <row r="614" spans="1:9" x14ac:dyDescent="0.25">
      <c r="A614" s="2">
        <v>42482</v>
      </c>
      <c r="B614">
        <v>3.89</v>
      </c>
      <c r="C614">
        <v>6.07</v>
      </c>
      <c r="E614">
        <v>9.3800000000000008</v>
      </c>
      <c r="F614">
        <v>5.9</v>
      </c>
      <c r="G614">
        <v>8.2899999999999991</v>
      </c>
      <c r="H614">
        <v>5.22</v>
      </c>
      <c r="I614">
        <v>9.17</v>
      </c>
    </row>
    <row r="615" spans="1:9" x14ac:dyDescent="0.25">
      <c r="A615" s="2">
        <v>42485</v>
      </c>
      <c r="B615">
        <v>3.92</v>
      </c>
      <c r="C615">
        <v>6.18</v>
      </c>
      <c r="E615">
        <v>9.24</v>
      </c>
      <c r="F615">
        <v>5.78</v>
      </c>
      <c r="G615">
        <v>8.23</v>
      </c>
      <c r="H615">
        <v>5.27</v>
      </c>
      <c r="I615">
        <v>9.19</v>
      </c>
    </row>
    <row r="616" spans="1:9" x14ac:dyDescent="0.25">
      <c r="A616" s="2">
        <v>42486</v>
      </c>
      <c r="B616">
        <v>3.86</v>
      </c>
      <c r="C616">
        <v>6.22</v>
      </c>
      <c r="E616">
        <v>9.23</v>
      </c>
      <c r="F616">
        <v>5.8</v>
      </c>
      <c r="G616">
        <v>8.1999999999999993</v>
      </c>
      <c r="H616">
        <v>5.29</v>
      </c>
      <c r="I616">
        <v>9.14</v>
      </c>
    </row>
    <row r="617" spans="1:9" x14ac:dyDescent="0.25">
      <c r="A617" s="2">
        <v>42487</v>
      </c>
      <c r="B617">
        <v>3.74</v>
      </c>
      <c r="C617">
        <v>6.17</v>
      </c>
      <c r="E617">
        <v>8.86</v>
      </c>
      <c r="F617">
        <v>5.68</v>
      </c>
      <c r="G617">
        <v>8.01</v>
      </c>
      <c r="H617">
        <v>5.21</v>
      </c>
      <c r="I617">
        <v>9.16</v>
      </c>
    </row>
    <row r="618" spans="1:9" x14ac:dyDescent="0.25">
      <c r="A618" s="2">
        <v>42488</v>
      </c>
      <c r="B618">
        <v>3.64</v>
      </c>
      <c r="C618">
        <v>6.14</v>
      </c>
      <c r="E618">
        <v>8.85</v>
      </c>
      <c r="F618">
        <v>5.56</v>
      </c>
      <c r="G618">
        <v>7.99</v>
      </c>
      <c r="H618">
        <v>5.16</v>
      </c>
      <c r="I618">
        <v>9.17</v>
      </c>
    </row>
    <row r="619" spans="1:9" x14ac:dyDescent="0.25">
      <c r="A619" s="2">
        <v>42489</v>
      </c>
      <c r="B619">
        <v>3.63</v>
      </c>
      <c r="C619">
        <v>6.16</v>
      </c>
      <c r="E619">
        <v>8.8800000000000008</v>
      </c>
      <c r="F619">
        <v>5.6</v>
      </c>
      <c r="G619">
        <v>8.0399999999999991</v>
      </c>
      <c r="H619">
        <v>5.21</v>
      </c>
      <c r="I619">
        <v>9.19</v>
      </c>
    </row>
    <row r="620" spans="1:9" x14ac:dyDescent="0.25">
      <c r="A620" s="2">
        <v>42492</v>
      </c>
      <c r="B620">
        <v>3.44</v>
      </c>
      <c r="C620">
        <v>6.14</v>
      </c>
      <c r="E620">
        <v>8.9499999999999993</v>
      </c>
      <c r="F620">
        <v>5.77</v>
      </c>
      <c r="G620">
        <v>8.01</v>
      </c>
      <c r="H620">
        <v>5.22</v>
      </c>
      <c r="I620">
        <v>8.68</v>
      </c>
    </row>
    <row r="621" spans="1:9" x14ac:dyDescent="0.25">
      <c r="A621" s="2">
        <v>42493</v>
      </c>
      <c r="B621">
        <v>3.39</v>
      </c>
      <c r="C621">
        <v>6.12</v>
      </c>
      <c r="E621">
        <v>7.91</v>
      </c>
      <c r="F621">
        <v>5.66</v>
      </c>
      <c r="G621">
        <v>7.73</v>
      </c>
      <c r="H621">
        <v>5.21</v>
      </c>
      <c r="I621">
        <v>8.65</v>
      </c>
    </row>
    <row r="622" spans="1:9" x14ac:dyDescent="0.25">
      <c r="A622" s="2">
        <v>42495</v>
      </c>
      <c r="B622">
        <v>3.08</v>
      </c>
      <c r="C622">
        <v>6.01</v>
      </c>
      <c r="E622">
        <v>8.0299999999999994</v>
      </c>
      <c r="F622">
        <v>5.67</v>
      </c>
      <c r="G622">
        <v>7.63</v>
      </c>
      <c r="H622">
        <v>5.16</v>
      </c>
      <c r="I622">
        <v>8.3000000000000007</v>
      </c>
    </row>
    <row r="623" spans="1:9" x14ac:dyDescent="0.25">
      <c r="A623" s="2">
        <v>42496</v>
      </c>
      <c r="B623">
        <v>2.84</v>
      </c>
      <c r="C623">
        <v>6.11</v>
      </c>
      <c r="E623">
        <v>7.35</v>
      </c>
      <c r="F623">
        <v>5.71</v>
      </c>
      <c r="G623">
        <v>7.1</v>
      </c>
      <c r="H623">
        <v>5.15</v>
      </c>
      <c r="I623">
        <v>8.33</v>
      </c>
    </row>
    <row r="624" spans="1:9" x14ac:dyDescent="0.25">
      <c r="A624" s="2">
        <v>42499</v>
      </c>
      <c r="B624">
        <v>2.87</v>
      </c>
      <c r="C624">
        <v>6.13</v>
      </c>
      <c r="E624">
        <v>7.67</v>
      </c>
      <c r="F624">
        <v>5.85</v>
      </c>
      <c r="G624">
        <v>7.09</v>
      </c>
      <c r="H624">
        <v>5.14</v>
      </c>
      <c r="I624">
        <v>8.2799999999999994</v>
      </c>
    </row>
    <row r="625" spans="1:9" x14ac:dyDescent="0.25">
      <c r="A625" s="2">
        <v>42500</v>
      </c>
      <c r="B625">
        <v>2.86</v>
      </c>
      <c r="C625">
        <v>6.15</v>
      </c>
      <c r="E625">
        <v>7.48</v>
      </c>
      <c r="F625">
        <v>5.83</v>
      </c>
      <c r="G625">
        <v>7.12</v>
      </c>
      <c r="H625">
        <v>5.12</v>
      </c>
      <c r="I625">
        <v>8.2899999999999991</v>
      </c>
    </row>
    <row r="626" spans="1:9" x14ac:dyDescent="0.25">
      <c r="A626" s="2">
        <v>42501</v>
      </c>
      <c r="B626">
        <v>3.14</v>
      </c>
      <c r="C626">
        <v>6.13</v>
      </c>
      <c r="E626">
        <v>7.71</v>
      </c>
      <c r="F626">
        <v>5.86</v>
      </c>
      <c r="G626">
        <v>7.3</v>
      </c>
      <c r="H626">
        <v>5.0999999999999996</v>
      </c>
      <c r="I626">
        <v>8.5299999999999994</v>
      </c>
    </row>
    <row r="627" spans="1:9" x14ac:dyDescent="0.25">
      <c r="A627" s="2">
        <v>42502</v>
      </c>
      <c r="B627">
        <v>3.1</v>
      </c>
      <c r="C627">
        <v>6.15</v>
      </c>
      <c r="E627">
        <v>8.09</v>
      </c>
      <c r="F627">
        <v>5.84</v>
      </c>
      <c r="G627">
        <v>7.37</v>
      </c>
      <c r="H627">
        <v>5.07</v>
      </c>
      <c r="I627">
        <v>8.5</v>
      </c>
    </row>
    <row r="628" spans="1:9" x14ac:dyDescent="0.25">
      <c r="A628" s="2">
        <v>42503</v>
      </c>
      <c r="B628">
        <v>3.16</v>
      </c>
      <c r="C628">
        <v>6.19</v>
      </c>
      <c r="E628">
        <v>7.96</v>
      </c>
      <c r="F628">
        <v>5.85</v>
      </c>
      <c r="G628">
        <v>7.35</v>
      </c>
      <c r="H628">
        <v>5.1100000000000003</v>
      </c>
      <c r="I628">
        <v>8.42</v>
      </c>
    </row>
    <row r="629" spans="1:9" x14ac:dyDescent="0.25">
      <c r="A629" s="2">
        <v>42506</v>
      </c>
      <c r="B629">
        <v>3.18</v>
      </c>
      <c r="C629">
        <v>6.22</v>
      </c>
      <c r="E629">
        <v>7.75</v>
      </c>
      <c r="F629">
        <v>5.8</v>
      </c>
      <c r="G629">
        <v>7.43</v>
      </c>
      <c r="H629">
        <v>5.17</v>
      </c>
      <c r="I629">
        <v>8.56</v>
      </c>
    </row>
    <row r="630" spans="1:9" x14ac:dyDescent="0.25">
      <c r="A630" s="2">
        <v>42507</v>
      </c>
      <c r="B630">
        <v>3.05</v>
      </c>
      <c r="C630">
        <v>6.31</v>
      </c>
      <c r="E630">
        <v>7.98</v>
      </c>
      <c r="F630">
        <v>5.88</v>
      </c>
      <c r="G630">
        <v>7.45</v>
      </c>
      <c r="H630">
        <v>5.21</v>
      </c>
      <c r="I630">
        <v>8.5399999999999991</v>
      </c>
    </row>
    <row r="631" spans="1:9" x14ac:dyDescent="0.25">
      <c r="A631" s="2">
        <v>42508</v>
      </c>
      <c r="B631">
        <v>2.96</v>
      </c>
      <c r="C631">
        <v>6.29</v>
      </c>
      <c r="E631">
        <v>7.98</v>
      </c>
      <c r="F631">
        <v>5.87</v>
      </c>
      <c r="G631">
        <v>7.46</v>
      </c>
      <c r="H631">
        <v>5.2</v>
      </c>
      <c r="I631">
        <v>8.5</v>
      </c>
    </row>
    <row r="632" spans="1:9" x14ac:dyDescent="0.25">
      <c r="A632" s="2">
        <v>42509</v>
      </c>
      <c r="B632">
        <v>3.14</v>
      </c>
      <c r="C632">
        <v>6.36</v>
      </c>
      <c r="E632">
        <v>7.97</v>
      </c>
      <c r="F632">
        <v>5.86</v>
      </c>
      <c r="G632">
        <v>7.46</v>
      </c>
      <c r="H632">
        <v>5.19</v>
      </c>
      <c r="I632">
        <v>8.6</v>
      </c>
    </row>
    <row r="633" spans="1:9" x14ac:dyDescent="0.25">
      <c r="A633" s="2">
        <v>42510</v>
      </c>
      <c r="B633">
        <v>3.01</v>
      </c>
      <c r="C633">
        <v>6.31</v>
      </c>
      <c r="E633">
        <v>8.0500000000000007</v>
      </c>
      <c r="F633">
        <v>5.78</v>
      </c>
      <c r="G633">
        <v>7.34</v>
      </c>
      <c r="H633">
        <v>5.15</v>
      </c>
      <c r="I633">
        <v>8.5</v>
      </c>
    </row>
    <row r="634" spans="1:9" x14ac:dyDescent="0.25">
      <c r="A634" s="2">
        <v>42513</v>
      </c>
      <c r="B634">
        <v>2.91</v>
      </c>
      <c r="C634">
        <v>6.23</v>
      </c>
      <c r="E634">
        <v>7.65</v>
      </c>
      <c r="F634">
        <v>5.66</v>
      </c>
      <c r="G634">
        <v>7.14</v>
      </c>
      <c r="H634">
        <v>5.03</v>
      </c>
      <c r="I634">
        <v>8.69</v>
      </c>
    </row>
    <row r="635" spans="1:9" x14ac:dyDescent="0.25">
      <c r="A635" s="2">
        <v>42514</v>
      </c>
      <c r="B635">
        <v>2.97</v>
      </c>
      <c r="C635">
        <v>6.24</v>
      </c>
      <c r="E635">
        <v>8.1</v>
      </c>
      <c r="F635">
        <v>5.71</v>
      </c>
      <c r="G635">
        <v>7.29</v>
      </c>
      <c r="H635">
        <v>5.01</v>
      </c>
      <c r="I635">
        <v>8.64</v>
      </c>
    </row>
    <row r="636" spans="1:9" x14ac:dyDescent="0.25">
      <c r="A636" s="2">
        <v>42515</v>
      </c>
      <c r="B636">
        <v>3.08</v>
      </c>
      <c r="C636">
        <v>6.28</v>
      </c>
      <c r="E636">
        <v>7.96</v>
      </c>
      <c r="F636">
        <v>5.7</v>
      </c>
      <c r="G636">
        <v>7.38</v>
      </c>
      <c r="H636">
        <v>5.07</v>
      </c>
      <c r="I636">
        <v>8.94</v>
      </c>
    </row>
    <row r="637" spans="1:9" x14ac:dyDescent="0.25">
      <c r="A637" s="2">
        <v>42516</v>
      </c>
      <c r="B637">
        <v>3.31</v>
      </c>
      <c r="C637">
        <v>6.3</v>
      </c>
      <c r="E637">
        <v>8.51</v>
      </c>
      <c r="F637">
        <v>5.78</v>
      </c>
      <c r="G637">
        <v>7.67</v>
      </c>
      <c r="H637">
        <v>5.07</v>
      </c>
      <c r="I637">
        <v>9.08</v>
      </c>
    </row>
    <row r="638" spans="1:9" x14ac:dyDescent="0.25">
      <c r="A638" s="2">
        <v>42517</v>
      </c>
      <c r="B638">
        <v>3.62</v>
      </c>
      <c r="C638">
        <v>6.32</v>
      </c>
      <c r="E638">
        <v>9.01</v>
      </c>
      <c r="F638">
        <v>5.9</v>
      </c>
      <c r="G638">
        <v>7.93</v>
      </c>
      <c r="H638">
        <v>5.12</v>
      </c>
      <c r="I638">
        <v>9.11</v>
      </c>
    </row>
    <row r="639" spans="1:9" x14ac:dyDescent="0.25">
      <c r="A639" s="2">
        <v>42520</v>
      </c>
      <c r="B639">
        <v>3.72</v>
      </c>
      <c r="C639">
        <v>6.42</v>
      </c>
      <c r="E639">
        <v>9.0399999999999991</v>
      </c>
      <c r="F639">
        <v>5.94</v>
      </c>
      <c r="G639">
        <v>7.99</v>
      </c>
      <c r="H639">
        <v>5.15</v>
      </c>
      <c r="I639">
        <v>9.18</v>
      </c>
    </row>
    <row r="640" spans="1:9" x14ac:dyDescent="0.25">
      <c r="A640" s="2">
        <v>42521</v>
      </c>
      <c r="B640">
        <v>3.81</v>
      </c>
      <c r="C640">
        <v>6.49</v>
      </c>
      <c r="E640">
        <v>9.2899999999999991</v>
      </c>
      <c r="F640">
        <v>5.99</v>
      </c>
      <c r="G640">
        <v>8.1300000000000008</v>
      </c>
      <c r="H640">
        <v>5.22</v>
      </c>
      <c r="I640">
        <v>9.1999999999999993</v>
      </c>
    </row>
    <row r="641" spans="1:9" x14ac:dyDescent="0.25">
      <c r="A641" s="2">
        <v>42522</v>
      </c>
      <c r="B641">
        <v>3.82</v>
      </c>
      <c r="C641">
        <v>6.46</v>
      </c>
      <c r="E641">
        <v>9.33</v>
      </c>
      <c r="F641">
        <v>5.92</v>
      </c>
      <c r="G641">
        <v>8.09</v>
      </c>
      <c r="H641">
        <v>5.19</v>
      </c>
      <c r="I641">
        <v>9.17</v>
      </c>
    </row>
    <row r="642" spans="1:9" x14ac:dyDescent="0.25">
      <c r="A642" s="2">
        <v>42523</v>
      </c>
      <c r="B642">
        <v>3.79</v>
      </c>
      <c r="C642">
        <v>6.46</v>
      </c>
      <c r="E642">
        <v>9.2100000000000009</v>
      </c>
      <c r="F642">
        <v>5.96</v>
      </c>
      <c r="G642">
        <v>8.02</v>
      </c>
      <c r="H642">
        <v>5.17</v>
      </c>
      <c r="I642">
        <v>9.06</v>
      </c>
    </row>
    <row r="643" spans="1:9" x14ac:dyDescent="0.25">
      <c r="A643" s="2">
        <v>42524</v>
      </c>
      <c r="B643">
        <v>3.67</v>
      </c>
      <c r="C643">
        <v>6.45</v>
      </c>
      <c r="E643">
        <v>8.98</v>
      </c>
      <c r="F643">
        <v>5.99</v>
      </c>
      <c r="G643">
        <v>7.9</v>
      </c>
      <c r="H643">
        <v>5.17</v>
      </c>
      <c r="I643">
        <v>9.11</v>
      </c>
    </row>
    <row r="644" spans="1:9" x14ac:dyDescent="0.25">
      <c r="A644" s="2">
        <v>42527</v>
      </c>
      <c r="B644">
        <v>3.73</v>
      </c>
      <c r="C644">
        <v>6.54</v>
      </c>
      <c r="E644">
        <v>9.07</v>
      </c>
      <c r="F644">
        <v>6.12</v>
      </c>
      <c r="G644">
        <v>7.99</v>
      </c>
      <c r="H644">
        <v>5.21</v>
      </c>
      <c r="I644">
        <v>9.0299999999999994</v>
      </c>
    </row>
    <row r="645" spans="1:9" x14ac:dyDescent="0.25">
      <c r="A645" s="2">
        <v>42528</v>
      </c>
      <c r="B645">
        <v>3.67</v>
      </c>
      <c r="C645">
        <v>6.49</v>
      </c>
      <c r="E645">
        <v>8.75</v>
      </c>
      <c r="F645">
        <v>6.2</v>
      </c>
      <c r="G645">
        <v>7.87</v>
      </c>
      <c r="H645">
        <v>5.16</v>
      </c>
      <c r="I645">
        <v>9.02</v>
      </c>
    </row>
    <row r="646" spans="1:9" x14ac:dyDescent="0.25">
      <c r="A646" s="2">
        <v>42529</v>
      </c>
      <c r="B646">
        <v>3.71</v>
      </c>
      <c r="C646">
        <v>6.56</v>
      </c>
      <c r="E646">
        <v>8.9600000000000009</v>
      </c>
      <c r="F646">
        <v>6.17</v>
      </c>
      <c r="G646">
        <v>8.07</v>
      </c>
      <c r="H646">
        <v>5.29</v>
      </c>
      <c r="I646">
        <v>9.16</v>
      </c>
    </row>
    <row r="647" spans="1:9" x14ac:dyDescent="0.25">
      <c r="A647" s="2">
        <v>42530</v>
      </c>
      <c r="B647">
        <v>3.91</v>
      </c>
      <c r="C647">
        <v>6.64</v>
      </c>
      <c r="E647">
        <v>9.33</v>
      </c>
      <c r="F647">
        <v>6.29</v>
      </c>
      <c r="G647">
        <v>8.25</v>
      </c>
      <c r="H647">
        <v>5.36</v>
      </c>
      <c r="I647">
        <v>9.14</v>
      </c>
    </row>
    <row r="648" spans="1:9" x14ac:dyDescent="0.25">
      <c r="A648" s="2">
        <v>42531</v>
      </c>
      <c r="B648">
        <v>3.89</v>
      </c>
      <c r="C648">
        <v>6.77</v>
      </c>
      <c r="E648">
        <v>9.23</v>
      </c>
      <c r="F648">
        <v>6.33</v>
      </c>
      <c r="G648">
        <v>8.34</v>
      </c>
      <c r="H648">
        <v>5.45</v>
      </c>
      <c r="I648">
        <v>9.1199999999999992</v>
      </c>
    </row>
    <row r="649" spans="1:9" x14ac:dyDescent="0.25">
      <c r="A649" s="2">
        <v>42534</v>
      </c>
      <c r="B649">
        <v>3.69</v>
      </c>
      <c r="C649">
        <v>6.85</v>
      </c>
      <c r="E649">
        <v>9.1300000000000008</v>
      </c>
      <c r="F649">
        <v>6.46</v>
      </c>
      <c r="G649">
        <v>8.35</v>
      </c>
      <c r="H649">
        <v>5.54</v>
      </c>
      <c r="I649">
        <v>8.93</v>
      </c>
    </row>
    <row r="650" spans="1:9" x14ac:dyDescent="0.25">
      <c r="A650" s="2">
        <v>42535</v>
      </c>
      <c r="B650">
        <v>3.37</v>
      </c>
      <c r="C650">
        <v>6.85</v>
      </c>
      <c r="E650">
        <v>8.6999999999999993</v>
      </c>
      <c r="F650">
        <v>6.5</v>
      </c>
      <c r="G650">
        <v>8.02</v>
      </c>
      <c r="H650">
        <v>5.56</v>
      </c>
      <c r="I650">
        <v>8.7100000000000009</v>
      </c>
    </row>
    <row r="651" spans="1:9" x14ac:dyDescent="0.25">
      <c r="A651" s="2">
        <v>42536</v>
      </c>
      <c r="B651">
        <v>2.98</v>
      </c>
      <c r="C651">
        <v>6.76</v>
      </c>
      <c r="E651">
        <v>8.1999999999999993</v>
      </c>
      <c r="F651">
        <v>6.37</v>
      </c>
      <c r="G651">
        <v>7.7</v>
      </c>
      <c r="H651">
        <v>5.5</v>
      </c>
      <c r="I651">
        <v>8.48</v>
      </c>
    </row>
    <row r="652" spans="1:9" x14ac:dyDescent="0.25">
      <c r="A652" s="2">
        <v>42537</v>
      </c>
      <c r="B652">
        <v>2.7</v>
      </c>
      <c r="C652">
        <v>6.7</v>
      </c>
      <c r="E652">
        <v>7.83</v>
      </c>
      <c r="F652">
        <v>6.34</v>
      </c>
      <c r="G652">
        <v>7.49</v>
      </c>
      <c r="H652">
        <v>5.44</v>
      </c>
      <c r="I652">
        <v>8.61</v>
      </c>
    </row>
    <row r="653" spans="1:9" x14ac:dyDescent="0.25">
      <c r="A653" s="2">
        <v>42538</v>
      </c>
      <c r="B653">
        <v>2.76</v>
      </c>
      <c r="C653">
        <v>6.73</v>
      </c>
      <c r="E653">
        <v>8.0299999999999994</v>
      </c>
      <c r="F653">
        <v>6.4</v>
      </c>
      <c r="G653">
        <v>7.43</v>
      </c>
      <c r="H653">
        <v>5.41</v>
      </c>
      <c r="I653">
        <v>8.5399999999999991</v>
      </c>
    </row>
    <row r="654" spans="1:9" x14ac:dyDescent="0.25">
      <c r="A654" s="2">
        <v>42541</v>
      </c>
      <c r="B654">
        <v>2.57</v>
      </c>
      <c r="C654">
        <v>6.67</v>
      </c>
      <c r="E654">
        <v>7.82</v>
      </c>
      <c r="F654">
        <v>6.43</v>
      </c>
      <c r="G654">
        <v>7.21</v>
      </c>
      <c r="H654">
        <v>5.36</v>
      </c>
      <c r="I654">
        <v>8.5</v>
      </c>
    </row>
    <row r="655" spans="1:9" x14ac:dyDescent="0.25">
      <c r="A655" s="2">
        <v>42542</v>
      </c>
      <c r="B655">
        <v>2.76</v>
      </c>
      <c r="C655">
        <v>6.59</v>
      </c>
      <c r="E655">
        <v>7.85</v>
      </c>
      <c r="F655">
        <v>6.34</v>
      </c>
      <c r="G655">
        <v>7.33</v>
      </c>
      <c r="H655">
        <v>5.28</v>
      </c>
      <c r="I655">
        <v>8.93</v>
      </c>
    </row>
    <row r="656" spans="1:9" x14ac:dyDescent="0.25">
      <c r="A656" s="2">
        <v>42543</v>
      </c>
      <c r="B656">
        <v>3.3</v>
      </c>
      <c r="C656">
        <v>6.65</v>
      </c>
      <c r="E656">
        <v>8.69</v>
      </c>
      <c r="F656">
        <v>6.33</v>
      </c>
      <c r="G656">
        <v>7.83</v>
      </c>
      <c r="H656">
        <v>5.35</v>
      </c>
      <c r="I656">
        <v>9.0500000000000007</v>
      </c>
    </row>
    <row r="657" spans="1:9" x14ac:dyDescent="0.25">
      <c r="A657" s="2">
        <v>42548</v>
      </c>
      <c r="B657">
        <v>3.43</v>
      </c>
      <c r="C657">
        <v>6.73</v>
      </c>
      <c r="E657">
        <v>8.82</v>
      </c>
      <c r="F657">
        <v>6.39</v>
      </c>
      <c r="G657">
        <v>8.02</v>
      </c>
      <c r="H657">
        <v>5.45</v>
      </c>
      <c r="I657">
        <v>9.14</v>
      </c>
    </row>
    <row r="658" spans="1:9" x14ac:dyDescent="0.25">
      <c r="A658" s="2">
        <v>42549</v>
      </c>
      <c r="B658">
        <v>2.74</v>
      </c>
      <c r="C658">
        <v>6.93</v>
      </c>
      <c r="E658">
        <v>7.98</v>
      </c>
      <c r="F658">
        <v>6.43</v>
      </c>
      <c r="G658">
        <v>7.66</v>
      </c>
      <c r="H658">
        <v>5.56</v>
      </c>
      <c r="I658">
        <v>7.89</v>
      </c>
    </row>
    <row r="659" spans="1:9" x14ac:dyDescent="0.25">
      <c r="A659" s="2">
        <v>42550</v>
      </c>
      <c r="B659">
        <v>2.4700000000000002</v>
      </c>
      <c r="C659">
        <v>6.84</v>
      </c>
      <c r="E659">
        <v>7.34</v>
      </c>
      <c r="F659">
        <v>6.71</v>
      </c>
      <c r="G659">
        <v>6.98</v>
      </c>
      <c r="H659">
        <v>5.4</v>
      </c>
      <c r="I659">
        <v>8.31</v>
      </c>
    </row>
    <row r="660" spans="1:9" x14ac:dyDescent="0.25">
      <c r="A660" s="2">
        <v>42551</v>
      </c>
      <c r="B660">
        <v>2.62</v>
      </c>
      <c r="C660">
        <v>6.9</v>
      </c>
      <c r="E660">
        <v>7.9</v>
      </c>
      <c r="F660">
        <v>6.84</v>
      </c>
      <c r="G660">
        <v>7.45</v>
      </c>
      <c r="H660">
        <v>5.43</v>
      </c>
      <c r="I660">
        <v>8.82</v>
      </c>
    </row>
    <row r="661" spans="1:9" x14ac:dyDescent="0.25">
      <c r="A661" s="2">
        <v>42552</v>
      </c>
      <c r="B661">
        <v>2.93</v>
      </c>
      <c r="C661">
        <v>7.01</v>
      </c>
      <c r="E661">
        <v>8.6300000000000008</v>
      </c>
      <c r="F661">
        <v>7.01</v>
      </c>
      <c r="G661">
        <v>7.91</v>
      </c>
      <c r="H661">
        <v>5.61</v>
      </c>
      <c r="I661">
        <v>9.0399999999999991</v>
      </c>
    </row>
    <row r="662" spans="1:9" x14ac:dyDescent="0.25">
      <c r="A662" s="2">
        <v>42555</v>
      </c>
      <c r="B662">
        <v>3.23</v>
      </c>
      <c r="C662">
        <v>7.15</v>
      </c>
      <c r="E662">
        <v>8.9600000000000009</v>
      </c>
      <c r="F662">
        <v>7.09</v>
      </c>
      <c r="G662">
        <v>8.17</v>
      </c>
      <c r="H662">
        <v>5.67</v>
      </c>
      <c r="I662">
        <v>9.15</v>
      </c>
    </row>
    <row r="663" spans="1:9" x14ac:dyDescent="0.25">
      <c r="A663" s="2">
        <v>42556</v>
      </c>
      <c r="B663">
        <v>3.46</v>
      </c>
      <c r="C663">
        <v>7.32</v>
      </c>
      <c r="E663">
        <v>9.2899999999999991</v>
      </c>
      <c r="F663">
        <v>7.3</v>
      </c>
      <c r="G663">
        <v>8.6199999999999992</v>
      </c>
      <c r="H663">
        <v>5.83</v>
      </c>
      <c r="I663">
        <v>9.1300000000000008</v>
      </c>
    </row>
    <row r="664" spans="1:9" x14ac:dyDescent="0.25">
      <c r="A664" s="2">
        <v>42557</v>
      </c>
      <c r="B664">
        <v>3.41</v>
      </c>
      <c r="C664">
        <v>7.34</v>
      </c>
      <c r="E664">
        <v>9.2799999999999994</v>
      </c>
      <c r="F664">
        <v>7.37</v>
      </c>
      <c r="G664">
        <v>8.56</v>
      </c>
      <c r="H664">
        <v>5.86</v>
      </c>
      <c r="I664">
        <v>8.9499999999999993</v>
      </c>
    </row>
    <row r="665" spans="1:9" x14ac:dyDescent="0.25">
      <c r="A665" s="2">
        <v>42558</v>
      </c>
      <c r="B665">
        <v>3.32</v>
      </c>
      <c r="C665">
        <v>7.51</v>
      </c>
      <c r="E665">
        <v>9.0500000000000007</v>
      </c>
      <c r="F665">
        <v>7.54</v>
      </c>
      <c r="G665">
        <v>8.3800000000000008</v>
      </c>
      <c r="H665">
        <v>5.99</v>
      </c>
      <c r="I665">
        <v>8.82</v>
      </c>
    </row>
    <row r="666" spans="1:9" x14ac:dyDescent="0.25">
      <c r="A666" s="2">
        <v>42559</v>
      </c>
      <c r="B666">
        <v>3.14</v>
      </c>
      <c r="C666">
        <v>7.51</v>
      </c>
      <c r="E666">
        <v>8.86</v>
      </c>
      <c r="F666">
        <v>7.58</v>
      </c>
      <c r="G666">
        <v>8.2799999999999994</v>
      </c>
      <c r="H666">
        <v>5.99</v>
      </c>
      <c r="I666">
        <v>8.9499999999999993</v>
      </c>
    </row>
    <row r="667" spans="1:9" x14ac:dyDescent="0.25">
      <c r="A667" s="2">
        <v>42562</v>
      </c>
      <c r="B667">
        <v>3.35</v>
      </c>
      <c r="C667">
        <v>7.54</v>
      </c>
      <c r="E667">
        <v>9.14</v>
      </c>
      <c r="F667">
        <v>7.6</v>
      </c>
      <c r="G667">
        <v>8.5</v>
      </c>
      <c r="H667">
        <v>6.05</v>
      </c>
      <c r="I667">
        <v>9.2200000000000006</v>
      </c>
    </row>
    <row r="668" spans="1:9" x14ac:dyDescent="0.25">
      <c r="A668" s="2">
        <v>42563</v>
      </c>
      <c r="B668">
        <v>3.59</v>
      </c>
      <c r="C668">
        <v>7.73</v>
      </c>
      <c r="E668">
        <v>9.6</v>
      </c>
      <c r="F668">
        <v>7.74</v>
      </c>
      <c r="G668">
        <v>8.81</v>
      </c>
      <c r="H668">
        <v>6.18</v>
      </c>
      <c r="I668">
        <v>9.4</v>
      </c>
    </row>
    <row r="669" spans="1:9" x14ac:dyDescent="0.25">
      <c r="A669" s="2">
        <v>42564</v>
      </c>
      <c r="B669">
        <v>3.88</v>
      </c>
      <c r="C669">
        <v>7.76</v>
      </c>
      <c r="E669">
        <v>10.28</v>
      </c>
      <c r="F669">
        <v>7.79</v>
      </c>
      <c r="G669">
        <v>9.14</v>
      </c>
      <c r="H669">
        <v>6.29</v>
      </c>
      <c r="I669">
        <v>9.67</v>
      </c>
    </row>
    <row r="670" spans="1:9" x14ac:dyDescent="0.25">
      <c r="A670" s="2">
        <v>42565</v>
      </c>
      <c r="B670">
        <v>4.09</v>
      </c>
      <c r="C670">
        <v>7.81</v>
      </c>
      <c r="E670">
        <v>10.6</v>
      </c>
      <c r="F670">
        <v>7.64</v>
      </c>
      <c r="G670">
        <v>9.3800000000000008</v>
      </c>
      <c r="H670">
        <v>6.39</v>
      </c>
      <c r="I670">
        <v>9.7100000000000009</v>
      </c>
    </row>
    <row r="671" spans="1:9" x14ac:dyDescent="0.25">
      <c r="A671" s="2">
        <v>42566</v>
      </c>
      <c r="B671">
        <v>4.07</v>
      </c>
      <c r="C671">
        <v>7.81</v>
      </c>
      <c r="E671">
        <v>10.52</v>
      </c>
      <c r="F671">
        <v>7.74</v>
      </c>
      <c r="G671">
        <v>9.44</v>
      </c>
      <c r="H671">
        <v>6.41</v>
      </c>
      <c r="I671">
        <v>9.84</v>
      </c>
    </row>
    <row r="672" spans="1:9" x14ac:dyDescent="0.25">
      <c r="A672" s="2">
        <v>42569</v>
      </c>
      <c r="B672">
        <v>4.1100000000000003</v>
      </c>
      <c r="C672">
        <v>7.79</v>
      </c>
      <c r="E672">
        <v>10.77</v>
      </c>
      <c r="F672">
        <v>7.44</v>
      </c>
      <c r="G672">
        <v>9.49</v>
      </c>
      <c r="H672">
        <v>6.44</v>
      </c>
      <c r="I672">
        <v>9.8699999999999992</v>
      </c>
    </row>
    <row r="673" spans="1:9" x14ac:dyDescent="0.25">
      <c r="A673" s="2">
        <v>42570</v>
      </c>
      <c r="B673">
        <v>4.08</v>
      </c>
      <c r="C673">
        <v>7.83</v>
      </c>
      <c r="E673">
        <v>10.73</v>
      </c>
      <c r="F673">
        <v>7.36</v>
      </c>
      <c r="G673">
        <v>9.5399999999999991</v>
      </c>
      <c r="H673">
        <v>6.51</v>
      </c>
      <c r="I673">
        <v>9.9600000000000009</v>
      </c>
    </row>
    <row r="674" spans="1:9" x14ac:dyDescent="0.25">
      <c r="A674" s="2">
        <v>42571</v>
      </c>
      <c r="B674">
        <v>4.08</v>
      </c>
      <c r="C674">
        <v>7.83</v>
      </c>
      <c r="E674">
        <v>10.77</v>
      </c>
      <c r="F674">
        <v>7.36</v>
      </c>
      <c r="G674">
        <v>9.5299999999999994</v>
      </c>
      <c r="H674">
        <v>6.52</v>
      </c>
      <c r="I674">
        <v>9.9600000000000009</v>
      </c>
    </row>
    <row r="675" spans="1:9" x14ac:dyDescent="0.25">
      <c r="A675" s="2">
        <v>42572</v>
      </c>
      <c r="B675">
        <v>4.08</v>
      </c>
      <c r="C675">
        <v>7.8</v>
      </c>
      <c r="E675">
        <v>10.82</v>
      </c>
      <c r="F675">
        <v>7.45</v>
      </c>
      <c r="G675">
        <v>9.58</v>
      </c>
      <c r="H675">
        <v>6.54</v>
      </c>
      <c r="I675">
        <v>10.119999999999999</v>
      </c>
    </row>
    <row r="676" spans="1:9" x14ac:dyDescent="0.25">
      <c r="A676" s="2">
        <v>42573</v>
      </c>
      <c r="B676">
        <v>4.16</v>
      </c>
      <c r="C676">
        <v>7.75</v>
      </c>
      <c r="E676">
        <v>11.17</v>
      </c>
      <c r="F676">
        <v>7.46</v>
      </c>
      <c r="G676">
        <v>9.67</v>
      </c>
      <c r="H676">
        <v>6.56</v>
      </c>
      <c r="I676">
        <v>10.119999999999999</v>
      </c>
    </row>
    <row r="677" spans="1:9" x14ac:dyDescent="0.25">
      <c r="A677" s="2">
        <v>42576</v>
      </c>
      <c r="B677">
        <v>4.18</v>
      </c>
      <c r="C677">
        <v>7.82</v>
      </c>
      <c r="E677">
        <v>11.11</v>
      </c>
      <c r="F677">
        <v>7.45</v>
      </c>
      <c r="G677">
        <v>9.61</v>
      </c>
      <c r="H677">
        <v>6.57</v>
      </c>
      <c r="I677">
        <v>10.15</v>
      </c>
    </row>
    <row r="678" spans="1:9" x14ac:dyDescent="0.25">
      <c r="A678" s="2">
        <v>42577</v>
      </c>
      <c r="B678">
        <v>4.29</v>
      </c>
      <c r="C678">
        <v>7.92</v>
      </c>
      <c r="E678">
        <v>11.17</v>
      </c>
      <c r="F678">
        <v>7.5</v>
      </c>
      <c r="G678">
        <v>9.65</v>
      </c>
      <c r="H678">
        <v>6.61</v>
      </c>
      <c r="I678">
        <v>10.14</v>
      </c>
    </row>
    <row r="679" spans="1:9" x14ac:dyDescent="0.25">
      <c r="A679" s="2">
        <v>42578</v>
      </c>
      <c r="B679">
        <v>4.34</v>
      </c>
      <c r="C679">
        <v>7.91</v>
      </c>
      <c r="E679">
        <v>11.14</v>
      </c>
      <c r="F679">
        <v>7.53</v>
      </c>
      <c r="G679">
        <v>9.7200000000000006</v>
      </c>
      <c r="H679">
        <v>6.62</v>
      </c>
      <c r="I679">
        <v>10.17</v>
      </c>
    </row>
    <row r="680" spans="1:9" x14ac:dyDescent="0.25">
      <c r="A680" s="2">
        <v>42579</v>
      </c>
      <c r="B680">
        <v>4.3899999999999997</v>
      </c>
      <c r="C680">
        <v>7.88</v>
      </c>
      <c r="E680">
        <v>11.17</v>
      </c>
      <c r="F680">
        <v>7.48</v>
      </c>
      <c r="G680">
        <v>9.76</v>
      </c>
      <c r="H680">
        <v>6.59</v>
      </c>
      <c r="I680">
        <v>10.19</v>
      </c>
    </row>
    <row r="681" spans="1:9" x14ac:dyDescent="0.25">
      <c r="A681" s="2">
        <v>42580</v>
      </c>
      <c r="B681">
        <v>4.43</v>
      </c>
      <c r="C681">
        <v>7.85</v>
      </c>
      <c r="E681">
        <v>11.31</v>
      </c>
      <c r="F681">
        <v>7.6</v>
      </c>
      <c r="G681">
        <v>9.75</v>
      </c>
      <c r="H681">
        <v>6.56</v>
      </c>
      <c r="I681">
        <v>10.01</v>
      </c>
    </row>
    <row r="682" spans="1:9" x14ac:dyDescent="0.25">
      <c r="A682" s="2">
        <v>42583</v>
      </c>
      <c r="B682">
        <v>4.4000000000000004</v>
      </c>
      <c r="C682">
        <v>7.83</v>
      </c>
      <c r="E682">
        <v>10.83</v>
      </c>
      <c r="F682">
        <v>7.53</v>
      </c>
      <c r="G682">
        <v>9.66</v>
      </c>
      <c r="H682">
        <v>6.56</v>
      </c>
      <c r="I682">
        <v>10.029999999999999</v>
      </c>
    </row>
    <row r="683" spans="1:9" x14ac:dyDescent="0.25">
      <c r="A683" s="2">
        <v>42584</v>
      </c>
      <c r="B683">
        <v>4.38</v>
      </c>
      <c r="C683">
        <v>7.83</v>
      </c>
      <c r="E683">
        <v>10.92</v>
      </c>
      <c r="F683">
        <v>7.58</v>
      </c>
      <c r="G683">
        <v>9.57</v>
      </c>
      <c r="H683">
        <v>6.55</v>
      </c>
      <c r="I683">
        <v>10.02</v>
      </c>
    </row>
    <row r="684" spans="1:9" x14ac:dyDescent="0.25">
      <c r="A684" s="2">
        <v>42585</v>
      </c>
      <c r="B684">
        <v>4.28</v>
      </c>
      <c r="C684">
        <v>7.76</v>
      </c>
      <c r="E684">
        <v>10.95</v>
      </c>
      <c r="F684">
        <v>7.68</v>
      </c>
      <c r="G684">
        <v>9.5399999999999991</v>
      </c>
      <c r="H684">
        <v>6.58</v>
      </c>
      <c r="I684">
        <v>9.75</v>
      </c>
    </row>
    <row r="685" spans="1:9" x14ac:dyDescent="0.25">
      <c r="A685" s="2">
        <v>42586</v>
      </c>
      <c r="B685">
        <v>4.0999999999999996</v>
      </c>
      <c r="C685">
        <v>7.68</v>
      </c>
      <c r="E685">
        <v>10.210000000000001</v>
      </c>
      <c r="F685">
        <v>7.48</v>
      </c>
      <c r="G685">
        <v>9.31</v>
      </c>
      <c r="H685">
        <v>6.49</v>
      </c>
      <c r="I685">
        <v>9.7799999999999994</v>
      </c>
    </row>
    <row r="686" spans="1:9" x14ac:dyDescent="0.25">
      <c r="A686" s="2">
        <v>42587</v>
      </c>
      <c r="B686">
        <v>4.0999999999999996</v>
      </c>
      <c r="C686">
        <v>7.74</v>
      </c>
      <c r="E686">
        <v>10.28</v>
      </c>
      <c r="F686">
        <v>7.49</v>
      </c>
      <c r="G686">
        <v>9.25</v>
      </c>
      <c r="H686">
        <v>6.5</v>
      </c>
      <c r="I686">
        <v>9.9499999999999993</v>
      </c>
    </row>
    <row r="687" spans="1:9" x14ac:dyDescent="0.25">
      <c r="A687" s="2">
        <v>42590</v>
      </c>
      <c r="B687">
        <v>4.17</v>
      </c>
      <c r="C687">
        <v>7.76</v>
      </c>
      <c r="E687">
        <v>10.76</v>
      </c>
      <c r="F687">
        <v>7.81</v>
      </c>
      <c r="G687">
        <v>9.52</v>
      </c>
      <c r="H687">
        <v>6.59</v>
      </c>
      <c r="I687">
        <v>10.16</v>
      </c>
    </row>
    <row r="688" spans="1:9" x14ac:dyDescent="0.25">
      <c r="A688" s="2">
        <v>42591</v>
      </c>
      <c r="B688">
        <v>4.34</v>
      </c>
      <c r="C688">
        <v>7.87</v>
      </c>
      <c r="E688">
        <v>11.28</v>
      </c>
      <c r="F688">
        <v>7.81</v>
      </c>
      <c r="G688">
        <v>9.8800000000000008</v>
      </c>
      <c r="H688">
        <v>6.7</v>
      </c>
      <c r="I688">
        <v>10.23</v>
      </c>
    </row>
    <row r="689" spans="1:9" x14ac:dyDescent="0.25">
      <c r="A689" s="2">
        <v>42592</v>
      </c>
      <c r="B689">
        <v>4.5199999999999996</v>
      </c>
      <c r="C689">
        <v>7.96</v>
      </c>
      <c r="E689">
        <v>11.39</v>
      </c>
      <c r="F689">
        <v>7.83</v>
      </c>
      <c r="G689">
        <v>9.9700000000000006</v>
      </c>
      <c r="H689">
        <v>6.78</v>
      </c>
      <c r="I689">
        <v>10.38</v>
      </c>
    </row>
    <row r="690" spans="1:9" x14ac:dyDescent="0.25">
      <c r="A690" s="2">
        <v>42593</v>
      </c>
      <c r="B690">
        <v>4.66</v>
      </c>
      <c r="C690">
        <v>7.99</v>
      </c>
      <c r="E690">
        <v>11.63</v>
      </c>
      <c r="F690">
        <v>7.89</v>
      </c>
      <c r="G690">
        <v>10.1</v>
      </c>
      <c r="H690">
        <v>6.86</v>
      </c>
      <c r="I690">
        <v>10.27</v>
      </c>
    </row>
    <row r="691" spans="1:9" x14ac:dyDescent="0.25">
      <c r="A691" s="2">
        <v>42594</v>
      </c>
      <c r="B691">
        <v>4.75</v>
      </c>
      <c r="C691">
        <v>8.09</v>
      </c>
      <c r="E691">
        <v>11.4</v>
      </c>
      <c r="F691">
        <v>8</v>
      </c>
      <c r="G691">
        <v>10.16</v>
      </c>
      <c r="H691">
        <v>6.95</v>
      </c>
      <c r="I691">
        <v>10.37</v>
      </c>
    </row>
    <row r="692" spans="1:9" x14ac:dyDescent="0.25">
      <c r="A692" s="2">
        <v>42597</v>
      </c>
      <c r="B692">
        <v>4.79</v>
      </c>
      <c r="C692">
        <v>8.06</v>
      </c>
      <c r="E692">
        <v>11.69</v>
      </c>
      <c r="F692">
        <v>7.96</v>
      </c>
      <c r="G692">
        <v>10.31</v>
      </c>
      <c r="H692">
        <v>6.95</v>
      </c>
      <c r="I692">
        <v>10.35</v>
      </c>
    </row>
    <row r="693" spans="1:9" x14ac:dyDescent="0.25">
      <c r="A693" s="2">
        <v>42598</v>
      </c>
      <c r="B693">
        <v>4.8499999999999996</v>
      </c>
      <c r="C693">
        <v>8.09</v>
      </c>
      <c r="E693">
        <v>11.63</v>
      </c>
      <c r="F693">
        <v>8.02</v>
      </c>
      <c r="G693">
        <v>10.33</v>
      </c>
      <c r="H693">
        <v>6.96</v>
      </c>
      <c r="I693">
        <v>10.37</v>
      </c>
    </row>
    <row r="694" spans="1:9" x14ac:dyDescent="0.25">
      <c r="A694" s="2">
        <v>42599</v>
      </c>
      <c r="B694">
        <v>4.7300000000000004</v>
      </c>
      <c r="C694">
        <v>7.99</v>
      </c>
      <c r="E694">
        <v>11.66</v>
      </c>
      <c r="F694">
        <v>7.9</v>
      </c>
      <c r="G694">
        <v>10.24</v>
      </c>
      <c r="H694">
        <v>6.93</v>
      </c>
      <c r="I694">
        <v>10.17</v>
      </c>
    </row>
    <row r="695" spans="1:9" x14ac:dyDescent="0.25">
      <c r="A695" s="2">
        <v>42600</v>
      </c>
      <c r="B695">
        <v>4.5999999999999996</v>
      </c>
      <c r="C695">
        <v>7.98</v>
      </c>
      <c r="E695">
        <v>11.12</v>
      </c>
      <c r="F695">
        <v>7.73</v>
      </c>
      <c r="G695">
        <v>10.08</v>
      </c>
      <c r="H695">
        <v>6.97</v>
      </c>
      <c r="I695">
        <v>10.01</v>
      </c>
    </row>
    <row r="696" spans="1:9" x14ac:dyDescent="0.25">
      <c r="A696" s="2">
        <v>42601</v>
      </c>
      <c r="B696">
        <v>4.54</v>
      </c>
      <c r="C696">
        <v>7.96</v>
      </c>
      <c r="E696">
        <v>10.85</v>
      </c>
      <c r="F696">
        <v>7.77</v>
      </c>
      <c r="G696">
        <v>9.8800000000000008</v>
      </c>
      <c r="H696">
        <v>6.95</v>
      </c>
      <c r="I696">
        <v>10.130000000000001</v>
      </c>
    </row>
    <row r="697" spans="1:9" x14ac:dyDescent="0.25">
      <c r="A697" s="2">
        <v>42604</v>
      </c>
      <c r="B697">
        <v>4.57</v>
      </c>
      <c r="C697">
        <v>8.01</v>
      </c>
      <c r="E697">
        <v>11.04</v>
      </c>
      <c r="F697">
        <v>7.83</v>
      </c>
      <c r="G697">
        <v>9.9700000000000006</v>
      </c>
      <c r="H697">
        <v>6.95</v>
      </c>
      <c r="I697">
        <v>9.98</v>
      </c>
    </row>
    <row r="698" spans="1:9" x14ac:dyDescent="0.25">
      <c r="A698" s="2">
        <v>42605</v>
      </c>
      <c r="B698">
        <v>4.53</v>
      </c>
      <c r="C698">
        <v>7.97</v>
      </c>
      <c r="E698">
        <v>10.75</v>
      </c>
      <c r="F698">
        <v>7.68</v>
      </c>
      <c r="G698">
        <v>9.8800000000000008</v>
      </c>
      <c r="H698">
        <v>6.95</v>
      </c>
      <c r="I698">
        <v>9.9499999999999993</v>
      </c>
    </row>
    <row r="699" spans="1:9" x14ac:dyDescent="0.25">
      <c r="A699" s="2">
        <v>42606</v>
      </c>
      <c r="B699">
        <v>4.58</v>
      </c>
      <c r="C699">
        <v>7.99</v>
      </c>
      <c r="E699">
        <v>10.78</v>
      </c>
      <c r="F699">
        <v>7.81</v>
      </c>
      <c r="G699">
        <v>9.8699999999999992</v>
      </c>
      <c r="H699">
        <v>6.96</v>
      </c>
      <c r="I699">
        <v>10.1</v>
      </c>
    </row>
    <row r="700" spans="1:9" x14ac:dyDescent="0.25">
      <c r="A700" s="2">
        <v>42607</v>
      </c>
      <c r="B700">
        <v>4.7300000000000004</v>
      </c>
      <c r="C700">
        <v>8.07</v>
      </c>
      <c r="E700">
        <v>11.1</v>
      </c>
      <c r="F700">
        <v>7.83</v>
      </c>
      <c r="G700">
        <v>10.15</v>
      </c>
      <c r="H700">
        <v>7.03</v>
      </c>
      <c r="I700">
        <v>10.14</v>
      </c>
    </row>
    <row r="701" spans="1:9" x14ac:dyDescent="0.25">
      <c r="A701" s="2">
        <v>42608</v>
      </c>
      <c r="B701">
        <v>4.7</v>
      </c>
      <c r="C701">
        <v>8.06</v>
      </c>
      <c r="E701">
        <v>11.25</v>
      </c>
      <c r="F701">
        <v>7.89</v>
      </c>
      <c r="G701">
        <v>10.119999999999999</v>
      </c>
      <c r="H701">
        <v>7.05</v>
      </c>
      <c r="I701">
        <v>10.07</v>
      </c>
    </row>
    <row r="702" spans="1:9" x14ac:dyDescent="0.25">
      <c r="A702" s="2">
        <v>42611</v>
      </c>
      <c r="B702">
        <v>4.59</v>
      </c>
      <c r="C702">
        <v>8.07</v>
      </c>
      <c r="E702">
        <v>10.96</v>
      </c>
      <c r="F702">
        <v>7.8</v>
      </c>
      <c r="G702">
        <v>9.8800000000000008</v>
      </c>
      <c r="H702">
        <v>6.97</v>
      </c>
      <c r="I702">
        <v>10.210000000000001</v>
      </c>
    </row>
    <row r="703" spans="1:9" x14ac:dyDescent="0.25">
      <c r="A703" s="2">
        <v>42612</v>
      </c>
      <c r="B703">
        <v>4.63</v>
      </c>
      <c r="C703">
        <v>8.14</v>
      </c>
      <c r="E703">
        <v>11.2</v>
      </c>
      <c r="F703">
        <v>7.88</v>
      </c>
      <c r="G703">
        <v>10.039999999999999</v>
      </c>
      <c r="H703">
        <v>7.04</v>
      </c>
      <c r="I703">
        <v>10.199999999999999</v>
      </c>
    </row>
    <row r="704" spans="1:9" x14ac:dyDescent="0.25">
      <c r="A704" s="2">
        <v>42613</v>
      </c>
      <c r="B704">
        <v>4.7699999999999996</v>
      </c>
      <c r="C704">
        <v>8.2100000000000009</v>
      </c>
      <c r="E704">
        <v>11.22</v>
      </c>
      <c r="F704">
        <v>7.89</v>
      </c>
      <c r="G704">
        <v>10.08</v>
      </c>
      <c r="H704">
        <v>7.07</v>
      </c>
      <c r="I704">
        <v>10.29</v>
      </c>
    </row>
    <row r="705" spans="1:9" x14ac:dyDescent="0.25">
      <c r="A705" s="2">
        <v>42614</v>
      </c>
      <c r="B705">
        <v>4.88</v>
      </c>
      <c r="C705">
        <v>8.26</v>
      </c>
      <c r="E705">
        <v>11.38</v>
      </c>
      <c r="F705">
        <v>7.95</v>
      </c>
      <c r="G705">
        <v>10.210000000000001</v>
      </c>
      <c r="H705">
        <v>7.11</v>
      </c>
      <c r="I705">
        <v>10.220000000000001</v>
      </c>
    </row>
    <row r="706" spans="1:9" x14ac:dyDescent="0.25">
      <c r="A706" s="2">
        <v>42615</v>
      </c>
      <c r="B706">
        <v>4.8499999999999996</v>
      </c>
      <c r="C706">
        <v>8.24</v>
      </c>
      <c r="E706">
        <v>11.17</v>
      </c>
      <c r="F706">
        <v>7.88</v>
      </c>
      <c r="G706">
        <v>10.08</v>
      </c>
      <c r="H706">
        <v>7.05</v>
      </c>
      <c r="I706">
        <v>10.199999999999999</v>
      </c>
    </row>
    <row r="707" spans="1:9" x14ac:dyDescent="0.25">
      <c r="A707" s="2">
        <v>42618</v>
      </c>
      <c r="B707">
        <v>4.79</v>
      </c>
      <c r="C707">
        <v>8.1999999999999993</v>
      </c>
      <c r="E707">
        <v>11.01</v>
      </c>
      <c r="F707">
        <v>7.77</v>
      </c>
      <c r="G707">
        <v>9.92</v>
      </c>
      <c r="H707">
        <v>7</v>
      </c>
      <c r="I707">
        <v>10.52</v>
      </c>
    </row>
    <row r="708" spans="1:9" x14ac:dyDescent="0.25">
      <c r="A708" s="2">
        <v>42619</v>
      </c>
      <c r="B708">
        <v>4.8600000000000003</v>
      </c>
      <c r="C708">
        <v>8.23</v>
      </c>
      <c r="E708">
        <v>11.61</v>
      </c>
      <c r="F708">
        <v>7.75</v>
      </c>
      <c r="G708">
        <v>10.130000000000001</v>
      </c>
      <c r="H708">
        <v>7.03</v>
      </c>
      <c r="I708">
        <v>10.6</v>
      </c>
    </row>
    <row r="709" spans="1:9" x14ac:dyDescent="0.25">
      <c r="A709" s="2">
        <v>42620</v>
      </c>
      <c r="B709">
        <v>5</v>
      </c>
      <c r="C709">
        <v>8.25</v>
      </c>
      <c r="E709">
        <v>11.73</v>
      </c>
      <c r="F709">
        <v>7.81</v>
      </c>
      <c r="G709">
        <v>10.28</v>
      </c>
      <c r="H709">
        <v>7.06</v>
      </c>
      <c r="I709">
        <v>10.62</v>
      </c>
    </row>
    <row r="710" spans="1:9" x14ac:dyDescent="0.25">
      <c r="A710" s="2">
        <v>42621</v>
      </c>
      <c r="B710">
        <v>5.05</v>
      </c>
      <c r="C710">
        <v>8.31</v>
      </c>
      <c r="E710">
        <v>11.64</v>
      </c>
      <c r="F710">
        <v>7.92</v>
      </c>
      <c r="G710">
        <v>10.36</v>
      </c>
      <c r="H710">
        <v>7.11</v>
      </c>
      <c r="I710">
        <v>10.6</v>
      </c>
    </row>
    <row r="711" spans="1:9" x14ac:dyDescent="0.25">
      <c r="A711" s="2">
        <v>42622</v>
      </c>
      <c r="B711">
        <v>5.0199999999999996</v>
      </c>
      <c r="C711">
        <v>8.31</v>
      </c>
      <c r="E711">
        <v>11.8</v>
      </c>
      <c r="F711">
        <v>8.0500000000000007</v>
      </c>
      <c r="G711">
        <v>10.5</v>
      </c>
      <c r="H711">
        <v>7.18</v>
      </c>
      <c r="I711">
        <v>10.52</v>
      </c>
    </row>
    <row r="712" spans="1:9" x14ac:dyDescent="0.25">
      <c r="A712" s="2">
        <v>42625</v>
      </c>
      <c r="B712">
        <v>4.92</v>
      </c>
      <c r="C712">
        <v>8.26</v>
      </c>
      <c r="E712">
        <v>11.55</v>
      </c>
      <c r="F712">
        <v>7.81</v>
      </c>
      <c r="G712">
        <v>10.29</v>
      </c>
      <c r="H712">
        <v>7.14</v>
      </c>
      <c r="I712">
        <v>10.26</v>
      </c>
    </row>
    <row r="713" spans="1:9" x14ac:dyDescent="0.25">
      <c r="A713" s="2">
        <v>42626</v>
      </c>
      <c r="B713">
        <v>4.66</v>
      </c>
      <c r="C713">
        <v>8.15</v>
      </c>
      <c r="E713">
        <v>11</v>
      </c>
      <c r="F713">
        <v>7.51</v>
      </c>
      <c r="G713">
        <v>9.86</v>
      </c>
      <c r="H713">
        <v>7.04</v>
      </c>
      <c r="I713">
        <v>10.06</v>
      </c>
    </row>
    <row r="714" spans="1:9" x14ac:dyDescent="0.25">
      <c r="A714" s="2">
        <v>42627</v>
      </c>
      <c r="B714">
        <v>4.3600000000000003</v>
      </c>
      <c r="C714">
        <v>8.0299999999999994</v>
      </c>
      <c r="E714">
        <v>10.42</v>
      </c>
      <c r="F714">
        <v>7.31</v>
      </c>
      <c r="G714">
        <v>9.48</v>
      </c>
      <c r="H714">
        <v>6.88</v>
      </c>
      <c r="I714">
        <v>9.85</v>
      </c>
    </row>
    <row r="715" spans="1:9" x14ac:dyDescent="0.25">
      <c r="A715" s="2">
        <v>42628</v>
      </c>
      <c r="B715">
        <v>4.38</v>
      </c>
      <c r="C715">
        <v>7.93</v>
      </c>
      <c r="E715">
        <v>10.1</v>
      </c>
      <c r="F715">
        <v>7.28</v>
      </c>
      <c r="G715">
        <v>9.4</v>
      </c>
      <c r="H715">
        <v>6.84</v>
      </c>
      <c r="I715">
        <v>9.83</v>
      </c>
    </row>
    <row r="716" spans="1:9" x14ac:dyDescent="0.25">
      <c r="A716" s="2">
        <v>42629</v>
      </c>
      <c r="B716">
        <v>4.24</v>
      </c>
      <c r="C716">
        <v>7.89</v>
      </c>
      <c r="E716">
        <v>10.09</v>
      </c>
      <c r="F716">
        <v>7.25</v>
      </c>
      <c r="G716">
        <v>9.24</v>
      </c>
      <c r="H716">
        <v>6.77</v>
      </c>
      <c r="I716">
        <v>9.9700000000000006</v>
      </c>
    </row>
    <row r="717" spans="1:9" x14ac:dyDescent="0.25">
      <c r="A717" s="2">
        <v>42632</v>
      </c>
      <c r="B717">
        <v>4.1900000000000004</v>
      </c>
      <c r="C717">
        <v>7.89</v>
      </c>
      <c r="E717">
        <v>10.26</v>
      </c>
      <c r="F717">
        <v>7.15</v>
      </c>
      <c r="G717">
        <v>9.25</v>
      </c>
      <c r="H717">
        <v>6.78</v>
      </c>
      <c r="I717">
        <v>9.89</v>
      </c>
    </row>
    <row r="718" spans="1:9" x14ac:dyDescent="0.25">
      <c r="A718" s="2">
        <v>42633</v>
      </c>
      <c r="B718">
        <v>4.26</v>
      </c>
      <c r="C718">
        <v>7.95</v>
      </c>
      <c r="E718">
        <v>10.36</v>
      </c>
      <c r="F718">
        <v>7.36</v>
      </c>
      <c r="G718">
        <v>9.43</v>
      </c>
      <c r="H718">
        <v>6.8</v>
      </c>
      <c r="I718">
        <v>10.11</v>
      </c>
    </row>
    <row r="719" spans="1:9" x14ac:dyDescent="0.25">
      <c r="A719" s="2">
        <v>42634</v>
      </c>
      <c r="B719">
        <v>4.3499999999999996</v>
      </c>
      <c r="C719">
        <v>7.94</v>
      </c>
      <c r="E719">
        <v>10.68</v>
      </c>
      <c r="F719">
        <v>7.36</v>
      </c>
      <c r="G719">
        <v>9.59</v>
      </c>
      <c r="H719">
        <v>6.78</v>
      </c>
      <c r="I719">
        <v>10.08</v>
      </c>
    </row>
    <row r="720" spans="1:9" x14ac:dyDescent="0.25">
      <c r="A720" s="2">
        <v>42635</v>
      </c>
      <c r="B720">
        <v>4.47</v>
      </c>
      <c r="C720">
        <v>8</v>
      </c>
      <c r="E720">
        <v>10.6</v>
      </c>
      <c r="F720">
        <v>7.37</v>
      </c>
      <c r="G720">
        <v>9.74</v>
      </c>
      <c r="H720">
        <v>6.83</v>
      </c>
      <c r="I720">
        <v>10.23</v>
      </c>
    </row>
    <row r="721" spans="1:9" x14ac:dyDescent="0.25">
      <c r="A721" s="2">
        <v>42636</v>
      </c>
      <c r="B721">
        <v>4.63</v>
      </c>
      <c r="C721">
        <v>8</v>
      </c>
      <c r="E721">
        <v>10.8</v>
      </c>
      <c r="F721">
        <v>7.34</v>
      </c>
      <c r="G721">
        <v>9.84</v>
      </c>
      <c r="H721">
        <v>6.81</v>
      </c>
      <c r="I721">
        <v>10.49</v>
      </c>
    </row>
    <row r="722" spans="1:9" x14ac:dyDescent="0.25">
      <c r="A722" s="2">
        <v>42639</v>
      </c>
      <c r="B722">
        <v>4.82</v>
      </c>
      <c r="C722">
        <v>8.15</v>
      </c>
      <c r="E722">
        <v>11.44</v>
      </c>
      <c r="F722">
        <v>7.65</v>
      </c>
      <c r="G722">
        <v>10.23</v>
      </c>
      <c r="H722">
        <v>6.95</v>
      </c>
      <c r="I722">
        <v>10.46</v>
      </c>
    </row>
    <row r="723" spans="1:9" x14ac:dyDescent="0.25">
      <c r="A723" s="2">
        <v>42640</v>
      </c>
      <c r="B723">
        <v>4.72</v>
      </c>
      <c r="C723">
        <v>8.15</v>
      </c>
      <c r="E723">
        <v>11.29</v>
      </c>
      <c r="F723">
        <v>7.61</v>
      </c>
      <c r="G723">
        <v>10.1</v>
      </c>
      <c r="H723">
        <v>7.02</v>
      </c>
      <c r="I723">
        <v>10.09</v>
      </c>
    </row>
    <row r="724" spans="1:9" x14ac:dyDescent="0.25">
      <c r="A724" s="2">
        <v>42641</v>
      </c>
      <c r="B724">
        <v>4.54</v>
      </c>
      <c r="C724">
        <v>8.1999999999999993</v>
      </c>
      <c r="E724">
        <v>10.63</v>
      </c>
      <c r="F724">
        <v>7.59</v>
      </c>
      <c r="G724">
        <v>9.84</v>
      </c>
      <c r="H724">
        <v>7.01</v>
      </c>
      <c r="I724">
        <v>10.17</v>
      </c>
    </row>
    <row r="725" spans="1:9" x14ac:dyDescent="0.25">
      <c r="A725" s="2">
        <v>42642</v>
      </c>
      <c r="B725">
        <v>4.5599999999999996</v>
      </c>
      <c r="C725">
        <v>8.23</v>
      </c>
      <c r="E725">
        <v>10.92</v>
      </c>
      <c r="F725">
        <v>7.71</v>
      </c>
      <c r="G725">
        <v>9.91</v>
      </c>
      <c r="H725">
        <v>7.03</v>
      </c>
      <c r="I725">
        <v>10.27</v>
      </c>
    </row>
    <row r="726" spans="1:9" x14ac:dyDescent="0.25">
      <c r="A726" s="2">
        <v>42643</v>
      </c>
      <c r="B726">
        <v>4.66</v>
      </c>
      <c r="C726">
        <v>8.1999999999999993</v>
      </c>
      <c r="E726">
        <v>11.06</v>
      </c>
      <c r="F726">
        <v>7.76</v>
      </c>
      <c r="G726">
        <v>10.11</v>
      </c>
      <c r="H726">
        <v>7.06</v>
      </c>
      <c r="I726">
        <v>10.28</v>
      </c>
    </row>
    <row r="727" spans="1:9" x14ac:dyDescent="0.25">
      <c r="A727" s="2">
        <v>42646</v>
      </c>
      <c r="B727">
        <v>4.68</v>
      </c>
      <c r="C727">
        <v>8.27</v>
      </c>
      <c r="E727">
        <v>11.07</v>
      </c>
      <c r="F727">
        <v>7.66</v>
      </c>
      <c r="G727">
        <v>10.15</v>
      </c>
      <c r="H727">
        <v>7.07</v>
      </c>
      <c r="I727">
        <v>10.34</v>
      </c>
    </row>
    <row r="728" spans="1:9" x14ac:dyDescent="0.25">
      <c r="A728" s="2">
        <v>42647</v>
      </c>
      <c r="B728">
        <v>4.4400000000000004</v>
      </c>
      <c r="C728">
        <v>8.17</v>
      </c>
      <c r="E728">
        <v>11</v>
      </c>
      <c r="F728">
        <v>7.61</v>
      </c>
      <c r="G728">
        <v>10.039999999999999</v>
      </c>
      <c r="H728">
        <v>7.04</v>
      </c>
      <c r="I728">
        <v>10.27</v>
      </c>
    </row>
    <row r="729" spans="1:9" x14ac:dyDescent="0.25">
      <c r="A729" s="2">
        <v>42648</v>
      </c>
      <c r="B729">
        <v>4.6500000000000004</v>
      </c>
      <c r="C729">
        <v>8.2799999999999994</v>
      </c>
      <c r="E729">
        <v>11.05</v>
      </c>
      <c r="F729">
        <v>7.68</v>
      </c>
      <c r="G729">
        <v>10.16</v>
      </c>
      <c r="H729">
        <v>7.06</v>
      </c>
      <c r="I729">
        <v>10.46</v>
      </c>
    </row>
    <row r="730" spans="1:9" x14ac:dyDescent="0.25">
      <c r="A730" s="2">
        <v>42649</v>
      </c>
      <c r="B730">
        <v>4.67</v>
      </c>
      <c r="C730">
        <v>8.11</v>
      </c>
      <c r="E730">
        <v>11.35</v>
      </c>
      <c r="F730">
        <v>7.69</v>
      </c>
      <c r="G730">
        <v>10.220000000000001</v>
      </c>
      <c r="H730">
        <v>7.05</v>
      </c>
      <c r="I730">
        <v>10.34</v>
      </c>
    </row>
    <row r="731" spans="1:9" x14ac:dyDescent="0.25">
      <c r="A731" s="2">
        <v>42650</v>
      </c>
      <c r="B731">
        <v>4.58</v>
      </c>
      <c r="C731">
        <v>8.14</v>
      </c>
      <c r="E731">
        <v>10.99</v>
      </c>
      <c r="F731">
        <v>7.37</v>
      </c>
      <c r="G731">
        <v>10.029999999999999</v>
      </c>
      <c r="H731">
        <v>6.98</v>
      </c>
      <c r="I731">
        <v>10.33</v>
      </c>
    </row>
    <row r="732" spans="1:9" x14ac:dyDescent="0.25">
      <c r="A732" s="2">
        <v>42653</v>
      </c>
      <c r="B732">
        <v>4.57</v>
      </c>
      <c r="C732">
        <v>8.1199999999999992</v>
      </c>
      <c r="E732">
        <v>10.91</v>
      </c>
      <c r="F732">
        <v>7.38</v>
      </c>
      <c r="G732">
        <v>10</v>
      </c>
      <c r="H732">
        <v>6.98</v>
      </c>
      <c r="I732">
        <v>10.24</v>
      </c>
    </row>
    <row r="733" spans="1:9" x14ac:dyDescent="0.25">
      <c r="A733" s="2">
        <v>42654</v>
      </c>
      <c r="B733">
        <v>4.49</v>
      </c>
      <c r="C733">
        <v>8.1</v>
      </c>
      <c r="E733">
        <v>10.72</v>
      </c>
      <c r="F733">
        <v>7.31</v>
      </c>
      <c r="G733">
        <v>9.8800000000000008</v>
      </c>
      <c r="H733">
        <v>6.97</v>
      </c>
      <c r="I733">
        <v>10.42</v>
      </c>
    </row>
    <row r="734" spans="1:9" x14ac:dyDescent="0.25">
      <c r="A734" s="2">
        <v>42655</v>
      </c>
      <c r="B734">
        <v>4.54</v>
      </c>
      <c r="C734">
        <v>8.16</v>
      </c>
      <c r="E734">
        <v>11.08</v>
      </c>
      <c r="F734">
        <v>7.27</v>
      </c>
      <c r="G734">
        <v>10.029999999999999</v>
      </c>
      <c r="H734">
        <v>6.97</v>
      </c>
      <c r="I734">
        <v>10.32</v>
      </c>
    </row>
    <row r="735" spans="1:9" x14ac:dyDescent="0.25">
      <c r="A735" s="2">
        <v>42656</v>
      </c>
      <c r="B735">
        <v>4.57</v>
      </c>
      <c r="C735">
        <v>8.2100000000000009</v>
      </c>
      <c r="E735">
        <v>10.84</v>
      </c>
      <c r="F735">
        <v>7.36</v>
      </c>
      <c r="G735">
        <v>10.01</v>
      </c>
      <c r="H735">
        <v>7</v>
      </c>
      <c r="I735">
        <v>10.36</v>
      </c>
    </row>
    <row r="736" spans="1:9" x14ac:dyDescent="0.25">
      <c r="A736" s="2">
        <v>42657</v>
      </c>
      <c r="B736">
        <v>4.42</v>
      </c>
      <c r="C736">
        <v>8.1999999999999993</v>
      </c>
      <c r="E736">
        <v>10.84</v>
      </c>
      <c r="F736">
        <v>7.28</v>
      </c>
      <c r="G736">
        <v>9.82</v>
      </c>
      <c r="H736">
        <v>6.92</v>
      </c>
      <c r="I736">
        <v>10.11</v>
      </c>
    </row>
    <row r="737" spans="1:9" x14ac:dyDescent="0.25">
      <c r="A737" s="2">
        <v>42660</v>
      </c>
      <c r="B737">
        <v>4.41</v>
      </c>
      <c r="C737">
        <v>8.23</v>
      </c>
      <c r="E737">
        <v>10.5</v>
      </c>
      <c r="F737">
        <v>7.3</v>
      </c>
      <c r="G737">
        <v>9.67</v>
      </c>
      <c r="H737">
        <v>6.93</v>
      </c>
      <c r="I737">
        <v>10.36</v>
      </c>
    </row>
    <row r="738" spans="1:9" x14ac:dyDescent="0.25">
      <c r="A738" s="2">
        <v>42661</v>
      </c>
      <c r="B738">
        <v>4.4800000000000004</v>
      </c>
      <c r="C738">
        <v>8.1999999999999993</v>
      </c>
      <c r="E738">
        <v>10.93</v>
      </c>
      <c r="F738">
        <v>7.33</v>
      </c>
      <c r="G738">
        <v>9.93</v>
      </c>
      <c r="H738">
        <v>6.93</v>
      </c>
      <c r="I738">
        <v>10.26</v>
      </c>
    </row>
    <row r="739" spans="1:9" x14ac:dyDescent="0.25">
      <c r="A739" s="2">
        <v>42662</v>
      </c>
      <c r="B739">
        <v>4.5199999999999996</v>
      </c>
      <c r="C739">
        <v>8.26</v>
      </c>
      <c r="E739">
        <v>10.71</v>
      </c>
      <c r="F739">
        <v>7.25</v>
      </c>
      <c r="G739">
        <v>9.84</v>
      </c>
      <c r="H739">
        <v>6.92</v>
      </c>
      <c r="I739">
        <v>10.53</v>
      </c>
    </row>
    <row r="740" spans="1:9" x14ac:dyDescent="0.25">
      <c r="A740" s="2">
        <v>42663</v>
      </c>
      <c r="B740">
        <v>4.6399999999999997</v>
      </c>
      <c r="C740">
        <v>8.2899999999999991</v>
      </c>
      <c r="E740">
        <v>11.1</v>
      </c>
      <c r="F740">
        <v>7.34</v>
      </c>
      <c r="G740">
        <v>10.06</v>
      </c>
      <c r="H740">
        <v>6.96</v>
      </c>
      <c r="I740">
        <v>10.64</v>
      </c>
    </row>
    <row r="741" spans="1:9" x14ac:dyDescent="0.25">
      <c r="A741" s="2">
        <v>42664</v>
      </c>
      <c r="B741">
        <v>4.7300000000000004</v>
      </c>
      <c r="C741">
        <v>8.36</v>
      </c>
      <c r="E741">
        <v>11.34</v>
      </c>
      <c r="F741">
        <v>7.46</v>
      </c>
      <c r="G741">
        <v>10.17</v>
      </c>
      <c r="H741">
        <v>7.01</v>
      </c>
      <c r="I741">
        <v>10.68</v>
      </c>
    </row>
    <row r="742" spans="1:9" x14ac:dyDescent="0.25">
      <c r="A742" s="2">
        <v>42667</v>
      </c>
      <c r="B742">
        <v>4.8899999999999997</v>
      </c>
      <c r="C742">
        <v>8.51</v>
      </c>
      <c r="E742">
        <v>11.47</v>
      </c>
      <c r="F742">
        <v>7.59</v>
      </c>
      <c r="G742">
        <v>10.32</v>
      </c>
      <c r="H742">
        <v>7.09</v>
      </c>
      <c r="I742">
        <v>10.8</v>
      </c>
    </row>
    <row r="743" spans="1:9" x14ac:dyDescent="0.25">
      <c r="A743" s="2">
        <v>42668</v>
      </c>
      <c r="B743">
        <v>4.95</v>
      </c>
      <c r="C743">
        <v>8.5299999999999994</v>
      </c>
      <c r="E743">
        <v>11.55</v>
      </c>
      <c r="F743">
        <v>7.63</v>
      </c>
      <c r="G743">
        <v>10.35</v>
      </c>
      <c r="H743">
        <v>7.1</v>
      </c>
      <c r="I743">
        <v>10.86</v>
      </c>
    </row>
    <row r="744" spans="1:9" x14ac:dyDescent="0.25">
      <c r="A744" s="2">
        <v>42669</v>
      </c>
      <c r="B744">
        <v>4.96</v>
      </c>
      <c r="C744">
        <v>8.56</v>
      </c>
      <c r="E744">
        <v>11.68</v>
      </c>
      <c r="F744">
        <v>7.58</v>
      </c>
      <c r="G744">
        <v>10.48</v>
      </c>
      <c r="H744">
        <v>7.1</v>
      </c>
      <c r="I744">
        <v>10.85</v>
      </c>
    </row>
    <row r="745" spans="1:9" x14ac:dyDescent="0.25">
      <c r="A745" s="2">
        <v>42670</v>
      </c>
      <c r="B745">
        <v>4.8499999999999996</v>
      </c>
      <c r="C745">
        <v>8.5</v>
      </c>
      <c r="E745">
        <v>11.6</v>
      </c>
      <c r="F745">
        <v>7.54</v>
      </c>
      <c r="G745">
        <v>10.4</v>
      </c>
      <c r="H745">
        <v>7.09</v>
      </c>
      <c r="I745">
        <v>10.72</v>
      </c>
    </row>
    <row r="746" spans="1:9" x14ac:dyDescent="0.25">
      <c r="A746" s="2">
        <v>42671</v>
      </c>
      <c r="B746">
        <v>4.75</v>
      </c>
      <c r="C746">
        <v>8.42</v>
      </c>
      <c r="E746">
        <v>11.31</v>
      </c>
      <c r="F746">
        <v>7.33</v>
      </c>
      <c r="G746">
        <v>10.09</v>
      </c>
      <c r="H746">
        <v>7.01</v>
      </c>
      <c r="I746">
        <v>10.7</v>
      </c>
    </row>
    <row r="747" spans="1:9" x14ac:dyDescent="0.25">
      <c r="A747" s="2">
        <v>42674</v>
      </c>
      <c r="B747">
        <v>4.53</v>
      </c>
      <c r="C747">
        <v>8.31</v>
      </c>
      <c r="E747">
        <v>11.04</v>
      </c>
      <c r="F747">
        <v>7.01</v>
      </c>
      <c r="G747">
        <v>10.050000000000001</v>
      </c>
      <c r="H747">
        <v>6.9</v>
      </c>
      <c r="I747">
        <v>10.63</v>
      </c>
    </row>
    <row r="748" spans="1:9" x14ac:dyDescent="0.25">
      <c r="A748" s="2">
        <v>42675</v>
      </c>
      <c r="B748">
        <v>4.46</v>
      </c>
      <c r="C748">
        <v>8.24</v>
      </c>
      <c r="E748">
        <v>10.9</v>
      </c>
      <c r="F748">
        <v>6.94</v>
      </c>
      <c r="G748">
        <v>9.8800000000000008</v>
      </c>
      <c r="H748">
        <v>6.8</v>
      </c>
      <c r="I748">
        <v>10.54</v>
      </c>
    </row>
    <row r="749" spans="1:9" x14ac:dyDescent="0.25">
      <c r="A749" s="2">
        <v>42676</v>
      </c>
      <c r="B749">
        <v>4.37</v>
      </c>
      <c r="C749">
        <v>8.17</v>
      </c>
      <c r="E749">
        <v>10.77</v>
      </c>
      <c r="F749">
        <v>6.92</v>
      </c>
      <c r="G749">
        <v>9.7899999999999991</v>
      </c>
      <c r="H749">
        <v>6.75</v>
      </c>
      <c r="I749">
        <v>10.199999999999999</v>
      </c>
    </row>
    <row r="750" spans="1:9" x14ac:dyDescent="0.25">
      <c r="A750" s="2">
        <v>42677</v>
      </c>
      <c r="B750">
        <v>4.1900000000000004</v>
      </c>
      <c r="C750">
        <v>8.06</v>
      </c>
      <c r="E750">
        <v>10.29</v>
      </c>
      <c r="F750">
        <v>6.75</v>
      </c>
      <c r="G750">
        <v>9.66</v>
      </c>
      <c r="H750">
        <v>6.68</v>
      </c>
      <c r="I750">
        <v>9.9499999999999993</v>
      </c>
    </row>
    <row r="751" spans="1:9" x14ac:dyDescent="0.25">
      <c r="A751" s="2">
        <v>42678</v>
      </c>
      <c r="B751">
        <v>4.0199999999999996</v>
      </c>
      <c r="C751">
        <v>8.06</v>
      </c>
      <c r="E751">
        <v>9.94</v>
      </c>
      <c r="F751">
        <v>6.77</v>
      </c>
      <c r="G751">
        <v>9.14</v>
      </c>
      <c r="H751">
        <v>6.65</v>
      </c>
      <c r="I751">
        <v>9.89</v>
      </c>
    </row>
    <row r="752" spans="1:9" x14ac:dyDescent="0.25">
      <c r="A752" s="2">
        <v>42681</v>
      </c>
      <c r="B752">
        <v>3.84</v>
      </c>
      <c r="C752">
        <v>7.97</v>
      </c>
      <c r="E752">
        <v>9.85</v>
      </c>
      <c r="F752">
        <v>6.74</v>
      </c>
      <c r="G752">
        <v>9.0500000000000007</v>
      </c>
      <c r="H752">
        <v>6.57</v>
      </c>
      <c r="I752">
        <v>9.73</v>
      </c>
    </row>
    <row r="753" spans="1:9" x14ac:dyDescent="0.25">
      <c r="A753" s="2">
        <v>42682</v>
      </c>
      <c r="B753">
        <v>3.81</v>
      </c>
      <c r="C753">
        <v>8</v>
      </c>
      <c r="E753">
        <v>9.69</v>
      </c>
      <c r="F753">
        <v>6.73</v>
      </c>
      <c r="G753">
        <v>8.83</v>
      </c>
      <c r="H753">
        <v>6.58</v>
      </c>
      <c r="I753">
        <v>10.16</v>
      </c>
    </row>
    <row r="754" spans="1:9" x14ac:dyDescent="0.25">
      <c r="A754" s="2">
        <v>42683</v>
      </c>
      <c r="B754">
        <v>4</v>
      </c>
      <c r="C754">
        <v>8.0500000000000007</v>
      </c>
      <c r="E754">
        <v>10.3</v>
      </c>
      <c r="F754">
        <v>6.83</v>
      </c>
      <c r="G754">
        <v>9.2200000000000006</v>
      </c>
      <c r="H754">
        <v>6.61</v>
      </c>
      <c r="I754">
        <v>10.33</v>
      </c>
    </row>
    <row r="755" spans="1:9" x14ac:dyDescent="0.25">
      <c r="A755" s="2">
        <v>42684</v>
      </c>
      <c r="B755">
        <v>3.91</v>
      </c>
      <c r="C755">
        <v>8</v>
      </c>
      <c r="E755">
        <v>10.4</v>
      </c>
      <c r="F755">
        <v>6.76</v>
      </c>
      <c r="G755">
        <v>9.32</v>
      </c>
      <c r="H755">
        <v>6.63</v>
      </c>
      <c r="I755">
        <v>10.44</v>
      </c>
    </row>
    <row r="756" spans="1:9" x14ac:dyDescent="0.25">
      <c r="A756" s="2">
        <v>42685</v>
      </c>
      <c r="B756">
        <v>3.83</v>
      </c>
      <c r="C756">
        <v>7.74</v>
      </c>
      <c r="E756">
        <v>10.61</v>
      </c>
      <c r="F756">
        <v>6.64</v>
      </c>
      <c r="G756">
        <v>9.41</v>
      </c>
      <c r="H756">
        <v>6.54</v>
      </c>
      <c r="I756">
        <v>10.19</v>
      </c>
    </row>
    <row r="757" spans="1:9" x14ac:dyDescent="0.25">
      <c r="A757" s="2">
        <v>42688</v>
      </c>
      <c r="B757">
        <v>3.9</v>
      </c>
      <c r="C757">
        <v>7.44</v>
      </c>
      <c r="E757">
        <v>10.41</v>
      </c>
      <c r="F757">
        <v>6.02</v>
      </c>
      <c r="G757">
        <v>9.4600000000000009</v>
      </c>
      <c r="H757">
        <v>6.15</v>
      </c>
      <c r="I757">
        <v>10.15</v>
      </c>
    </row>
    <row r="758" spans="1:9" x14ac:dyDescent="0.25">
      <c r="A758" s="2">
        <v>42689</v>
      </c>
      <c r="B758">
        <v>3.71</v>
      </c>
      <c r="C758">
        <v>7.26</v>
      </c>
      <c r="E758">
        <v>10.199999999999999</v>
      </c>
      <c r="F758">
        <v>5.82</v>
      </c>
      <c r="G758">
        <v>9.1199999999999992</v>
      </c>
      <c r="H758">
        <v>5.88</v>
      </c>
      <c r="I758">
        <v>10.220000000000001</v>
      </c>
    </row>
    <row r="759" spans="1:9" x14ac:dyDescent="0.25">
      <c r="A759" s="2">
        <v>42690</v>
      </c>
      <c r="B759">
        <v>3.65</v>
      </c>
      <c r="C759">
        <v>7.12</v>
      </c>
      <c r="E759">
        <v>10.25</v>
      </c>
      <c r="F759">
        <v>5.62</v>
      </c>
      <c r="G759">
        <v>8.8699999999999992</v>
      </c>
      <c r="H759">
        <v>5.46</v>
      </c>
      <c r="I759">
        <v>10.37</v>
      </c>
    </row>
    <row r="760" spans="1:9" x14ac:dyDescent="0.25">
      <c r="A760" s="2">
        <v>42691</v>
      </c>
      <c r="B760">
        <v>3.65</v>
      </c>
      <c r="C760">
        <v>7.16</v>
      </c>
      <c r="E760">
        <v>10.5</v>
      </c>
      <c r="F760">
        <v>5.84</v>
      </c>
      <c r="G760">
        <v>8.9600000000000009</v>
      </c>
      <c r="H760">
        <v>5.51</v>
      </c>
      <c r="I760">
        <v>10.41</v>
      </c>
    </row>
    <row r="761" spans="1:9" x14ac:dyDescent="0.25">
      <c r="A761" s="2">
        <v>42695</v>
      </c>
      <c r="B761">
        <v>3.72</v>
      </c>
      <c r="C761">
        <v>7.18</v>
      </c>
      <c r="E761">
        <v>10.56</v>
      </c>
      <c r="F761">
        <v>5.84</v>
      </c>
      <c r="G761">
        <v>9</v>
      </c>
      <c r="H761">
        <v>5.45</v>
      </c>
      <c r="I761">
        <v>10.51</v>
      </c>
    </row>
    <row r="762" spans="1:9" x14ac:dyDescent="0.25">
      <c r="A762" s="2">
        <v>42696</v>
      </c>
      <c r="B762">
        <v>3.75</v>
      </c>
      <c r="C762">
        <v>7.11</v>
      </c>
      <c r="E762">
        <v>10.68</v>
      </c>
      <c r="F762">
        <v>5.75</v>
      </c>
      <c r="G762">
        <v>9.24</v>
      </c>
      <c r="H762">
        <v>5.47</v>
      </c>
      <c r="I762">
        <v>10.63</v>
      </c>
    </row>
    <row r="763" spans="1:9" x14ac:dyDescent="0.25">
      <c r="A763" s="2">
        <v>42697</v>
      </c>
      <c r="B763">
        <v>3.82</v>
      </c>
      <c r="C763">
        <v>7.12</v>
      </c>
      <c r="E763">
        <v>10.81</v>
      </c>
      <c r="F763">
        <v>5.74</v>
      </c>
      <c r="G763">
        <v>9.2100000000000009</v>
      </c>
      <c r="H763">
        <v>5.31</v>
      </c>
      <c r="I763">
        <v>10.77</v>
      </c>
    </row>
    <row r="764" spans="1:9" x14ac:dyDescent="0.25">
      <c r="A764" s="2">
        <v>42698</v>
      </c>
      <c r="B764">
        <v>3.82</v>
      </c>
      <c r="C764">
        <v>7.14</v>
      </c>
      <c r="E764">
        <v>10.94</v>
      </c>
      <c r="F764">
        <v>5.88</v>
      </c>
      <c r="G764">
        <v>9.4</v>
      </c>
      <c r="H764">
        <v>5.37</v>
      </c>
      <c r="I764">
        <v>10.71</v>
      </c>
    </row>
    <row r="765" spans="1:9" x14ac:dyDescent="0.25">
      <c r="A765" s="2">
        <v>42699</v>
      </c>
      <c r="B765">
        <v>3.85</v>
      </c>
      <c r="C765">
        <v>7.18</v>
      </c>
      <c r="E765">
        <v>10.94</v>
      </c>
      <c r="F765">
        <v>5.71</v>
      </c>
      <c r="G765">
        <v>9.44</v>
      </c>
      <c r="H765">
        <v>5.37</v>
      </c>
      <c r="I765">
        <v>10.84</v>
      </c>
    </row>
    <row r="766" spans="1:9" x14ac:dyDescent="0.25">
      <c r="A766" s="2">
        <v>42702</v>
      </c>
      <c r="B766">
        <v>3.84</v>
      </c>
      <c r="C766">
        <v>7.16</v>
      </c>
      <c r="E766">
        <v>11.11</v>
      </c>
      <c r="F766">
        <v>5.79</v>
      </c>
      <c r="G766">
        <v>9.4600000000000009</v>
      </c>
      <c r="H766">
        <v>5.35</v>
      </c>
      <c r="I766">
        <v>10.85</v>
      </c>
    </row>
    <row r="767" spans="1:9" x14ac:dyDescent="0.25">
      <c r="A767" s="2">
        <v>42703</v>
      </c>
      <c r="B767">
        <v>3.94</v>
      </c>
      <c r="C767">
        <v>7.19</v>
      </c>
      <c r="E767">
        <v>11.15</v>
      </c>
      <c r="F767">
        <v>5.79</v>
      </c>
      <c r="G767">
        <v>9.48</v>
      </c>
      <c r="H767">
        <v>5.37</v>
      </c>
      <c r="I767">
        <v>10.85</v>
      </c>
    </row>
    <row r="768" spans="1:9" x14ac:dyDescent="0.25">
      <c r="A768" s="2">
        <v>42704</v>
      </c>
      <c r="B768">
        <v>3.93</v>
      </c>
      <c r="C768">
        <v>7.25</v>
      </c>
      <c r="E768">
        <v>11.11</v>
      </c>
      <c r="F768">
        <v>5.9</v>
      </c>
      <c r="G768">
        <v>9.49</v>
      </c>
      <c r="H768">
        <v>5.41</v>
      </c>
      <c r="I768">
        <v>10.88</v>
      </c>
    </row>
    <row r="769" spans="1:9" x14ac:dyDescent="0.25">
      <c r="A769" s="2">
        <v>42705</v>
      </c>
      <c r="B769">
        <v>3.93</v>
      </c>
      <c r="C769">
        <v>7.23</v>
      </c>
      <c r="E769">
        <v>11.17</v>
      </c>
      <c r="F769">
        <v>5.87</v>
      </c>
      <c r="G769">
        <v>9.42</v>
      </c>
      <c r="H769">
        <v>5.41</v>
      </c>
      <c r="I769">
        <v>10.96</v>
      </c>
    </row>
    <row r="770" spans="1:9" x14ac:dyDescent="0.25">
      <c r="A770" s="2">
        <v>42706</v>
      </c>
      <c r="B770">
        <v>3.94</v>
      </c>
      <c r="C770">
        <v>7.18</v>
      </c>
      <c r="E770">
        <v>11.22</v>
      </c>
      <c r="F770">
        <v>5.82</v>
      </c>
      <c r="G770">
        <v>9.49</v>
      </c>
      <c r="H770">
        <v>5.41</v>
      </c>
      <c r="I770">
        <v>10.82</v>
      </c>
    </row>
    <row r="771" spans="1:9" x14ac:dyDescent="0.25">
      <c r="A771" s="2">
        <v>42709</v>
      </c>
      <c r="B771">
        <v>3.71</v>
      </c>
      <c r="C771">
        <v>7.05</v>
      </c>
      <c r="E771">
        <v>10.87</v>
      </c>
      <c r="F771">
        <v>5.55</v>
      </c>
      <c r="G771">
        <v>9.33</v>
      </c>
      <c r="H771">
        <v>5.36</v>
      </c>
      <c r="I771">
        <v>10.74</v>
      </c>
    </row>
    <row r="772" spans="1:9" x14ac:dyDescent="0.25">
      <c r="A772" s="2">
        <v>42710</v>
      </c>
      <c r="B772">
        <v>3.67</v>
      </c>
      <c r="C772">
        <v>7.02</v>
      </c>
      <c r="E772">
        <v>10.8</v>
      </c>
      <c r="F772">
        <v>5.67</v>
      </c>
      <c r="G772">
        <v>9.2100000000000009</v>
      </c>
      <c r="H772">
        <v>5.38</v>
      </c>
      <c r="I772">
        <v>10.79</v>
      </c>
    </row>
    <row r="773" spans="1:9" x14ac:dyDescent="0.25">
      <c r="A773" s="2">
        <v>42711</v>
      </c>
      <c r="B773">
        <v>3.88</v>
      </c>
      <c r="C773">
        <v>7.04</v>
      </c>
      <c r="E773">
        <v>10.87</v>
      </c>
      <c r="F773">
        <v>5.56</v>
      </c>
      <c r="G773">
        <v>9.18</v>
      </c>
      <c r="H773">
        <v>5.35</v>
      </c>
      <c r="I773">
        <v>10.87</v>
      </c>
    </row>
    <row r="774" spans="1:9" x14ac:dyDescent="0.25">
      <c r="A774" s="2">
        <v>42712</v>
      </c>
      <c r="B774">
        <v>4.0599999999999996</v>
      </c>
      <c r="C774">
        <v>7.13</v>
      </c>
      <c r="E774">
        <v>10.98</v>
      </c>
      <c r="F774">
        <v>5.59</v>
      </c>
      <c r="G774">
        <v>9.34</v>
      </c>
      <c r="H774">
        <v>5.39</v>
      </c>
      <c r="I774">
        <v>11.08</v>
      </c>
    </row>
    <row r="775" spans="1:9" x14ac:dyDescent="0.25">
      <c r="A775" s="2">
        <v>42713</v>
      </c>
      <c r="B775">
        <v>4.28</v>
      </c>
      <c r="C775">
        <v>7.18</v>
      </c>
      <c r="E775">
        <v>11.3</v>
      </c>
      <c r="F775">
        <v>5.73</v>
      </c>
      <c r="G775">
        <v>9.64</v>
      </c>
      <c r="H775">
        <v>5.47</v>
      </c>
      <c r="I775">
        <v>11.47</v>
      </c>
    </row>
    <row r="776" spans="1:9" x14ac:dyDescent="0.25">
      <c r="A776" s="2">
        <v>42716</v>
      </c>
      <c r="B776">
        <v>4.57</v>
      </c>
      <c r="C776">
        <v>7.38</v>
      </c>
      <c r="E776">
        <v>12.08</v>
      </c>
      <c r="F776">
        <v>5.83</v>
      </c>
      <c r="G776">
        <v>10.210000000000001</v>
      </c>
      <c r="H776">
        <v>5.59</v>
      </c>
      <c r="I776">
        <v>11.7</v>
      </c>
    </row>
    <row r="777" spans="1:9" x14ac:dyDescent="0.25">
      <c r="A777" s="2">
        <v>42717</v>
      </c>
      <c r="B777">
        <v>4.63</v>
      </c>
      <c r="C777">
        <v>7.29</v>
      </c>
      <c r="E777">
        <v>12.47</v>
      </c>
      <c r="F777">
        <v>5.92</v>
      </c>
      <c r="G777">
        <v>10.46</v>
      </c>
      <c r="H777">
        <v>5.59</v>
      </c>
      <c r="I777">
        <v>11.61</v>
      </c>
    </row>
    <row r="778" spans="1:9" x14ac:dyDescent="0.25">
      <c r="A778" s="2">
        <v>42718</v>
      </c>
      <c r="B778">
        <v>4.6900000000000004</v>
      </c>
      <c r="C778">
        <v>7.33</v>
      </c>
      <c r="E778">
        <v>12.25</v>
      </c>
      <c r="F778">
        <v>5.75</v>
      </c>
      <c r="G778">
        <v>10.38</v>
      </c>
      <c r="H778">
        <v>5.57</v>
      </c>
      <c r="I778">
        <v>11.79</v>
      </c>
    </row>
    <row r="779" spans="1:9" x14ac:dyDescent="0.25">
      <c r="A779" s="2">
        <v>42719</v>
      </c>
      <c r="B779">
        <v>4.79</v>
      </c>
      <c r="C779">
        <v>7.36</v>
      </c>
      <c r="E779">
        <v>12.54</v>
      </c>
      <c r="F779">
        <v>5.85</v>
      </c>
      <c r="G779">
        <v>10.47</v>
      </c>
      <c r="H779">
        <v>5.6</v>
      </c>
      <c r="I779">
        <v>11.7</v>
      </c>
    </row>
    <row r="780" spans="1:9" x14ac:dyDescent="0.25">
      <c r="A780" s="2">
        <v>42720</v>
      </c>
      <c r="B780">
        <v>4.8600000000000003</v>
      </c>
      <c r="C780">
        <v>7.51</v>
      </c>
      <c r="E780">
        <v>12.52</v>
      </c>
      <c r="F780">
        <v>6.02</v>
      </c>
      <c r="G780">
        <v>10.54</v>
      </c>
      <c r="H780">
        <v>5.72</v>
      </c>
      <c r="I780">
        <v>11.91</v>
      </c>
    </row>
    <row r="781" spans="1:9" x14ac:dyDescent="0.25">
      <c r="A781" s="2">
        <v>42723</v>
      </c>
      <c r="B781">
        <v>4.8600000000000003</v>
      </c>
      <c r="C781">
        <v>7.47</v>
      </c>
      <c r="E781">
        <v>12.75</v>
      </c>
      <c r="F781">
        <v>5.87</v>
      </c>
      <c r="G781">
        <v>10.67</v>
      </c>
      <c r="H781">
        <v>5.61</v>
      </c>
      <c r="I781">
        <v>11.87</v>
      </c>
    </row>
    <row r="782" spans="1:9" x14ac:dyDescent="0.25">
      <c r="A782" s="2">
        <v>42724</v>
      </c>
      <c r="B782">
        <v>4.9400000000000004</v>
      </c>
      <c r="C782">
        <v>7.47</v>
      </c>
      <c r="E782">
        <v>12.62</v>
      </c>
      <c r="F782">
        <v>5.92</v>
      </c>
      <c r="G782">
        <v>10.69</v>
      </c>
      <c r="H782">
        <v>5.61</v>
      </c>
      <c r="I782">
        <v>11.9</v>
      </c>
    </row>
    <row r="783" spans="1:9" x14ac:dyDescent="0.25">
      <c r="A783" s="2">
        <v>42725</v>
      </c>
      <c r="B783">
        <v>5.0199999999999996</v>
      </c>
      <c r="C783">
        <v>7.57</v>
      </c>
      <c r="E783">
        <v>12.69</v>
      </c>
      <c r="F783">
        <v>6.05</v>
      </c>
      <c r="G783">
        <v>10.7</v>
      </c>
      <c r="H783">
        <v>5.6</v>
      </c>
      <c r="I783">
        <v>12.01</v>
      </c>
    </row>
    <row r="784" spans="1:9" x14ac:dyDescent="0.25">
      <c r="A784" s="2">
        <v>42726</v>
      </c>
      <c r="B784">
        <v>5.0199999999999996</v>
      </c>
      <c r="C784">
        <v>7.53</v>
      </c>
      <c r="E784">
        <v>12.96</v>
      </c>
      <c r="F784">
        <v>6.1</v>
      </c>
      <c r="G784">
        <v>10.86</v>
      </c>
      <c r="H784">
        <v>5.64</v>
      </c>
      <c r="I784">
        <v>11.96</v>
      </c>
    </row>
    <row r="785" spans="1:9" x14ac:dyDescent="0.25">
      <c r="A785" s="2">
        <v>42727</v>
      </c>
      <c r="B785">
        <v>5.0599999999999996</v>
      </c>
      <c r="C785">
        <v>7.56</v>
      </c>
      <c r="E785">
        <v>12.86</v>
      </c>
      <c r="F785">
        <v>6.14</v>
      </c>
      <c r="G785">
        <v>10.74</v>
      </c>
      <c r="H785">
        <v>5.64</v>
      </c>
      <c r="I785">
        <v>11.78</v>
      </c>
    </row>
    <row r="786" spans="1:9" x14ac:dyDescent="0.25">
      <c r="A786" s="2">
        <v>42731</v>
      </c>
      <c r="B786">
        <v>5.0599999999999996</v>
      </c>
      <c r="C786">
        <v>7.6</v>
      </c>
      <c r="E786">
        <v>12.57</v>
      </c>
      <c r="F786">
        <v>6.08</v>
      </c>
      <c r="G786">
        <v>10.7</v>
      </c>
      <c r="H786">
        <v>5.67</v>
      </c>
      <c r="I786">
        <v>11.85</v>
      </c>
    </row>
    <row r="787" spans="1:9" x14ac:dyDescent="0.25">
      <c r="A787" s="2">
        <v>42732</v>
      </c>
      <c r="B787">
        <v>5.07</v>
      </c>
      <c r="C787">
        <v>7.64</v>
      </c>
      <c r="E787">
        <v>12.61</v>
      </c>
      <c r="F787">
        <v>6.14</v>
      </c>
      <c r="G787">
        <v>10.73</v>
      </c>
      <c r="H787">
        <v>5.71</v>
      </c>
      <c r="I787">
        <v>11.93</v>
      </c>
    </row>
    <row r="788" spans="1:9" x14ac:dyDescent="0.25">
      <c r="A788" s="2">
        <v>42733</v>
      </c>
      <c r="B788">
        <v>5.14</v>
      </c>
      <c r="C788">
        <v>7.67</v>
      </c>
      <c r="E788">
        <v>12.76</v>
      </c>
      <c r="F788">
        <v>6.17</v>
      </c>
      <c r="G788">
        <v>10.83</v>
      </c>
      <c r="H788">
        <v>5.75</v>
      </c>
      <c r="I788">
        <v>12.03</v>
      </c>
    </row>
    <row r="789" spans="1:9" x14ac:dyDescent="0.25">
      <c r="A789" s="2">
        <v>42734</v>
      </c>
      <c r="B789">
        <v>5.17</v>
      </c>
      <c r="C789">
        <v>7.71</v>
      </c>
      <c r="E789">
        <v>12.91</v>
      </c>
      <c r="F789">
        <v>6.29</v>
      </c>
      <c r="G789">
        <v>10.87</v>
      </c>
      <c r="H789">
        <v>5.76</v>
      </c>
      <c r="I789">
        <v>11.95</v>
      </c>
    </row>
    <row r="790" spans="1:9" x14ac:dyDescent="0.25">
      <c r="A790" s="2">
        <v>42735</v>
      </c>
      <c r="B790">
        <v>5.14</v>
      </c>
      <c r="C790">
        <v>7.71</v>
      </c>
      <c r="E790">
        <v>12.62</v>
      </c>
      <c r="F790">
        <v>6.2</v>
      </c>
      <c r="G790">
        <v>10.69</v>
      </c>
      <c r="H790">
        <v>5.74</v>
      </c>
      <c r="I790">
        <v>11.85</v>
      </c>
    </row>
    <row r="791" spans="1:9" x14ac:dyDescent="0.25">
      <c r="A791" s="2">
        <v>42737</v>
      </c>
      <c r="B791">
        <v>5.14</v>
      </c>
      <c r="C791">
        <v>7.7</v>
      </c>
      <c r="E791">
        <v>12.64</v>
      </c>
      <c r="F791">
        <v>6.29</v>
      </c>
      <c r="G791">
        <v>10.69</v>
      </c>
      <c r="H791">
        <v>5.74</v>
      </c>
      <c r="I791">
        <v>11.85</v>
      </c>
    </row>
    <row r="792" spans="1:9" x14ac:dyDescent="0.25">
      <c r="A792" s="2">
        <v>42738</v>
      </c>
      <c r="B792">
        <v>5.3</v>
      </c>
      <c r="C792">
        <v>7.83</v>
      </c>
      <c r="E792">
        <v>12.61</v>
      </c>
      <c r="F792">
        <v>6.2</v>
      </c>
      <c r="G792">
        <v>10.63</v>
      </c>
      <c r="H792">
        <v>5.82</v>
      </c>
      <c r="I792">
        <v>12.07</v>
      </c>
    </row>
    <row r="793" spans="1:9" x14ac:dyDescent="0.25">
      <c r="A793" s="2">
        <v>42739</v>
      </c>
      <c r="B793">
        <v>5.43</v>
      </c>
      <c r="C793">
        <v>7.94</v>
      </c>
      <c r="E793">
        <v>12.94</v>
      </c>
      <c r="F793">
        <v>6.32</v>
      </c>
      <c r="G793">
        <v>10.74</v>
      </c>
      <c r="H793">
        <v>5.88</v>
      </c>
      <c r="I793">
        <v>12.23</v>
      </c>
    </row>
    <row r="794" spans="1:9" x14ac:dyDescent="0.25">
      <c r="A794" s="2">
        <v>42740</v>
      </c>
      <c r="B794">
        <v>5.58</v>
      </c>
      <c r="C794">
        <v>7.95</v>
      </c>
      <c r="E794">
        <v>13.08</v>
      </c>
      <c r="F794">
        <v>6.31</v>
      </c>
      <c r="G794">
        <v>11.07</v>
      </c>
      <c r="H794">
        <v>5.84</v>
      </c>
      <c r="I794">
        <v>12.28</v>
      </c>
    </row>
    <row r="795" spans="1:9" x14ac:dyDescent="0.25">
      <c r="A795" s="2">
        <v>42741</v>
      </c>
      <c r="B795">
        <v>5.66</v>
      </c>
      <c r="C795">
        <v>7.99</v>
      </c>
      <c r="E795">
        <v>13.28</v>
      </c>
      <c r="F795">
        <v>6.28</v>
      </c>
      <c r="G795">
        <v>11.04</v>
      </c>
      <c r="H795">
        <v>5.83</v>
      </c>
      <c r="I795">
        <v>12.24</v>
      </c>
    </row>
    <row r="796" spans="1:9" x14ac:dyDescent="0.25">
      <c r="A796" s="2">
        <v>42744</v>
      </c>
      <c r="B796">
        <v>5.79</v>
      </c>
      <c r="C796">
        <v>8.09</v>
      </c>
      <c r="E796">
        <v>13.18</v>
      </c>
      <c r="F796">
        <v>6.24</v>
      </c>
      <c r="G796">
        <v>10.95</v>
      </c>
      <c r="H796">
        <v>5.83</v>
      </c>
      <c r="I796">
        <v>12.32</v>
      </c>
    </row>
    <row r="797" spans="1:9" x14ac:dyDescent="0.25">
      <c r="A797" s="2">
        <v>42745</v>
      </c>
      <c r="B797">
        <v>5.8</v>
      </c>
      <c r="C797">
        <v>8.16</v>
      </c>
      <c r="E797">
        <v>13.3</v>
      </c>
      <c r="F797">
        <v>6.18</v>
      </c>
      <c r="G797">
        <v>10.99</v>
      </c>
      <c r="H797">
        <v>5.91</v>
      </c>
      <c r="I797">
        <v>12.23</v>
      </c>
    </row>
    <row r="798" spans="1:9" x14ac:dyDescent="0.25">
      <c r="A798" s="2">
        <v>42746</v>
      </c>
      <c r="B798">
        <v>5.67</v>
      </c>
      <c r="C798">
        <v>8.11</v>
      </c>
      <c r="E798">
        <v>13.5</v>
      </c>
      <c r="F798">
        <v>6.24</v>
      </c>
      <c r="G798">
        <v>10.91</v>
      </c>
      <c r="H798">
        <v>5.9</v>
      </c>
      <c r="I798">
        <v>12.41</v>
      </c>
    </row>
    <row r="799" spans="1:9" x14ac:dyDescent="0.25">
      <c r="A799" s="2">
        <v>42747</v>
      </c>
      <c r="B799">
        <v>5.74</v>
      </c>
      <c r="C799">
        <v>8.16</v>
      </c>
      <c r="E799">
        <v>13.57</v>
      </c>
      <c r="F799">
        <v>6.25</v>
      </c>
      <c r="G799">
        <v>10.91</v>
      </c>
      <c r="H799">
        <v>5.96</v>
      </c>
      <c r="I799">
        <v>12.49</v>
      </c>
    </row>
    <row r="800" spans="1:9" x14ac:dyDescent="0.25">
      <c r="A800" s="2">
        <v>42748</v>
      </c>
      <c r="B800">
        <v>5.64</v>
      </c>
      <c r="C800">
        <v>8.02</v>
      </c>
      <c r="E800">
        <v>13.66</v>
      </c>
      <c r="F800">
        <v>6.32</v>
      </c>
      <c r="G800">
        <v>11.01</v>
      </c>
      <c r="H800">
        <v>5.84</v>
      </c>
      <c r="I800">
        <v>12.29</v>
      </c>
    </row>
    <row r="801" spans="1:9" x14ac:dyDescent="0.25">
      <c r="A801" s="2">
        <v>42751</v>
      </c>
      <c r="B801">
        <v>5.63</v>
      </c>
      <c r="C801">
        <v>8.06</v>
      </c>
      <c r="E801">
        <v>13.14</v>
      </c>
      <c r="F801">
        <v>6.04</v>
      </c>
      <c r="G801">
        <v>10.79</v>
      </c>
      <c r="H801">
        <v>5.84</v>
      </c>
      <c r="I801">
        <v>12.55</v>
      </c>
    </row>
    <row r="802" spans="1:9" x14ac:dyDescent="0.25">
      <c r="A802" s="2">
        <v>42752</v>
      </c>
      <c r="B802">
        <v>5.63</v>
      </c>
      <c r="C802">
        <v>8.08</v>
      </c>
      <c r="E802">
        <v>13.51</v>
      </c>
      <c r="F802">
        <v>5.95</v>
      </c>
      <c r="G802">
        <v>11.09</v>
      </c>
      <c r="H802">
        <v>5.91</v>
      </c>
      <c r="I802">
        <v>12.44</v>
      </c>
    </row>
    <row r="803" spans="1:9" x14ac:dyDescent="0.25">
      <c r="A803" s="2">
        <v>42753</v>
      </c>
      <c r="B803">
        <v>5.61</v>
      </c>
      <c r="C803">
        <v>8.06</v>
      </c>
      <c r="E803">
        <v>13.35</v>
      </c>
      <c r="F803">
        <v>6.07</v>
      </c>
      <c r="G803">
        <v>11</v>
      </c>
      <c r="H803">
        <v>5.87</v>
      </c>
      <c r="I803">
        <v>12.26</v>
      </c>
    </row>
    <row r="804" spans="1:9" x14ac:dyDescent="0.25">
      <c r="A804" s="2">
        <v>42754</v>
      </c>
      <c r="B804">
        <v>5.55</v>
      </c>
      <c r="C804">
        <v>8.14</v>
      </c>
      <c r="E804">
        <v>13.11</v>
      </c>
      <c r="F804">
        <v>6.06</v>
      </c>
      <c r="G804">
        <v>10.78</v>
      </c>
      <c r="H804">
        <v>5.91</v>
      </c>
      <c r="I804">
        <v>12.26</v>
      </c>
    </row>
    <row r="805" spans="1:9" x14ac:dyDescent="0.25">
      <c r="A805" s="2">
        <v>42755</v>
      </c>
      <c r="B805">
        <v>5.46</v>
      </c>
      <c r="C805">
        <v>8.01</v>
      </c>
      <c r="E805">
        <v>13.15</v>
      </c>
      <c r="F805">
        <v>5.95</v>
      </c>
      <c r="G805">
        <v>10.78</v>
      </c>
      <c r="H805">
        <v>5.91</v>
      </c>
      <c r="I805">
        <v>12.23</v>
      </c>
    </row>
    <row r="806" spans="1:9" x14ac:dyDescent="0.25">
      <c r="A806" s="2">
        <v>42758</v>
      </c>
      <c r="B806">
        <v>5.43</v>
      </c>
      <c r="C806">
        <v>7.92</v>
      </c>
      <c r="E806">
        <v>13.14</v>
      </c>
      <c r="F806">
        <v>5.79</v>
      </c>
      <c r="G806">
        <v>10.87</v>
      </c>
      <c r="H806">
        <v>5.85</v>
      </c>
      <c r="I806">
        <v>12.22</v>
      </c>
    </row>
    <row r="807" spans="1:9" x14ac:dyDescent="0.25">
      <c r="A807" s="2">
        <v>42759</v>
      </c>
      <c r="B807">
        <v>5.41</v>
      </c>
      <c r="C807">
        <v>7.85</v>
      </c>
      <c r="E807">
        <v>13.03</v>
      </c>
      <c r="F807">
        <v>5.59</v>
      </c>
      <c r="G807">
        <v>10.73</v>
      </c>
      <c r="H807">
        <v>5.79</v>
      </c>
      <c r="I807">
        <v>12.12</v>
      </c>
    </row>
    <row r="808" spans="1:9" x14ac:dyDescent="0.25">
      <c r="A808" s="2">
        <v>42760</v>
      </c>
      <c r="B808">
        <v>5.43</v>
      </c>
      <c r="C808">
        <v>7.92</v>
      </c>
      <c r="E808">
        <v>12.81</v>
      </c>
      <c r="F808">
        <v>5.78</v>
      </c>
      <c r="G808">
        <v>10.57</v>
      </c>
      <c r="H808">
        <v>5.81</v>
      </c>
      <c r="I808">
        <v>12.18</v>
      </c>
    </row>
    <row r="809" spans="1:9" x14ac:dyDescent="0.25">
      <c r="A809" s="2">
        <v>42761</v>
      </c>
      <c r="B809">
        <v>5.53</v>
      </c>
      <c r="C809">
        <v>7.85</v>
      </c>
      <c r="E809">
        <v>12.92</v>
      </c>
      <c r="F809">
        <v>5.67</v>
      </c>
      <c r="G809">
        <v>10.64</v>
      </c>
      <c r="H809">
        <v>5.82</v>
      </c>
      <c r="I809">
        <v>12.45</v>
      </c>
    </row>
    <row r="810" spans="1:9" x14ac:dyDescent="0.25">
      <c r="A810" s="2">
        <v>42762</v>
      </c>
      <c r="B810">
        <v>5.84</v>
      </c>
      <c r="C810">
        <v>7.81</v>
      </c>
      <c r="E810">
        <v>13.26</v>
      </c>
      <c r="F810">
        <v>5.46</v>
      </c>
      <c r="G810">
        <v>10.99</v>
      </c>
      <c r="H810">
        <v>5.81</v>
      </c>
      <c r="I810">
        <v>12.57</v>
      </c>
    </row>
    <row r="811" spans="1:9" x14ac:dyDescent="0.25">
      <c r="A811" s="2">
        <v>42765</v>
      </c>
      <c r="B811">
        <v>5.88</v>
      </c>
      <c r="C811">
        <v>7.82</v>
      </c>
      <c r="E811">
        <v>13.48</v>
      </c>
      <c r="F811">
        <v>5.41</v>
      </c>
      <c r="G811">
        <v>11.14</v>
      </c>
      <c r="H811">
        <v>5.78</v>
      </c>
      <c r="I811">
        <v>12.52</v>
      </c>
    </row>
    <row r="812" spans="1:9" x14ac:dyDescent="0.25">
      <c r="A812" s="2">
        <v>42766</v>
      </c>
      <c r="B812">
        <v>5.9</v>
      </c>
      <c r="C812">
        <v>7.92</v>
      </c>
      <c r="E812">
        <v>13.44</v>
      </c>
      <c r="F812">
        <v>5.62</v>
      </c>
      <c r="G812">
        <v>11.07</v>
      </c>
      <c r="H812">
        <v>5.82</v>
      </c>
      <c r="I812">
        <v>12.22</v>
      </c>
    </row>
    <row r="813" spans="1:9" x14ac:dyDescent="0.25">
      <c r="A813" s="2">
        <v>42767</v>
      </c>
      <c r="B813">
        <v>5.73</v>
      </c>
      <c r="C813">
        <v>7.82</v>
      </c>
      <c r="E813">
        <v>13.01</v>
      </c>
      <c r="F813">
        <v>5.68</v>
      </c>
      <c r="G813">
        <v>10.87</v>
      </c>
      <c r="H813">
        <v>5.78</v>
      </c>
      <c r="I813">
        <v>11.95</v>
      </c>
    </row>
    <row r="814" spans="1:9" x14ac:dyDescent="0.25">
      <c r="A814" s="2">
        <v>42768</v>
      </c>
      <c r="B814">
        <v>5.59</v>
      </c>
      <c r="C814">
        <v>7.8</v>
      </c>
      <c r="E814">
        <v>12.73</v>
      </c>
      <c r="F814">
        <v>5.63</v>
      </c>
      <c r="G814">
        <v>10.63</v>
      </c>
      <c r="H814">
        <v>5.75</v>
      </c>
      <c r="I814">
        <v>12.06</v>
      </c>
    </row>
    <row r="815" spans="1:9" x14ac:dyDescent="0.25">
      <c r="A815" s="2">
        <v>42769</v>
      </c>
      <c r="B815">
        <v>5.6</v>
      </c>
      <c r="C815">
        <v>7.8</v>
      </c>
      <c r="E815">
        <v>12.99</v>
      </c>
      <c r="F815">
        <v>5.59</v>
      </c>
      <c r="G815">
        <v>10.78</v>
      </c>
      <c r="H815">
        <v>5.72</v>
      </c>
      <c r="I815">
        <v>12.12</v>
      </c>
    </row>
    <row r="816" spans="1:9" x14ac:dyDescent="0.25">
      <c r="A816" s="2">
        <v>42772</v>
      </c>
      <c r="B816">
        <v>5.68</v>
      </c>
      <c r="C816">
        <v>7.86</v>
      </c>
      <c r="E816">
        <v>12.99</v>
      </c>
      <c r="F816">
        <v>5.75</v>
      </c>
      <c r="G816">
        <v>10.81</v>
      </c>
      <c r="H816">
        <v>5.78</v>
      </c>
      <c r="I816">
        <v>12.27</v>
      </c>
    </row>
    <row r="817" spans="1:9" x14ac:dyDescent="0.25">
      <c r="A817" s="2">
        <v>42773</v>
      </c>
      <c r="B817">
        <v>5.87</v>
      </c>
      <c r="C817">
        <v>7.97</v>
      </c>
      <c r="E817">
        <v>13.27</v>
      </c>
      <c r="F817">
        <v>5.82</v>
      </c>
      <c r="G817">
        <v>11.01</v>
      </c>
      <c r="H817">
        <v>5.82</v>
      </c>
      <c r="I817">
        <v>12.25</v>
      </c>
    </row>
    <row r="818" spans="1:9" x14ac:dyDescent="0.25">
      <c r="A818" s="2">
        <v>42774</v>
      </c>
      <c r="B818">
        <v>5.94</v>
      </c>
      <c r="C818">
        <v>8.1300000000000008</v>
      </c>
      <c r="E818">
        <v>13.22</v>
      </c>
      <c r="F818">
        <v>5.9</v>
      </c>
      <c r="G818">
        <v>11.07</v>
      </c>
      <c r="H818">
        <v>5.89</v>
      </c>
      <c r="I818">
        <v>12.28</v>
      </c>
    </row>
    <row r="819" spans="1:9" x14ac:dyDescent="0.25">
      <c r="A819" s="2">
        <v>42775</v>
      </c>
      <c r="B819">
        <v>5.93</v>
      </c>
      <c r="C819">
        <v>8.1999999999999993</v>
      </c>
      <c r="E819">
        <v>13.33</v>
      </c>
      <c r="F819">
        <v>5.97</v>
      </c>
      <c r="G819">
        <v>11.16</v>
      </c>
      <c r="H819">
        <v>5.9</v>
      </c>
      <c r="I819">
        <v>12.34</v>
      </c>
    </row>
    <row r="820" spans="1:9" x14ac:dyDescent="0.25">
      <c r="A820" s="2">
        <v>42776</v>
      </c>
      <c r="B820">
        <v>6</v>
      </c>
      <c r="C820">
        <v>8.2200000000000006</v>
      </c>
      <c r="E820">
        <v>13.48</v>
      </c>
      <c r="F820">
        <v>6.16</v>
      </c>
      <c r="G820">
        <v>11.06</v>
      </c>
      <c r="H820">
        <v>5.88</v>
      </c>
      <c r="I820">
        <v>12.66</v>
      </c>
    </row>
    <row r="821" spans="1:9" x14ac:dyDescent="0.25">
      <c r="A821" s="2">
        <v>42779</v>
      </c>
      <c r="B821">
        <v>6.07</v>
      </c>
      <c r="C821">
        <v>8.2200000000000006</v>
      </c>
      <c r="E821">
        <v>13.87</v>
      </c>
      <c r="F821">
        <v>6.16</v>
      </c>
      <c r="G821">
        <v>11.3</v>
      </c>
      <c r="H821">
        <v>5.87</v>
      </c>
      <c r="I821">
        <v>12.73</v>
      </c>
    </row>
    <row r="822" spans="1:9" x14ac:dyDescent="0.25">
      <c r="A822" s="2">
        <v>42780</v>
      </c>
      <c r="B822">
        <v>6.21</v>
      </c>
      <c r="C822">
        <v>8.2200000000000006</v>
      </c>
      <c r="E822">
        <v>14.08</v>
      </c>
      <c r="F822">
        <v>6.11</v>
      </c>
      <c r="G822">
        <v>11.55</v>
      </c>
      <c r="H822">
        <v>5.88</v>
      </c>
      <c r="I822">
        <v>13.13</v>
      </c>
    </row>
    <row r="823" spans="1:9" x14ac:dyDescent="0.25">
      <c r="A823" s="2">
        <v>42781</v>
      </c>
      <c r="B823">
        <v>6.34</v>
      </c>
      <c r="C823">
        <v>8.23</v>
      </c>
      <c r="E823">
        <v>14.47</v>
      </c>
      <c r="F823">
        <v>6.15</v>
      </c>
      <c r="G823">
        <v>11.81</v>
      </c>
      <c r="H823">
        <v>5.89</v>
      </c>
      <c r="I823">
        <v>13.15</v>
      </c>
    </row>
    <row r="824" spans="1:9" x14ac:dyDescent="0.25">
      <c r="A824" s="2">
        <v>42782</v>
      </c>
      <c r="B824">
        <v>6.34</v>
      </c>
      <c r="C824">
        <v>8.23</v>
      </c>
      <c r="E824">
        <v>14.46</v>
      </c>
      <c r="F824">
        <v>6.14</v>
      </c>
      <c r="G824">
        <v>11.89</v>
      </c>
      <c r="H824">
        <v>5.9</v>
      </c>
      <c r="I824">
        <v>13.3</v>
      </c>
    </row>
    <row r="825" spans="1:9" x14ac:dyDescent="0.25">
      <c r="A825" s="2">
        <v>42783</v>
      </c>
      <c r="B825">
        <v>6.36</v>
      </c>
      <c r="C825">
        <v>8.11</v>
      </c>
      <c r="E825">
        <v>14.67</v>
      </c>
      <c r="F825">
        <v>6.05</v>
      </c>
      <c r="G825">
        <v>11.99</v>
      </c>
      <c r="H825">
        <v>5.86</v>
      </c>
      <c r="I825">
        <v>13.18</v>
      </c>
    </row>
    <row r="826" spans="1:9" x14ac:dyDescent="0.25">
      <c r="A826" s="2">
        <v>42786</v>
      </c>
      <c r="B826">
        <v>6.47</v>
      </c>
      <c r="C826">
        <v>8.2200000000000006</v>
      </c>
      <c r="E826">
        <v>14.52</v>
      </c>
      <c r="F826">
        <v>6.12</v>
      </c>
      <c r="G826">
        <v>11.93</v>
      </c>
      <c r="H826">
        <v>5.9</v>
      </c>
      <c r="I826">
        <v>13.17</v>
      </c>
    </row>
    <row r="827" spans="1:9" x14ac:dyDescent="0.25">
      <c r="A827" s="2">
        <v>42787</v>
      </c>
      <c r="B827">
        <v>6.58</v>
      </c>
      <c r="C827">
        <v>8.34</v>
      </c>
      <c r="E827">
        <v>14.59</v>
      </c>
      <c r="F827">
        <v>6.23</v>
      </c>
      <c r="G827">
        <v>11.84</v>
      </c>
      <c r="H827">
        <v>5.93</v>
      </c>
      <c r="I827">
        <v>13.32</v>
      </c>
    </row>
    <row r="828" spans="1:9" x14ac:dyDescent="0.25">
      <c r="A828" s="2">
        <v>42788</v>
      </c>
      <c r="B828">
        <v>6.71</v>
      </c>
      <c r="C828">
        <v>8.39</v>
      </c>
      <c r="E828">
        <v>14.79</v>
      </c>
      <c r="F828">
        <v>6.24</v>
      </c>
      <c r="G828">
        <v>11.93</v>
      </c>
      <c r="H828">
        <v>5.95</v>
      </c>
      <c r="I828">
        <v>13.58</v>
      </c>
    </row>
    <row r="829" spans="1:9" x14ac:dyDescent="0.25">
      <c r="A829" s="2">
        <v>42789</v>
      </c>
      <c r="B829">
        <v>6.97</v>
      </c>
      <c r="C829">
        <v>8.51</v>
      </c>
      <c r="E829">
        <v>15.12</v>
      </c>
      <c r="F829">
        <v>6.28</v>
      </c>
      <c r="G829">
        <v>12.37</v>
      </c>
      <c r="H829">
        <v>5.99</v>
      </c>
      <c r="I829">
        <v>13.72</v>
      </c>
    </row>
    <row r="830" spans="1:9" x14ac:dyDescent="0.25">
      <c r="A830" s="2">
        <v>42790</v>
      </c>
      <c r="B830">
        <v>6.98</v>
      </c>
      <c r="C830">
        <v>8.48</v>
      </c>
      <c r="E830">
        <v>15.25</v>
      </c>
      <c r="F830">
        <v>6.39</v>
      </c>
      <c r="G830">
        <v>12.47</v>
      </c>
      <c r="H830">
        <v>6.02</v>
      </c>
      <c r="I830">
        <v>13.66</v>
      </c>
    </row>
    <row r="831" spans="1:9" x14ac:dyDescent="0.25">
      <c r="A831" s="2">
        <v>42793</v>
      </c>
      <c r="B831">
        <v>6.95</v>
      </c>
      <c r="C831">
        <v>8.5399999999999991</v>
      </c>
      <c r="E831">
        <v>15.23</v>
      </c>
      <c r="F831">
        <v>6.46</v>
      </c>
      <c r="G831">
        <v>12.47</v>
      </c>
      <c r="H831">
        <v>6.04</v>
      </c>
      <c r="I831">
        <v>13.45</v>
      </c>
    </row>
    <row r="832" spans="1:9" x14ac:dyDescent="0.25">
      <c r="A832" s="2">
        <v>42794</v>
      </c>
      <c r="B832">
        <v>6.86</v>
      </c>
      <c r="C832">
        <v>8.66</v>
      </c>
      <c r="E832">
        <v>15.05</v>
      </c>
      <c r="F832">
        <v>6.63</v>
      </c>
      <c r="G832">
        <v>12.23</v>
      </c>
      <c r="H832">
        <v>6.15</v>
      </c>
      <c r="I832">
        <v>13.39</v>
      </c>
    </row>
    <row r="833" spans="1:9" x14ac:dyDescent="0.25">
      <c r="A833" s="2">
        <v>42795</v>
      </c>
      <c r="B833">
        <v>6.87</v>
      </c>
      <c r="C833">
        <v>8.67</v>
      </c>
      <c r="E833">
        <v>15</v>
      </c>
      <c r="F833">
        <v>6.59</v>
      </c>
      <c r="G833">
        <v>12.23</v>
      </c>
      <c r="H833">
        <v>6.17</v>
      </c>
      <c r="I833">
        <v>13.32</v>
      </c>
    </row>
    <row r="834" spans="1:9" x14ac:dyDescent="0.25">
      <c r="A834" s="2">
        <v>42796</v>
      </c>
      <c r="B834">
        <v>6.89</v>
      </c>
      <c r="C834">
        <v>8.67</v>
      </c>
      <c r="E834">
        <v>15</v>
      </c>
      <c r="F834">
        <v>6.61</v>
      </c>
      <c r="G834">
        <v>12.2</v>
      </c>
      <c r="H834">
        <v>6.22</v>
      </c>
      <c r="I834">
        <v>13.8</v>
      </c>
    </row>
    <row r="835" spans="1:9" x14ac:dyDescent="0.25">
      <c r="A835" s="2">
        <v>42797</v>
      </c>
      <c r="B835">
        <v>6.97</v>
      </c>
      <c r="C835">
        <v>8.5500000000000007</v>
      </c>
      <c r="E835">
        <v>15.59</v>
      </c>
      <c r="F835">
        <v>6.45</v>
      </c>
      <c r="G835">
        <v>12.6</v>
      </c>
      <c r="H835">
        <v>6.17</v>
      </c>
      <c r="I835">
        <v>13.78</v>
      </c>
    </row>
    <row r="836" spans="1:9" x14ac:dyDescent="0.25">
      <c r="A836" s="2">
        <v>42800</v>
      </c>
      <c r="B836">
        <v>6.91</v>
      </c>
      <c r="C836">
        <v>8.4600000000000009</v>
      </c>
      <c r="E836">
        <v>15.54</v>
      </c>
      <c r="F836">
        <v>6.46</v>
      </c>
      <c r="G836">
        <v>12.65</v>
      </c>
      <c r="H836">
        <v>6.14</v>
      </c>
      <c r="I836">
        <v>13.66</v>
      </c>
    </row>
    <row r="837" spans="1:9" x14ac:dyDescent="0.25">
      <c r="A837" s="2">
        <v>42801</v>
      </c>
      <c r="B837">
        <v>7</v>
      </c>
      <c r="C837">
        <v>8.44</v>
      </c>
      <c r="E837">
        <v>15.3</v>
      </c>
      <c r="F837">
        <v>6.34</v>
      </c>
      <c r="G837">
        <v>12.34</v>
      </c>
      <c r="H837">
        <v>6.1</v>
      </c>
      <c r="I837">
        <v>13.51</v>
      </c>
    </row>
    <row r="838" spans="1:9" x14ac:dyDescent="0.25">
      <c r="A838" s="2">
        <v>42802</v>
      </c>
      <c r="B838">
        <v>6.97</v>
      </c>
      <c r="C838">
        <v>8.4499999999999993</v>
      </c>
      <c r="E838">
        <v>15.07</v>
      </c>
      <c r="F838">
        <v>6.32</v>
      </c>
      <c r="G838">
        <v>12.47</v>
      </c>
      <c r="H838">
        <v>6.12</v>
      </c>
      <c r="I838">
        <v>13.52</v>
      </c>
    </row>
    <row r="839" spans="1:9" x14ac:dyDescent="0.25">
      <c r="A839" s="2">
        <v>42803</v>
      </c>
      <c r="B839">
        <v>6.89</v>
      </c>
      <c r="C839">
        <v>8.41</v>
      </c>
      <c r="E839">
        <v>15.09</v>
      </c>
      <c r="F839">
        <v>6.35</v>
      </c>
      <c r="G839">
        <v>12.45</v>
      </c>
      <c r="H839">
        <v>6.12</v>
      </c>
      <c r="I839">
        <v>13.51</v>
      </c>
    </row>
    <row r="840" spans="1:9" x14ac:dyDescent="0.25">
      <c r="A840" s="2">
        <v>42804</v>
      </c>
      <c r="B840">
        <v>6.66</v>
      </c>
      <c r="C840">
        <v>8.26</v>
      </c>
      <c r="E840">
        <v>15</v>
      </c>
      <c r="F840">
        <v>6.15</v>
      </c>
      <c r="G840">
        <v>12.33</v>
      </c>
      <c r="H840">
        <v>6.03</v>
      </c>
      <c r="I840">
        <v>13.35</v>
      </c>
    </row>
    <row r="841" spans="1:9" x14ac:dyDescent="0.25">
      <c r="A841" s="2">
        <v>42807</v>
      </c>
      <c r="B841">
        <v>6.45</v>
      </c>
      <c r="C841">
        <v>8.0399999999999991</v>
      </c>
      <c r="E841">
        <v>14.77</v>
      </c>
      <c r="F841">
        <v>5.88</v>
      </c>
      <c r="G841">
        <v>11.99</v>
      </c>
      <c r="H841">
        <v>5.89</v>
      </c>
      <c r="I841">
        <v>13.24</v>
      </c>
    </row>
    <row r="842" spans="1:9" x14ac:dyDescent="0.25">
      <c r="A842" s="2">
        <v>42808</v>
      </c>
      <c r="B842">
        <v>6.51</v>
      </c>
      <c r="C842">
        <v>7.98</v>
      </c>
      <c r="E842">
        <v>14.62</v>
      </c>
      <c r="F842">
        <v>5.6</v>
      </c>
      <c r="G842">
        <v>11.95</v>
      </c>
      <c r="H842">
        <v>5.83</v>
      </c>
      <c r="I842">
        <v>13.43</v>
      </c>
    </row>
    <row r="843" spans="1:9" x14ac:dyDescent="0.25">
      <c r="A843" s="2">
        <v>42809</v>
      </c>
      <c r="B843">
        <v>6.52</v>
      </c>
      <c r="C843">
        <v>7.98</v>
      </c>
      <c r="E843">
        <v>14.76</v>
      </c>
      <c r="F843">
        <v>5.65</v>
      </c>
      <c r="G843">
        <v>12.01</v>
      </c>
      <c r="H843">
        <v>5.85</v>
      </c>
      <c r="I843">
        <v>13.36</v>
      </c>
    </row>
    <row r="844" spans="1:9" x14ac:dyDescent="0.25">
      <c r="A844" s="2">
        <v>42810</v>
      </c>
      <c r="B844">
        <v>6.51</v>
      </c>
      <c r="C844">
        <v>7.98</v>
      </c>
      <c r="E844">
        <v>14.61</v>
      </c>
      <c r="F844">
        <v>5.63</v>
      </c>
      <c r="G844">
        <v>11.93</v>
      </c>
      <c r="H844">
        <v>5.82</v>
      </c>
      <c r="I844">
        <v>13.55</v>
      </c>
    </row>
    <row r="845" spans="1:9" x14ac:dyDescent="0.25">
      <c r="A845" s="2">
        <v>42811</v>
      </c>
      <c r="B845">
        <v>6.62</v>
      </c>
      <c r="C845">
        <v>7.97</v>
      </c>
      <c r="E845">
        <v>14.92</v>
      </c>
      <c r="F845">
        <v>5.79</v>
      </c>
      <c r="G845">
        <v>12.03</v>
      </c>
      <c r="H845">
        <v>5.84</v>
      </c>
      <c r="I845">
        <v>13.71</v>
      </c>
    </row>
    <row r="846" spans="1:9" x14ac:dyDescent="0.25">
      <c r="A846" s="2">
        <v>42814</v>
      </c>
      <c r="B846">
        <v>6.93</v>
      </c>
      <c r="C846">
        <v>8.06</v>
      </c>
      <c r="E846">
        <v>15.01</v>
      </c>
      <c r="F846">
        <v>5.66</v>
      </c>
      <c r="G846">
        <v>12.22</v>
      </c>
      <c r="H846">
        <v>5.96</v>
      </c>
      <c r="I846">
        <v>13.71</v>
      </c>
    </row>
    <row r="847" spans="1:9" x14ac:dyDescent="0.25">
      <c r="A847" s="2">
        <v>42815</v>
      </c>
      <c r="B847">
        <v>7.03</v>
      </c>
      <c r="C847">
        <v>8.11</v>
      </c>
      <c r="E847">
        <v>15.05</v>
      </c>
      <c r="F847">
        <v>5.71</v>
      </c>
      <c r="G847">
        <v>12.33</v>
      </c>
      <c r="H847">
        <v>6.03</v>
      </c>
      <c r="I847">
        <v>13.75</v>
      </c>
    </row>
    <row r="848" spans="1:9" x14ac:dyDescent="0.25">
      <c r="A848" s="2">
        <v>42816</v>
      </c>
      <c r="B848">
        <v>7.07</v>
      </c>
      <c r="C848">
        <v>8.11</v>
      </c>
      <c r="E848">
        <v>15.05</v>
      </c>
      <c r="F848">
        <v>5.75</v>
      </c>
      <c r="G848">
        <v>12.35</v>
      </c>
      <c r="H848">
        <v>6.05</v>
      </c>
      <c r="I848">
        <v>13.39</v>
      </c>
    </row>
    <row r="849" spans="1:9" x14ac:dyDescent="0.25">
      <c r="A849" s="2">
        <v>42817</v>
      </c>
      <c r="B849">
        <v>6.96</v>
      </c>
      <c r="C849">
        <v>8.1999999999999993</v>
      </c>
      <c r="E849">
        <v>14.84</v>
      </c>
      <c r="F849">
        <v>5.71</v>
      </c>
      <c r="G849">
        <v>12.08</v>
      </c>
      <c r="H849">
        <v>6.07</v>
      </c>
      <c r="I849">
        <v>13.35</v>
      </c>
    </row>
    <row r="850" spans="1:9" x14ac:dyDescent="0.25">
      <c r="A850" s="2">
        <v>42818</v>
      </c>
      <c r="B850">
        <v>6.77</v>
      </c>
      <c r="C850">
        <v>8.26</v>
      </c>
      <c r="E850">
        <v>14.71</v>
      </c>
      <c r="F850">
        <v>5.84</v>
      </c>
      <c r="G850">
        <v>11.78</v>
      </c>
      <c r="H850">
        <v>6.1</v>
      </c>
      <c r="I850">
        <v>13.5</v>
      </c>
    </row>
    <row r="851" spans="1:9" x14ac:dyDescent="0.25">
      <c r="A851" s="2">
        <v>42821</v>
      </c>
      <c r="B851">
        <v>6.85</v>
      </c>
      <c r="C851">
        <v>8.2100000000000009</v>
      </c>
      <c r="E851">
        <v>14.98</v>
      </c>
      <c r="F851">
        <v>5.87</v>
      </c>
      <c r="G851">
        <v>12</v>
      </c>
      <c r="H851">
        <v>6.1</v>
      </c>
      <c r="I851">
        <v>13.45</v>
      </c>
    </row>
    <row r="852" spans="1:9" x14ac:dyDescent="0.25">
      <c r="A852" s="2">
        <v>42822</v>
      </c>
      <c r="B852">
        <v>6.92</v>
      </c>
      <c r="C852">
        <v>8.2200000000000006</v>
      </c>
      <c r="E852">
        <v>14.94</v>
      </c>
      <c r="F852">
        <v>5.89</v>
      </c>
      <c r="G852">
        <v>12.02</v>
      </c>
      <c r="H852">
        <v>6.12</v>
      </c>
      <c r="I852">
        <v>13.23</v>
      </c>
    </row>
    <row r="853" spans="1:9" x14ac:dyDescent="0.25">
      <c r="A853" s="2">
        <v>42823</v>
      </c>
      <c r="B853">
        <v>6.97</v>
      </c>
      <c r="C853">
        <v>8.2899999999999991</v>
      </c>
      <c r="E853">
        <v>14.62</v>
      </c>
      <c r="F853">
        <v>5.85</v>
      </c>
      <c r="G853">
        <v>11.69</v>
      </c>
      <c r="H853">
        <v>6.14</v>
      </c>
      <c r="I853">
        <v>13.43</v>
      </c>
    </row>
    <row r="854" spans="1:9" x14ac:dyDescent="0.25">
      <c r="A854" s="2">
        <v>42824</v>
      </c>
      <c r="B854">
        <v>7.23</v>
      </c>
      <c r="C854">
        <v>8.3699999999999992</v>
      </c>
      <c r="E854">
        <v>14.97</v>
      </c>
      <c r="F854">
        <v>5.95</v>
      </c>
      <c r="G854">
        <v>11.97</v>
      </c>
      <c r="H854">
        <v>6.16</v>
      </c>
      <c r="I854">
        <v>13.75</v>
      </c>
    </row>
    <row r="855" spans="1:9" x14ac:dyDescent="0.25">
      <c r="A855" s="2">
        <v>42825</v>
      </c>
      <c r="B855">
        <v>7.37</v>
      </c>
      <c r="C855">
        <v>8.42</v>
      </c>
      <c r="E855">
        <v>15.3</v>
      </c>
      <c r="F855">
        <v>6.17</v>
      </c>
      <c r="G855">
        <v>12.35</v>
      </c>
      <c r="H855">
        <v>6.19</v>
      </c>
      <c r="I855">
        <v>13.9</v>
      </c>
    </row>
    <row r="856" spans="1:9" x14ac:dyDescent="0.25">
      <c r="A856" s="2">
        <v>42828</v>
      </c>
      <c r="B856">
        <v>7.49</v>
      </c>
      <c r="C856">
        <v>8.44</v>
      </c>
      <c r="E856">
        <v>15.48</v>
      </c>
      <c r="F856">
        <v>6.22</v>
      </c>
      <c r="G856">
        <v>12.62</v>
      </c>
      <c r="H856">
        <v>6.29</v>
      </c>
      <c r="I856">
        <v>13.9</v>
      </c>
    </row>
    <row r="857" spans="1:9" x14ac:dyDescent="0.25">
      <c r="A857" s="2">
        <v>42829</v>
      </c>
      <c r="B857">
        <v>7.56</v>
      </c>
      <c r="C857">
        <v>8.51</v>
      </c>
      <c r="E857">
        <v>15.49</v>
      </c>
      <c r="F857">
        <v>6.22</v>
      </c>
      <c r="G857">
        <v>12.68</v>
      </c>
      <c r="H857">
        <v>6.28</v>
      </c>
      <c r="I857">
        <v>13.88</v>
      </c>
    </row>
    <row r="858" spans="1:9" x14ac:dyDescent="0.25">
      <c r="A858" s="2">
        <v>42830</v>
      </c>
      <c r="B858">
        <v>7.72</v>
      </c>
      <c r="C858">
        <v>8.61</v>
      </c>
      <c r="E858">
        <v>15.46</v>
      </c>
      <c r="F858">
        <v>6.45</v>
      </c>
      <c r="G858">
        <v>12.77</v>
      </c>
      <c r="H858">
        <v>6.33</v>
      </c>
      <c r="I858">
        <v>14.01</v>
      </c>
    </row>
    <row r="859" spans="1:9" x14ac:dyDescent="0.25">
      <c r="A859" s="2">
        <v>42831</v>
      </c>
      <c r="B859">
        <v>7.63</v>
      </c>
      <c r="C859">
        <v>8.59</v>
      </c>
      <c r="E859">
        <v>15.56</v>
      </c>
      <c r="F859">
        <v>6.49</v>
      </c>
      <c r="G859">
        <v>12.7</v>
      </c>
      <c r="H859">
        <v>6.35</v>
      </c>
      <c r="I859">
        <v>14.06</v>
      </c>
    </row>
    <row r="860" spans="1:9" x14ac:dyDescent="0.25">
      <c r="A860" s="2">
        <v>42832</v>
      </c>
      <c r="B860">
        <v>7.66</v>
      </c>
      <c r="C860">
        <v>8.64</v>
      </c>
      <c r="E860">
        <v>15.68</v>
      </c>
      <c r="F860">
        <v>6.5</v>
      </c>
      <c r="G860">
        <v>12.84</v>
      </c>
      <c r="H860">
        <v>6.36</v>
      </c>
      <c r="I860">
        <v>14</v>
      </c>
    </row>
    <row r="861" spans="1:9" x14ac:dyDescent="0.25">
      <c r="A861" s="2">
        <v>42835</v>
      </c>
      <c r="B861">
        <v>7.71</v>
      </c>
      <c r="C861">
        <v>8.74</v>
      </c>
      <c r="E861">
        <v>15.61</v>
      </c>
      <c r="F861">
        <v>6.52</v>
      </c>
      <c r="G861">
        <v>12.77</v>
      </c>
      <c r="H861">
        <v>6.39</v>
      </c>
      <c r="I861">
        <v>14.06</v>
      </c>
    </row>
    <row r="862" spans="1:9" x14ac:dyDescent="0.25">
      <c r="A862" s="2">
        <v>42836</v>
      </c>
      <c r="B862">
        <v>7.74</v>
      </c>
      <c r="C862">
        <v>8.75</v>
      </c>
      <c r="E862">
        <v>15.9</v>
      </c>
      <c r="F862">
        <v>6.64</v>
      </c>
      <c r="G862">
        <v>12.85</v>
      </c>
      <c r="H862">
        <v>6.41</v>
      </c>
      <c r="I862">
        <v>14.04</v>
      </c>
    </row>
    <row r="863" spans="1:9" x14ac:dyDescent="0.25">
      <c r="A863" s="2">
        <v>42837</v>
      </c>
      <c r="B863">
        <v>7.75</v>
      </c>
      <c r="C863">
        <v>8.74</v>
      </c>
      <c r="E863">
        <v>15.96</v>
      </c>
      <c r="F863">
        <v>6.64</v>
      </c>
      <c r="G863">
        <v>13.01</v>
      </c>
      <c r="H863">
        <v>6.39</v>
      </c>
      <c r="I863">
        <v>14</v>
      </c>
    </row>
    <row r="864" spans="1:9" x14ac:dyDescent="0.25">
      <c r="A864" s="2">
        <v>42838</v>
      </c>
      <c r="B864">
        <v>7.85</v>
      </c>
      <c r="C864">
        <v>8.86</v>
      </c>
      <c r="E864">
        <v>15.76</v>
      </c>
      <c r="F864">
        <v>6.64</v>
      </c>
      <c r="G864">
        <v>12.97</v>
      </c>
      <c r="H864">
        <v>6.43</v>
      </c>
      <c r="I864">
        <v>14.06</v>
      </c>
    </row>
    <row r="865" spans="1:9" x14ac:dyDescent="0.25">
      <c r="A865" s="2">
        <v>42843</v>
      </c>
      <c r="B865">
        <v>7.86</v>
      </c>
      <c r="C865">
        <v>8.89</v>
      </c>
      <c r="E865">
        <v>15.84</v>
      </c>
      <c r="F865">
        <v>6.7</v>
      </c>
      <c r="G865">
        <v>12.98</v>
      </c>
      <c r="H865">
        <v>6.42</v>
      </c>
      <c r="I865">
        <v>14.03</v>
      </c>
    </row>
    <row r="866" spans="1:9" x14ac:dyDescent="0.25">
      <c r="A866" s="2">
        <v>42844</v>
      </c>
      <c r="B866">
        <v>7.83</v>
      </c>
      <c r="C866">
        <v>8.93</v>
      </c>
      <c r="E866">
        <v>15.79</v>
      </c>
      <c r="F866">
        <v>6.69</v>
      </c>
      <c r="G866">
        <v>12.93</v>
      </c>
      <c r="H866">
        <v>6.52</v>
      </c>
      <c r="I866">
        <v>13.6</v>
      </c>
    </row>
    <row r="867" spans="1:9" x14ac:dyDescent="0.25">
      <c r="A867" s="2">
        <v>42845</v>
      </c>
      <c r="B867">
        <v>7.77</v>
      </c>
      <c r="C867">
        <v>8.98</v>
      </c>
      <c r="E867">
        <v>15.51</v>
      </c>
      <c r="F867">
        <v>6.71</v>
      </c>
      <c r="G867">
        <v>12.76</v>
      </c>
      <c r="H867">
        <v>6.62</v>
      </c>
      <c r="I867">
        <v>13.63</v>
      </c>
    </row>
    <row r="868" spans="1:9" x14ac:dyDescent="0.25">
      <c r="A868" s="2">
        <v>42846</v>
      </c>
      <c r="B868">
        <v>7.69</v>
      </c>
      <c r="C868">
        <v>8.93</v>
      </c>
      <c r="E868">
        <v>15.58</v>
      </c>
      <c r="F868">
        <v>6.63</v>
      </c>
      <c r="G868">
        <v>12.68</v>
      </c>
      <c r="H868">
        <v>6.55</v>
      </c>
      <c r="I868">
        <v>13.6</v>
      </c>
    </row>
    <row r="869" spans="1:9" x14ac:dyDescent="0.25">
      <c r="A869" s="2">
        <v>42849</v>
      </c>
      <c r="B869">
        <v>7.78</v>
      </c>
      <c r="C869">
        <v>8.91</v>
      </c>
      <c r="E869">
        <v>15.53</v>
      </c>
      <c r="F869">
        <v>6.53</v>
      </c>
      <c r="G869">
        <v>12.56</v>
      </c>
      <c r="H869">
        <v>6.52</v>
      </c>
      <c r="I869">
        <v>13.73</v>
      </c>
    </row>
    <row r="870" spans="1:9" x14ac:dyDescent="0.25">
      <c r="A870" s="2">
        <v>42850</v>
      </c>
      <c r="B870">
        <v>7.82</v>
      </c>
      <c r="C870">
        <v>8.77</v>
      </c>
      <c r="E870">
        <v>15.74</v>
      </c>
      <c r="F870">
        <v>6.61</v>
      </c>
      <c r="G870">
        <v>12.69</v>
      </c>
      <c r="H870">
        <v>6.46</v>
      </c>
      <c r="I870">
        <v>13.99</v>
      </c>
    </row>
    <row r="871" spans="1:9" x14ac:dyDescent="0.25">
      <c r="A871" s="2">
        <v>42851</v>
      </c>
      <c r="B871">
        <v>8.2100000000000009</v>
      </c>
      <c r="C871">
        <v>8.7100000000000009</v>
      </c>
      <c r="E871">
        <v>16.09</v>
      </c>
      <c r="F871">
        <v>6.46</v>
      </c>
      <c r="G871">
        <v>12.87</v>
      </c>
      <c r="H871">
        <v>6.48</v>
      </c>
      <c r="I871">
        <v>14.01</v>
      </c>
    </row>
    <row r="872" spans="1:9" x14ac:dyDescent="0.25">
      <c r="A872" s="2">
        <v>42852</v>
      </c>
      <c r="B872">
        <v>8.2799999999999994</v>
      </c>
      <c r="C872">
        <v>8.68</v>
      </c>
      <c r="E872">
        <v>16.16</v>
      </c>
      <c r="F872">
        <v>6.33</v>
      </c>
      <c r="G872">
        <v>13.04</v>
      </c>
      <c r="H872">
        <v>6.49</v>
      </c>
      <c r="I872">
        <v>14.14</v>
      </c>
    </row>
    <row r="873" spans="1:9" x14ac:dyDescent="0.25">
      <c r="A873" s="2">
        <v>42853</v>
      </c>
      <c r="B873">
        <v>8.35</v>
      </c>
      <c r="C873">
        <v>8.7100000000000009</v>
      </c>
      <c r="E873">
        <v>16.43</v>
      </c>
      <c r="F873">
        <v>6.42</v>
      </c>
      <c r="G873">
        <v>13.1</v>
      </c>
      <c r="H873">
        <v>6.46</v>
      </c>
      <c r="I873">
        <v>14.09</v>
      </c>
    </row>
    <row r="874" spans="1:9" x14ac:dyDescent="0.25">
      <c r="A874" s="2">
        <v>42857</v>
      </c>
      <c r="B874">
        <v>8.36</v>
      </c>
      <c r="C874">
        <v>8.7200000000000006</v>
      </c>
      <c r="E874">
        <v>16.37</v>
      </c>
      <c r="F874">
        <v>6.52</v>
      </c>
      <c r="G874">
        <v>13.09</v>
      </c>
      <c r="H874">
        <v>6.46</v>
      </c>
      <c r="I874">
        <v>14</v>
      </c>
    </row>
    <row r="875" spans="1:9" x14ac:dyDescent="0.25">
      <c r="A875" s="2">
        <v>42858</v>
      </c>
      <c r="B875">
        <v>8.36</v>
      </c>
      <c r="C875">
        <v>8.75</v>
      </c>
      <c r="E875">
        <v>16.34</v>
      </c>
      <c r="F875">
        <v>6.54</v>
      </c>
      <c r="G875">
        <v>13.04</v>
      </c>
      <c r="H875">
        <v>6.53</v>
      </c>
      <c r="I875">
        <v>14.19</v>
      </c>
    </row>
    <row r="876" spans="1:9" x14ac:dyDescent="0.25">
      <c r="A876" s="2">
        <v>42863</v>
      </c>
      <c r="B876">
        <v>8.5399999999999991</v>
      </c>
      <c r="C876">
        <v>8.84</v>
      </c>
      <c r="E876">
        <v>16.559999999999999</v>
      </c>
      <c r="F876">
        <v>6.58</v>
      </c>
      <c r="G876">
        <v>13.17</v>
      </c>
      <c r="H876">
        <v>6.59</v>
      </c>
      <c r="I876">
        <v>14.17</v>
      </c>
    </row>
    <row r="877" spans="1:9" x14ac:dyDescent="0.25">
      <c r="A877" s="2">
        <v>42864</v>
      </c>
      <c r="B877">
        <v>8.61</v>
      </c>
      <c r="C877">
        <v>8.76</v>
      </c>
      <c r="E877">
        <v>16.55</v>
      </c>
      <c r="F877">
        <v>6.4</v>
      </c>
      <c r="G877">
        <v>13.09</v>
      </c>
      <c r="H877">
        <v>6.49</v>
      </c>
      <c r="I877">
        <v>14.37</v>
      </c>
    </row>
    <row r="878" spans="1:9" x14ac:dyDescent="0.25">
      <c r="A878" s="2">
        <v>42865</v>
      </c>
      <c r="B878">
        <v>8.6999999999999993</v>
      </c>
      <c r="C878">
        <v>8.77</v>
      </c>
      <c r="E878">
        <v>16.73</v>
      </c>
      <c r="F878">
        <v>6.46</v>
      </c>
      <c r="G878">
        <v>13.23</v>
      </c>
      <c r="H878">
        <v>6.47</v>
      </c>
      <c r="I878">
        <v>14.63</v>
      </c>
    </row>
    <row r="879" spans="1:9" x14ac:dyDescent="0.25">
      <c r="A879" s="2">
        <v>42866</v>
      </c>
      <c r="B879">
        <v>8.77</v>
      </c>
      <c r="C879">
        <v>8.76</v>
      </c>
      <c r="E879">
        <v>16.899999999999999</v>
      </c>
      <c r="F879">
        <v>6.45</v>
      </c>
      <c r="G879">
        <v>13.34</v>
      </c>
      <c r="H879">
        <v>6.43</v>
      </c>
      <c r="I879">
        <v>14.73</v>
      </c>
    </row>
    <row r="880" spans="1:9" x14ac:dyDescent="0.25">
      <c r="A880" s="2">
        <v>42867</v>
      </c>
      <c r="B880">
        <v>8.85</v>
      </c>
      <c r="C880">
        <v>8.7899999999999991</v>
      </c>
      <c r="E880">
        <v>16.82</v>
      </c>
      <c r="F880">
        <v>6.51</v>
      </c>
      <c r="G880">
        <v>13.41</v>
      </c>
      <c r="H880">
        <v>6.49</v>
      </c>
      <c r="I880">
        <v>14.68</v>
      </c>
    </row>
    <row r="881" spans="1:9" x14ac:dyDescent="0.25">
      <c r="A881" s="2">
        <v>42870</v>
      </c>
      <c r="B881">
        <v>8.8699999999999992</v>
      </c>
      <c r="C881">
        <v>8.76</v>
      </c>
      <c r="E881">
        <v>16.73</v>
      </c>
      <c r="F881">
        <v>6.51</v>
      </c>
      <c r="G881">
        <v>13.38</v>
      </c>
      <c r="H881">
        <v>6.54</v>
      </c>
      <c r="I881">
        <v>14.77</v>
      </c>
    </row>
    <row r="882" spans="1:9" x14ac:dyDescent="0.25">
      <c r="A882" s="2">
        <v>42871</v>
      </c>
      <c r="B882">
        <v>8.83</v>
      </c>
      <c r="C882">
        <v>8.7799999999999994</v>
      </c>
      <c r="E882">
        <v>16.73</v>
      </c>
      <c r="F882">
        <v>6.5</v>
      </c>
      <c r="G882">
        <v>13.31</v>
      </c>
      <c r="H882">
        <v>6.57</v>
      </c>
      <c r="I882">
        <v>14.77</v>
      </c>
    </row>
    <row r="883" spans="1:9" x14ac:dyDescent="0.25">
      <c r="A883" s="2">
        <v>42872</v>
      </c>
      <c r="B883">
        <v>8.89</v>
      </c>
      <c r="C883">
        <v>8.73</v>
      </c>
      <c r="E883">
        <v>16.78</v>
      </c>
      <c r="F883">
        <v>6.43</v>
      </c>
      <c r="G883">
        <v>13.32</v>
      </c>
      <c r="H883">
        <v>6.65</v>
      </c>
      <c r="I883">
        <v>14.58</v>
      </c>
    </row>
    <row r="884" spans="1:9" x14ac:dyDescent="0.25">
      <c r="A884" s="2">
        <v>42873</v>
      </c>
      <c r="B884">
        <v>8.9499999999999993</v>
      </c>
      <c r="C884">
        <v>8.7200000000000006</v>
      </c>
      <c r="E884">
        <v>16.66</v>
      </c>
      <c r="F884">
        <v>6.4</v>
      </c>
      <c r="G884">
        <v>13.27</v>
      </c>
      <c r="H884">
        <v>6.72</v>
      </c>
      <c r="I884">
        <v>14.1</v>
      </c>
    </row>
    <row r="885" spans="1:9" x14ac:dyDescent="0.25">
      <c r="A885" s="2">
        <v>42874</v>
      </c>
      <c r="B885">
        <v>8.8000000000000007</v>
      </c>
      <c r="C885">
        <v>8.81</v>
      </c>
      <c r="E885">
        <v>16.07</v>
      </c>
      <c r="F885">
        <v>6.42</v>
      </c>
      <c r="G885">
        <v>12.98</v>
      </c>
      <c r="H885">
        <v>6.74</v>
      </c>
      <c r="I885">
        <v>13.79</v>
      </c>
    </row>
    <row r="886" spans="1:9" x14ac:dyDescent="0.25">
      <c r="A886" s="2">
        <v>42877</v>
      </c>
      <c r="B886">
        <v>8.43</v>
      </c>
      <c r="C886">
        <v>8.6999999999999993</v>
      </c>
      <c r="E886">
        <v>15.89</v>
      </c>
      <c r="F886">
        <v>6.39</v>
      </c>
      <c r="G886">
        <v>12.43</v>
      </c>
      <c r="H886">
        <v>6.5</v>
      </c>
      <c r="I886">
        <v>13.95</v>
      </c>
    </row>
    <row r="887" spans="1:9" x14ac:dyDescent="0.25">
      <c r="A887" s="2">
        <v>42878</v>
      </c>
      <c r="B887">
        <v>8.56</v>
      </c>
      <c r="C887">
        <v>8.6199999999999992</v>
      </c>
      <c r="E887">
        <v>16.11</v>
      </c>
      <c r="F887">
        <v>6.35</v>
      </c>
      <c r="G887">
        <v>12.56</v>
      </c>
      <c r="H887">
        <v>6.45</v>
      </c>
      <c r="I887">
        <v>13.86</v>
      </c>
    </row>
    <row r="888" spans="1:9" x14ac:dyDescent="0.25">
      <c r="A888" s="2">
        <v>42879</v>
      </c>
      <c r="B888">
        <v>8.68</v>
      </c>
      <c r="C888">
        <v>8.68</v>
      </c>
      <c r="E888">
        <v>16.170000000000002</v>
      </c>
      <c r="F888">
        <v>6.32</v>
      </c>
      <c r="G888">
        <v>12.67</v>
      </c>
      <c r="H888">
        <v>6.51</v>
      </c>
      <c r="I888">
        <v>14</v>
      </c>
    </row>
    <row r="889" spans="1:9" x14ac:dyDescent="0.25">
      <c r="A889" s="2">
        <v>42880</v>
      </c>
      <c r="B889">
        <v>8.6999999999999993</v>
      </c>
      <c r="C889">
        <v>8.67</v>
      </c>
      <c r="E889">
        <v>16.27</v>
      </c>
      <c r="F889">
        <v>6.31</v>
      </c>
      <c r="G889">
        <v>12.79</v>
      </c>
      <c r="H889">
        <v>6.55</v>
      </c>
      <c r="I889">
        <v>14.08</v>
      </c>
    </row>
    <row r="890" spans="1:9" x14ac:dyDescent="0.25">
      <c r="A890" s="2">
        <v>42881</v>
      </c>
      <c r="B890">
        <v>8.7100000000000009</v>
      </c>
      <c r="C890">
        <v>8.7100000000000009</v>
      </c>
      <c r="E890">
        <v>16.39</v>
      </c>
      <c r="F890">
        <v>6.36</v>
      </c>
      <c r="G890">
        <v>12.92</v>
      </c>
      <c r="H890">
        <v>6.6</v>
      </c>
      <c r="I890">
        <v>14.14</v>
      </c>
    </row>
    <row r="891" spans="1:9" x14ac:dyDescent="0.25">
      <c r="A891" s="2">
        <v>42884</v>
      </c>
      <c r="B891">
        <v>8.75</v>
      </c>
      <c r="C891">
        <v>8.77</v>
      </c>
      <c r="E891">
        <v>16.47</v>
      </c>
      <c r="F891">
        <v>6.41</v>
      </c>
      <c r="G891">
        <v>12.98</v>
      </c>
      <c r="H891">
        <v>6.64</v>
      </c>
      <c r="I891">
        <v>14.28</v>
      </c>
    </row>
    <row r="892" spans="1:9" x14ac:dyDescent="0.25">
      <c r="A892" s="2">
        <v>42885</v>
      </c>
      <c r="B892">
        <v>8.75</v>
      </c>
      <c r="C892">
        <v>8.8000000000000007</v>
      </c>
      <c r="E892">
        <v>16.52</v>
      </c>
      <c r="F892">
        <v>6.49</v>
      </c>
      <c r="G892">
        <v>13.16</v>
      </c>
      <c r="H892">
        <v>6.72</v>
      </c>
      <c r="I892">
        <v>14.25</v>
      </c>
    </row>
    <row r="893" spans="1:9" x14ac:dyDescent="0.25">
      <c r="A893" s="2">
        <v>42886</v>
      </c>
      <c r="B893">
        <v>8.81</v>
      </c>
      <c r="C893">
        <v>8.83</v>
      </c>
      <c r="E893">
        <v>16.55</v>
      </c>
      <c r="F893">
        <v>6.53</v>
      </c>
      <c r="G893">
        <v>13.14</v>
      </c>
      <c r="H893">
        <v>6.71</v>
      </c>
      <c r="I893">
        <v>14.18</v>
      </c>
    </row>
    <row r="894" spans="1:9" x14ac:dyDescent="0.25">
      <c r="A894" s="2">
        <v>42887</v>
      </c>
      <c r="B894">
        <v>8.85</v>
      </c>
      <c r="C894">
        <v>8.85</v>
      </c>
      <c r="E894">
        <v>16.489999999999998</v>
      </c>
      <c r="F894">
        <v>6.55</v>
      </c>
      <c r="G894">
        <v>13.12</v>
      </c>
      <c r="H894">
        <v>6.72</v>
      </c>
      <c r="I894">
        <v>13.95</v>
      </c>
    </row>
    <row r="895" spans="1:9" x14ac:dyDescent="0.25">
      <c r="A895" s="2">
        <v>42888</v>
      </c>
      <c r="B895">
        <v>8.8800000000000008</v>
      </c>
      <c r="C895">
        <v>8.89</v>
      </c>
      <c r="E895">
        <v>16.350000000000001</v>
      </c>
      <c r="F895">
        <v>6.51</v>
      </c>
      <c r="G895">
        <v>13.05</v>
      </c>
      <c r="H895">
        <v>6.74</v>
      </c>
      <c r="I895">
        <v>14.18</v>
      </c>
    </row>
    <row r="896" spans="1:9" x14ac:dyDescent="0.25">
      <c r="A896" s="2">
        <v>42891</v>
      </c>
      <c r="B896">
        <v>9.0299999999999994</v>
      </c>
      <c r="C896">
        <v>8.93</v>
      </c>
      <c r="E896">
        <v>16.61</v>
      </c>
      <c r="F896">
        <v>6.56</v>
      </c>
      <c r="G896">
        <v>13.22</v>
      </c>
      <c r="H896">
        <v>6.77</v>
      </c>
      <c r="I896">
        <v>14.34</v>
      </c>
    </row>
    <row r="897" spans="1:9" x14ac:dyDescent="0.25">
      <c r="A897" s="2">
        <v>42892</v>
      </c>
      <c r="B897">
        <v>9.18</v>
      </c>
      <c r="C897">
        <v>8.98</v>
      </c>
      <c r="E897">
        <v>16.829999999999998</v>
      </c>
      <c r="F897">
        <v>6.63</v>
      </c>
      <c r="G897">
        <v>13.4</v>
      </c>
      <c r="H897">
        <v>6.85</v>
      </c>
      <c r="I897">
        <v>14.33</v>
      </c>
    </row>
    <row r="898" spans="1:9" x14ac:dyDescent="0.25">
      <c r="A898" s="2">
        <v>42893</v>
      </c>
      <c r="B898">
        <v>9.14</v>
      </c>
      <c r="C898">
        <v>9</v>
      </c>
      <c r="E898">
        <v>16.82</v>
      </c>
      <c r="F898">
        <v>6.63</v>
      </c>
      <c r="G898">
        <v>13.4</v>
      </c>
      <c r="H898">
        <v>6.87</v>
      </c>
      <c r="I898">
        <v>14.32</v>
      </c>
    </row>
    <row r="899" spans="1:9" x14ac:dyDescent="0.25">
      <c r="A899" s="2">
        <v>42894</v>
      </c>
      <c r="B899">
        <v>9.09</v>
      </c>
      <c r="C899">
        <v>9.11</v>
      </c>
      <c r="E899">
        <v>16.73</v>
      </c>
      <c r="F899">
        <v>6.71</v>
      </c>
      <c r="G899">
        <v>13.34</v>
      </c>
      <c r="H899">
        <v>6.94</v>
      </c>
      <c r="I899">
        <v>14.27</v>
      </c>
    </row>
    <row r="900" spans="1:9" x14ac:dyDescent="0.25">
      <c r="A900" s="2">
        <v>42895</v>
      </c>
      <c r="B900">
        <v>9.06</v>
      </c>
      <c r="C900">
        <v>9.06</v>
      </c>
      <c r="E900">
        <v>16.66</v>
      </c>
      <c r="F900">
        <v>6.7</v>
      </c>
      <c r="G900">
        <v>13.37</v>
      </c>
      <c r="H900">
        <v>6.9</v>
      </c>
      <c r="I900">
        <v>14.4</v>
      </c>
    </row>
    <row r="901" spans="1:9" x14ac:dyDescent="0.25">
      <c r="A901" s="2">
        <v>42898</v>
      </c>
      <c r="B901">
        <v>9.0500000000000007</v>
      </c>
      <c r="C901">
        <v>9.0399999999999991</v>
      </c>
      <c r="E901">
        <v>16.77</v>
      </c>
      <c r="F901">
        <v>6.66</v>
      </c>
      <c r="G901">
        <v>13.4</v>
      </c>
      <c r="H901">
        <v>6.88</v>
      </c>
      <c r="I901">
        <v>14.63</v>
      </c>
    </row>
    <row r="902" spans="1:9" x14ac:dyDescent="0.25">
      <c r="A902" s="2">
        <v>42899</v>
      </c>
      <c r="B902">
        <v>9.01</v>
      </c>
      <c r="C902">
        <v>8.98</v>
      </c>
      <c r="E902">
        <v>17</v>
      </c>
      <c r="F902">
        <v>6.71</v>
      </c>
      <c r="G902">
        <v>13.56</v>
      </c>
      <c r="H902">
        <v>6.87</v>
      </c>
      <c r="I902">
        <v>14.22</v>
      </c>
    </row>
    <row r="903" spans="1:9" x14ac:dyDescent="0.25">
      <c r="A903" s="2">
        <v>42900</v>
      </c>
      <c r="B903">
        <v>8.9499999999999993</v>
      </c>
      <c r="C903">
        <v>9</v>
      </c>
      <c r="E903">
        <v>16.68</v>
      </c>
      <c r="F903">
        <v>6.73</v>
      </c>
      <c r="G903">
        <v>13.3</v>
      </c>
      <c r="H903">
        <v>6.89</v>
      </c>
      <c r="I903">
        <v>14.34</v>
      </c>
    </row>
    <row r="904" spans="1:9" x14ac:dyDescent="0.25">
      <c r="A904" s="2">
        <v>42901</v>
      </c>
      <c r="B904">
        <v>9.09</v>
      </c>
      <c r="C904">
        <v>9.0399999999999991</v>
      </c>
      <c r="E904">
        <v>16.84</v>
      </c>
      <c r="F904">
        <v>6.71</v>
      </c>
      <c r="G904">
        <v>13.47</v>
      </c>
      <c r="H904">
        <v>6.91</v>
      </c>
      <c r="I904">
        <v>14.33</v>
      </c>
    </row>
    <row r="905" spans="1:9" x14ac:dyDescent="0.25">
      <c r="A905" s="2">
        <v>42902</v>
      </c>
      <c r="B905">
        <v>9.19</v>
      </c>
      <c r="C905">
        <v>9.17</v>
      </c>
      <c r="E905">
        <v>16.86</v>
      </c>
      <c r="F905">
        <v>6.81</v>
      </c>
      <c r="G905">
        <v>13.64</v>
      </c>
      <c r="H905">
        <v>7.06</v>
      </c>
      <c r="I905">
        <v>14.15</v>
      </c>
    </row>
    <row r="906" spans="1:9" x14ac:dyDescent="0.25">
      <c r="A906" s="2">
        <v>42905</v>
      </c>
      <c r="B906">
        <v>9.08</v>
      </c>
      <c r="C906">
        <v>9.16</v>
      </c>
      <c r="E906">
        <v>16.7</v>
      </c>
      <c r="F906">
        <v>6.69</v>
      </c>
      <c r="G906">
        <v>13.37</v>
      </c>
      <c r="H906">
        <v>6.95</v>
      </c>
      <c r="I906">
        <v>14.18</v>
      </c>
    </row>
    <row r="907" spans="1:9" x14ac:dyDescent="0.25">
      <c r="A907" s="2">
        <v>42906</v>
      </c>
      <c r="B907">
        <v>9.1199999999999992</v>
      </c>
      <c r="C907">
        <v>9.14</v>
      </c>
      <c r="E907">
        <v>16.7</v>
      </c>
      <c r="F907">
        <v>6.69</v>
      </c>
      <c r="G907">
        <v>13.44</v>
      </c>
      <c r="H907">
        <v>6.92</v>
      </c>
      <c r="I907">
        <v>14.56</v>
      </c>
    </row>
    <row r="908" spans="1:9" x14ac:dyDescent="0.25">
      <c r="A908" s="2">
        <v>42907</v>
      </c>
      <c r="B908">
        <v>9.2799999999999994</v>
      </c>
      <c r="C908">
        <v>9.18</v>
      </c>
      <c r="E908">
        <v>17.11</v>
      </c>
      <c r="F908">
        <v>6.71</v>
      </c>
      <c r="G908">
        <v>13.7</v>
      </c>
      <c r="H908">
        <v>6.92</v>
      </c>
      <c r="I908">
        <v>14.41</v>
      </c>
    </row>
    <row r="909" spans="1:9" x14ac:dyDescent="0.25">
      <c r="A909" s="2">
        <v>42908</v>
      </c>
      <c r="B909">
        <v>9.27</v>
      </c>
      <c r="C909">
        <v>9.18</v>
      </c>
      <c r="E909">
        <v>16.97</v>
      </c>
      <c r="F909">
        <v>6.71</v>
      </c>
      <c r="G909">
        <v>13.65</v>
      </c>
      <c r="H909">
        <v>6.86</v>
      </c>
      <c r="I909">
        <v>14.41</v>
      </c>
    </row>
    <row r="910" spans="1:9" x14ac:dyDescent="0.25">
      <c r="A910" s="2">
        <v>42912</v>
      </c>
      <c r="B910">
        <v>9.16</v>
      </c>
      <c r="C910">
        <v>9.15</v>
      </c>
      <c r="E910">
        <v>16.829999999999998</v>
      </c>
      <c r="F910">
        <v>6.68</v>
      </c>
      <c r="G910">
        <v>13.41</v>
      </c>
      <c r="H910">
        <v>6.8</v>
      </c>
      <c r="I910">
        <v>14.4</v>
      </c>
    </row>
    <row r="911" spans="1:9" x14ac:dyDescent="0.25">
      <c r="A911" s="2">
        <v>42913</v>
      </c>
      <c r="B911">
        <v>9.1999999999999993</v>
      </c>
      <c r="C911">
        <v>9.16</v>
      </c>
      <c r="E911">
        <v>16.8</v>
      </c>
      <c r="F911">
        <v>6.67</v>
      </c>
      <c r="G911">
        <v>13.39</v>
      </c>
      <c r="H911">
        <v>6.86</v>
      </c>
      <c r="I911">
        <v>14.47</v>
      </c>
    </row>
    <row r="912" spans="1:9" x14ac:dyDescent="0.25">
      <c r="A912" s="2">
        <v>42914</v>
      </c>
      <c r="B912">
        <v>9.23</v>
      </c>
      <c r="C912">
        <v>9.15</v>
      </c>
      <c r="E912">
        <v>16.95</v>
      </c>
      <c r="F912">
        <v>6.71</v>
      </c>
      <c r="G912">
        <v>13.61</v>
      </c>
      <c r="H912">
        <v>6.92</v>
      </c>
      <c r="I912">
        <v>14.06</v>
      </c>
    </row>
    <row r="913" spans="1:9" x14ac:dyDescent="0.25">
      <c r="A913" s="2">
        <v>42915</v>
      </c>
      <c r="B913">
        <v>8.94</v>
      </c>
      <c r="C913">
        <v>8.93</v>
      </c>
      <c r="E913">
        <v>16.579999999999998</v>
      </c>
      <c r="F913">
        <v>6.43</v>
      </c>
      <c r="G913">
        <v>13.12</v>
      </c>
      <c r="H913">
        <v>6.84</v>
      </c>
      <c r="I913">
        <v>13.87</v>
      </c>
    </row>
    <row r="914" spans="1:9" x14ac:dyDescent="0.25">
      <c r="A914" s="2">
        <v>42916</v>
      </c>
      <c r="B914">
        <v>8.81</v>
      </c>
      <c r="C914">
        <v>8.7799999999999994</v>
      </c>
      <c r="E914">
        <v>16.45</v>
      </c>
      <c r="F914">
        <v>6.34</v>
      </c>
      <c r="G914">
        <v>12.87</v>
      </c>
      <c r="H914">
        <v>6.74</v>
      </c>
      <c r="I914">
        <v>13.4</v>
      </c>
    </row>
    <row r="915" spans="1:9" x14ac:dyDescent="0.25">
      <c r="A915" s="2">
        <v>42919</v>
      </c>
      <c r="B915">
        <v>8.64</v>
      </c>
      <c r="C915">
        <v>8.6999999999999993</v>
      </c>
      <c r="D915">
        <v>0</v>
      </c>
      <c r="E915">
        <v>15.82</v>
      </c>
      <c r="F915">
        <v>6.03</v>
      </c>
      <c r="G915">
        <v>12.65</v>
      </c>
      <c r="H915">
        <v>6.64</v>
      </c>
      <c r="I915">
        <v>13.4</v>
      </c>
    </row>
    <row r="916" spans="1:9" x14ac:dyDescent="0.25">
      <c r="A916" s="2">
        <v>42920</v>
      </c>
      <c r="B916">
        <v>8.56</v>
      </c>
      <c r="C916">
        <v>8.7100000000000009</v>
      </c>
      <c r="D916">
        <v>0</v>
      </c>
      <c r="E916">
        <v>15.73</v>
      </c>
      <c r="F916">
        <v>6</v>
      </c>
      <c r="G916">
        <v>12.52</v>
      </c>
      <c r="H916">
        <v>6.6</v>
      </c>
      <c r="I916">
        <v>13.65</v>
      </c>
    </row>
    <row r="917" spans="1:9" x14ac:dyDescent="0.25">
      <c r="A917" s="2">
        <v>42921</v>
      </c>
      <c r="B917">
        <v>8.5399999999999991</v>
      </c>
      <c r="C917">
        <v>8.66</v>
      </c>
      <c r="D917">
        <v>0</v>
      </c>
      <c r="E917">
        <v>16.149999999999999</v>
      </c>
      <c r="F917">
        <v>6.05</v>
      </c>
      <c r="G917">
        <v>12.68</v>
      </c>
      <c r="H917">
        <v>6.56</v>
      </c>
      <c r="I917">
        <v>13.59</v>
      </c>
    </row>
    <row r="918" spans="1:9" x14ac:dyDescent="0.25">
      <c r="A918" s="2">
        <v>42922</v>
      </c>
      <c r="B918">
        <v>8.56</v>
      </c>
      <c r="C918">
        <v>8.66</v>
      </c>
      <c r="D918">
        <v>0</v>
      </c>
      <c r="E918">
        <v>15.99</v>
      </c>
      <c r="F918">
        <v>6.08</v>
      </c>
      <c r="G918">
        <v>12.62</v>
      </c>
      <c r="H918">
        <v>6.53</v>
      </c>
      <c r="I918">
        <v>13.61</v>
      </c>
    </row>
    <row r="919" spans="1:9" x14ac:dyDescent="0.25">
      <c r="A919" s="2">
        <v>42923</v>
      </c>
      <c r="B919">
        <v>8.4499999999999993</v>
      </c>
      <c r="C919">
        <v>8.57</v>
      </c>
      <c r="D919">
        <v>0</v>
      </c>
      <c r="E919">
        <v>16</v>
      </c>
      <c r="F919">
        <v>6.04</v>
      </c>
      <c r="G919">
        <v>12.57</v>
      </c>
      <c r="H919">
        <v>6.48</v>
      </c>
      <c r="I919">
        <v>13.31</v>
      </c>
    </row>
    <row r="920" spans="1:9" x14ac:dyDescent="0.25">
      <c r="A920" s="2">
        <v>42926</v>
      </c>
      <c r="B920">
        <v>8.23</v>
      </c>
      <c r="C920">
        <v>8.4499999999999993</v>
      </c>
      <c r="D920">
        <v>0</v>
      </c>
      <c r="E920">
        <v>15.51</v>
      </c>
      <c r="F920">
        <v>5.67</v>
      </c>
      <c r="G920">
        <v>12.17</v>
      </c>
      <c r="H920">
        <v>6.36</v>
      </c>
      <c r="I920">
        <v>13.26</v>
      </c>
    </row>
    <row r="921" spans="1:9" x14ac:dyDescent="0.25">
      <c r="A921" s="2">
        <v>42927</v>
      </c>
      <c r="B921">
        <v>8.2100000000000009</v>
      </c>
      <c r="C921">
        <v>8.42</v>
      </c>
      <c r="D921">
        <v>0</v>
      </c>
      <c r="E921">
        <v>15.47</v>
      </c>
      <c r="F921">
        <v>5.61</v>
      </c>
      <c r="G921">
        <v>12.13</v>
      </c>
      <c r="H921">
        <v>6.31</v>
      </c>
      <c r="I921">
        <v>13.43</v>
      </c>
    </row>
    <row r="922" spans="1:9" x14ac:dyDescent="0.25">
      <c r="A922" s="2">
        <v>42928</v>
      </c>
      <c r="B922">
        <v>8.2799999999999994</v>
      </c>
      <c r="C922">
        <v>8.41</v>
      </c>
      <c r="D922">
        <v>0</v>
      </c>
      <c r="E922">
        <v>15.72</v>
      </c>
      <c r="F922">
        <v>5.8</v>
      </c>
      <c r="G922">
        <v>12.25</v>
      </c>
      <c r="H922">
        <v>6.34</v>
      </c>
      <c r="I922">
        <v>13.41</v>
      </c>
    </row>
    <row r="923" spans="1:9" x14ac:dyDescent="0.25">
      <c r="A923" s="2">
        <v>42929</v>
      </c>
      <c r="B923">
        <v>8.33</v>
      </c>
      <c r="C923">
        <v>8.4499999999999993</v>
      </c>
      <c r="D923">
        <v>0</v>
      </c>
      <c r="E923">
        <v>15.51</v>
      </c>
      <c r="F923">
        <v>5.71</v>
      </c>
      <c r="G923">
        <v>12.19</v>
      </c>
      <c r="H923">
        <v>6.34</v>
      </c>
      <c r="I923">
        <v>13.89</v>
      </c>
    </row>
    <row r="924" spans="1:9" x14ac:dyDescent="0.25">
      <c r="A924" s="2">
        <v>42930</v>
      </c>
      <c r="B924">
        <v>8.5399999999999991</v>
      </c>
      <c r="C924">
        <v>8.58</v>
      </c>
      <c r="D924">
        <v>0</v>
      </c>
      <c r="E924">
        <v>16.13</v>
      </c>
      <c r="F924">
        <v>5.75</v>
      </c>
      <c r="G924">
        <v>12.6</v>
      </c>
      <c r="H924">
        <v>6.44</v>
      </c>
      <c r="I924">
        <v>14.04</v>
      </c>
    </row>
    <row r="925" spans="1:9" x14ac:dyDescent="0.25">
      <c r="A925" s="2">
        <v>42933</v>
      </c>
      <c r="B925">
        <v>8.66</v>
      </c>
      <c r="C925">
        <v>8.6</v>
      </c>
      <c r="D925">
        <v>0</v>
      </c>
      <c r="E925">
        <v>16.399999999999999</v>
      </c>
      <c r="F925">
        <v>5.74</v>
      </c>
      <c r="G925">
        <v>12.83</v>
      </c>
      <c r="H925">
        <v>6.51</v>
      </c>
      <c r="I925">
        <v>14.06</v>
      </c>
    </row>
    <row r="926" spans="1:9" x14ac:dyDescent="0.25">
      <c r="A926" s="2">
        <v>42934</v>
      </c>
      <c r="B926">
        <v>8.65</v>
      </c>
      <c r="C926">
        <v>8.61</v>
      </c>
      <c r="D926">
        <v>-0.01</v>
      </c>
      <c r="E926">
        <v>16.47</v>
      </c>
      <c r="F926">
        <v>5.77</v>
      </c>
      <c r="G926">
        <v>12.98</v>
      </c>
      <c r="H926">
        <v>6.6</v>
      </c>
      <c r="I926">
        <v>14.07</v>
      </c>
    </row>
    <row r="927" spans="1:9" x14ac:dyDescent="0.25">
      <c r="A927" s="2">
        <v>42935</v>
      </c>
      <c r="B927">
        <v>8.6199999999999992</v>
      </c>
      <c r="C927">
        <v>8.6199999999999992</v>
      </c>
      <c r="D927">
        <v>-0.24</v>
      </c>
      <c r="E927">
        <v>16.510000000000002</v>
      </c>
      <c r="F927">
        <v>5.82</v>
      </c>
      <c r="G927">
        <v>13.02</v>
      </c>
      <c r="H927">
        <v>6.65</v>
      </c>
      <c r="I927">
        <v>13.8</v>
      </c>
    </row>
    <row r="928" spans="1:9" x14ac:dyDescent="0.25">
      <c r="A928" s="2">
        <v>42936</v>
      </c>
      <c r="B928">
        <v>8.6300000000000008</v>
      </c>
      <c r="C928">
        <v>8.6999999999999993</v>
      </c>
      <c r="D928">
        <v>-0.42</v>
      </c>
      <c r="E928">
        <v>16.21</v>
      </c>
      <c r="F928">
        <v>5.85</v>
      </c>
      <c r="G928">
        <v>12.85</v>
      </c>
      <c r="H928">
        <v>6.73</v>
      </c>
      <c r="I928">
        <v>14.05</v>
      </c>
    </row>
    <row r="929" spans="1:9" x14ac:dyDescent="0.25">
      <c r="A929" s="2">
        <v>42937</v>
      </c>
      <c r="B929">
        <v>8.7799999999999994</v>
      </c>
      <c r="C929">
        <v>8.7799999999999994</v>
      </c>
      <c r="D929">
        <v>-0.09</v>
      </c>
      <c r="E929">
        <v>16.600000000000001</v>
      </c>
      <c r="F929">
        <v>5.96</v>
      </c>
      <c r="G929">
        <v>13.13</v>
      </c>
      <c r="H929">
        <v>6.77</v>
      </c>
      <c r="I929">
        <v>14.01</v>
      </c>
    </row>
    <row r="930" spans="1:9" x14ac:dyDescent="0.25">
      <c r="A930" s="2">
        <v>42940</v>
      </c>
      <c r="B930">
        <v>8.73</v>
      </c>
      <c r="C930">
        <v>8.76</v>
      </c>
      <c r="D930">
        <v>-0.47</v>
      </c>
      <c r="E930">
        <v>16.440000000000001</v>
      </c>
      <c r="F930">
        <v>5.94</v>
      </c>
      <c r="G930">
        <v>13.05</v>
      </c>
      <c r="H930">
        <v>6.76</v>
      </c>
      <c r="I930">
        <v>13.78</v>
      </c>
    </row>
    <row r="931" spans="1:9" x14ac:dyDescent="0.25">
      <c r="A931" s="2">
        <v>42941</v>
      </c>
      <c r="B931">
        <v>8.6300000000000008</v>
      </c>
      <c r="C931">
        <v>8.8000000000000007</v>
      </c>
      <c r="D931">
        <v>-0.53</v>
      </c>
      <c r="E931">
        <v>16.239999999999998</v>
      </c>
      <c r="F931">
        <v>6.01</v>
      </c>
      <c r="G931">
        <v>12.91</v>
      </c>
      <c r="H931">
        <v>6.81</v>
      </c>
      <c r="I931">
        <v>13.76</v>
      </c>
    </row>
    <row r="932" spans="1:9" x14ac:dyDescent="0.25">
      <c r="A932" s="2">
        <v>42942</v>
      </c>
      <c r="B932">
        <v>8.5</v>
      </c>
      <c r="C932">
        <v>8.74</v>
      </c>
      <c r="D932">
        <v>-0.65</v>
      </c>
      <c r="E932">
        <v>16.22</v>
      </c>
      <c r="F932">
        <v>5.99</v>
      </c>
      <c r="G932">
        <v>12.68</v>
      </c>
      <c r="H932">
        <v>6.78</v>
      </c>
      <c r="I932">
        <v>13.77</v>
      </c>
    </row>
    <row r="933" spans="1:9" x14ac:dyDescent="0.25">
      <c r="A933" s="2">
        <v>42943</v>
      </c>
      <c r="B933">
        <v>8.5</v>
      </c>
      <c r="C933">
        <v>8.66</v>
      </c>
      <c r="D933">
        <v>-0.66</v>
      </c>
      <c r="E933">
        <v>16.32</v>
      </c>
      <c r="F933">
        <v>5.8</v>
      </c>
      <c r="G933">
        <v>12.64</v>
      </c>
      <c r="H933">
        <v>6.71</v>
      </c>
      <c r="I933">
        <v>13.88</v>
      </c>
    </row>
    <row r="934" spans="1:9" x14ac:dyDescent="0.25">
      <c r="A934" s="2">
        <v>42944</v>
      </c>
      <c r="B934">
        <v>8.52</v>
      </c>
      <c r="C934">
        <v>8.67</v>
      </c>
      <c r="D934">
        <v>-0.57999999999999996</v>
      </c>
      <c r="E934">
        <v>16.440000000000001</v>
      </c>
      <c r="F934">
        <v>5.86</v>
      </c>
      <c r="G934">
        <v>12.75</v>
      </c>
      <c r="H934">
        <v>6.7</v>
      </c>
      <c r="I934">
        <v>13.96</v>
      </c>
    </row>
    <row r="935" spans="1:9" x14ac:dyDescent="0.25">
      <c r="A935" s="2">
        <v>42947</v>
      </c>
      <c r="B935">
        <v>8.4600000000000009</v>
      </c>
      <c r="C935">
        <v>8.65</v>
      </c>
      <c r="D935">
        <v>-0.71</v>
      </c>
      <c r="E935">
        <v>16.52</v>
      </c>
      <c r="F935">
        <v>5.98</v>
      </c>
      <c r="G935">
        <v>12.77</v>
      </c>
      <c r="H935">
        <v>6.75</v>
      </c>
      <c r="I935">
        <v>13.63</v>
      </c>
    </row>
    <row r="936" spans="1:9" x14ac:dyDescent="0.25">
      <c r="A936" s="2">
        <v>42948</v>
      </c>
      <c r="B936">
        <v>8.42</v>
      </c>
      <c r="C936">
        <v>8.6999999999999993</v>
      </c>
      <c r="D936">
        <v>-0.98</v>
      </c>
      <c r="E936">
        <v>16.010000000000002</v>
      </c>
      <c r="F936">
        <v>5.84</v>
      </c>
      <c r="G936">
        <v>12.52</v>
      </c>
      <c r="H936">
        <v>6.77</v>
      </c>
      <c r="I936">
        <v>13.59</v>
      </c>
    </row>
    <row r="937" spans="1:9" x14ac:dyDescent="0.25">
      <c r="A937" s="2">
        <v>42949</v>
      </c>
      <c r="B937">
        <v>8.4</v>
      </c>
      <c r="C937">
        <v>8.66</v>
      </c>
      <c r="D937">
        <v>-1.1399999999999999</v>
      </c>
      <c r="E937">
        <v>16.07</v>
      </c>
      <c r="F937">
        <v>6.05</v>
      </c>
      <c r="G937">
        <v>12.52</v>
      </c>
      <c r="H937">
        <v>6.75</v>
      </c>
      <c r="I937">
        <v>13.74</v>
      </c>
    </row>
    <row r="938" spans="1:9" x14ac:dyDescent="0.25">
      <c r="A938" s="2">
        <v>42950</v>
      </c>
      <c r="B938">
        <v>8.52</v>
      </c>
      <c r="C938">
        <v>8.76</v>
      </c>
      <c r="D938">
        <v>-0.97</v>
      </c>
      <c r="E938">
        <v>16.34</v>
      </c>
      <c r="F938">
        <v>6.21</v>
      </c>
      <c r="G938">
        <v>12.52</v>
      </c>
      <c r="H938">
        <v>6.79</v>
      </c>
      <c r="I938">
        <v>13.63</v>
      </c>
    </row>
    <row r="939" spans="1:9" x14ac:dyDescent="0.25">
      <c r="A939" s="2">
        <v>42951</v>
      </c>
      <c r="B939">
        <v>8.5299999999999994</v>
      </c>
      <c r="C939">
        <v>8.81</v>
      </c>
      <c r="D939">
        <v>-1.1000000000000001</v>
      </c>
      <c r="E939">
        <v>16.14</v>
      </c>
      <c r="F939">
        <v>6.23</v>
      </c>
      <c r="G939">
        <v>12.45</v>
      </c>
      <c r="H939">
        <v>6.8</v>
      </c>
      <c r="I939">
        <v>13.65</v>
      </c>
    </row>
    <row r="940" spans="1:9" x14ac:dyDescent="0.25">
      <c r="A940" s="2">
        <v>42954</v>
      </c>
      <c r="B940">
        <v>8.5</v>
      </c>
      <c r="C940">
        <v>8.85</v>
      </c>
      <c r="D940">
        <v>-1.08</v>
      </c>
      <c r="E940">
        <v>16.149999999999999</v>
      </c>
      <c r="F940">
        <v>6.33</v>
      </c>
      <c r="G940">
        <v>12.4</v>
      </c>
      <c r="H940">
        <v>6.85</v>
      </c>
      <c r="I940">
        <v>13.95</v>
      </c>
    </row>
    <row r="941" spans="1:9" x14ac:dyDescent="0.25">
      <c r="A941" s="2">
        <v>42955</v>
      </c>
      <c r="B941">
        <v>8.58</v>
      </c>
      <c r="C941">
        <v>8.89</v>
      </c>
      <c r="D941">
        <v>-0.73</v>
      </c>
      <c r="E941">
        <v>16.53</v>
      </c>
      <c r="F941">
        <v>6.38</v>
      </c>
      <c r="G941">
        <v>12.61</v>
      </c>
      <c r="H941">
        <v>6.86</v>
      </c>
      <c r="I941">
        <v>14.02</v>
      </c>
    </row>
    <row r="942" spans="1:9" x14ac:dyDescent="0.25">
      <c r="A942" s="2">
        <v>42956</v>
      </c>
      <c r="B942">
        <v>8.61</v>
      </c>
      <c r="C942">
        <v>8.8800000000000008</v>
      </c>
      <c r="D942">
        <v>-0.77</v>
      </c>
      <c r="E942">
        <v>16.5</v>
      </c>
      <c r="F942">
        <v>6.38</v>
      </c>
      <c r="G942">
        <v>12.65</v>
      </c>
      <c r="H942">
        <v>6.85</v>
      </c>
      <c r="I942">
        <v>14.18</v>
      </c>
    </row>
    <row r="943" spans="1:9" x14ac:dyDescent="0.25">
      <c r="A943" s="2">
        <v>42957</v>
      </c>
      <c r="B943">
        <v>8.6300000000000008</v>
      </c>
      <c r="C943">
        <v>8.93</v>
      </c>
      <c r="D943">
        <v>-0.61</v>
      </c>
      <c r="E943">
        <v>16.68</v>
      </c>
      <c r="F943">
        <v>6.39</v>
      </c>
      <c r="G943">
        <v>12.73</v>
      </c>
      <c r="H943">
        <v>6.84</v>
      </c>
      <c r="I943">
        <v>13.97</v>
      </c>
    </row>
    <row r="944" spans="1:9" x14ac:dyDescent="0.25">
      <c r="A944" s="2">
        <v>42958</v>
      </c>
      <c r="B944">
        <v>8.56</v>
      </c>
      <c r="C944">
        <v>8.94</v>
      </c>
      <c r="D944">
        <v>-0.69</v>
      </c>
      <c r="E944">
        <v>16.350000000000001</v>
      </c>
      <c r="F944">
        <v>6.4</v>
      </c>
      <c r="G944">
        <v>12.59</v>
      </c>
      <c r="H944">
        <v>6.81</v>
      </c>
      <c r="I944">
        <v>13.7</v>
      </c>
    </row>
    <row r="945" spans="1:9" x14ac:dyDescent="0.25">
      <c r="A945" s="2">
        <v>42961</v>
      </c>
      <c r="B945">
        <v>8.41</v>
      </c>
      <c r="C945">
        <v>8.91</v>
      </c>
      <c r="D945">
        <v>-1.19</v>
      </c>
      <c r="E945">
        <v>15.93</v>
      </c>
      <c r="F945">
        <v>6.28</v>
      </c>
      <c r="G945">
        <v>12.26</v>
      </c>
      <c r="H945">
        <v>6.78</v>
      </c>
      <c r="I945">
        <v>13.4</v>
      </c>
    </row>
    <row r="946" spans="1:9" x14ac:dyDescent="0.25">
      <c r="A946" s="2">
        <v>42962</v>
      </c>
      <c r="B946">
        <v>8.2100000000000009</v>
      </c>
      <c r="C946">
        <v>8.8699999999999992</v>
      </c>
      <c r="D946">
        <v>-1.31</v>
      </c>
      <c r="E946">
        <v>15.48</v>
      </c>
      <c r="F946">
        <v>6.23</v>
      </c>
      <c r="G946">
        <v>11.82</v>
      </c>
      <c r="H946">
        <v>6.77</v>
      </c>
      <c r="I946">
        <v>13.7</v>
      </c>
    </row>
    <row r="947" spans="1:9" x14ac:dyDescent="0.25">
      <c r="A947" s="2">
        <v>42963</v>
      </c>
      <c r="B947">
        <v>8.35</v>
      </c>
      <c r="C947">
        <v>8.8800000000000008</v>
      </c>
      <c r="D947">
        <v>-1.04</v>
      </c>
      <c r="E947">
        <v>16.05</v>
      </c>
      <c r="F947">
        <v>6.34</v>
      </c>
      <c r="G947">
        <v>12.16</v>
      </c>
      <c r="H947">
        <v>6.78</v>
      </c>
      <c r="I947">
        <v>13.77</v>
      </c>
    </row>
    <row r="948" spans="1:9" x14ac:dyDescent="0.25">
      <c r="A948" s="2">
        <v>42964</v>
      </c>
      <c r="B948">
        <v>8.41</v>
      </c>
      <c r="C948">
        <v>8.85</v>
      </c>
      <c r="D948">
        <v>-0.86</v>
      </c>
      <c r="E948">
        <v>16.11</v>
      </c>
      <c r="F948">
        <v>6.31</v>
      </c>
      <c r="G948">
        <v>12.18</v>
      </c>
      <c r="H948">
        <v>6.77</v>
      </c>
      <c r="I948">
        <v>13.98</v>
      </c>
    </row>
    <row r="949" spans="1:9" x14ac:dyDescent="0.25">
      <c r="A949" s="2">
        <v>42965</v>
      </c>
      <c r="B949">
        <v>8.5500000000000007</v>
      </c>
      <c r="C949">
        <v>8.92</v>
      </c>
      <c r="D949">
        <v>-0.74</v>
      </c>
      <c r="E949">
        <v>16.43</v>
      </c>
      <c r="F949">
        <v>6.35</v>
      </c>
      <c r="G949">
        <v>12.51</v>
      </c>
      <c r="H949">
        <v>6.83</v>
      </c>
      <c r="I949">
        <v>13.92</v>
      </c>
    </row>
    <row r="950" spans="1:9" x14ac:dyDescent="0.25">
      <c r="A950" s="2">
        <v>42968</v>
      </c>
      <c r="B950">
        <v>8.5</v>
      </c>
      <c r="C950">
        <v>8.9499999999999993</v>
      </c>
      <c r="D950">
        <v>-1.25</v>
      </c>
      <c r="E950">
        <v>16.16</v>
      </c>
      <c r="F950">
        <v>6.36</v>
      </c>
      <c r="G950">
        <v>12.45</v>
      </c>
      <c r="H950">
        <v>6.86</v>
      </c>
      <c r="I950">
        <v>13.8</v>
      </c>
    </row>
    <row r="951" spans="1:9" x14ac:dyDescent="0.25">
      <c r="A951" s="2">
        <v>42969</v>
      </c>
      <c r="B951">
        <v>8.34</v>
      </c>
      <c r="C951">
        <v>8.9700000000000006</v>
      </c>
      <c r="D951">
        <v>-1.42</v>
      </c>
      <c r="E951">
        <v>15.8</v>
      </c>
      <c r="F951">
        <v>6.38</v>
      </c>
      <c r="G951">
        <v>12.07</v>
      </c>
      <c r="H951">
        <v>6.87</v>
      </c>
      <c r="I951">
        <v>13.65</v>
      </c>
    </row>
    <row r="952" spans="1:9" x14ac:dyDescent="0.25">
      <c r="A952" s="2">
        <v>42970</v>
      </c>
      <c r="B952">
        <v>8.33</v>
      </c>
      <c r="C952">
        <v>8.9700000000000006</v>
      </c>
      <c r="D952">
        <v>-1.5</v>
      </c>
      <c r="E952">
        <v>15.55</v>
      </c>
      <c r="F952">
        <v>6.33</v>
      </c>
      <c r="G952">
        <v>12.07</v>
      </c>
      <c r="H952">
        <v>6.91</v>
      </c>
      <c r="I952">
        <v>13.91</v>
      </c>
    </row>
    <row r="953" spans="1:9" x14ac:dyDescent="0.25">
      <c r="A953" s="2">
        <v>42971</v>
      </c>
      <c r="B953">
        <v>8.42</v>
      </c>
      <c r="C953">
        <v>8.9499999999999993</v>
      </c>
      <c r="D953">
        <v>-1.18</v>
      </c>
      <c r="E953">
        <v>16.09</v>
      </c>
      <c r="F953">
        <v>6.4</v>
      </c>
      <c r="G953">
        <v>12.32</v>
      </c>
      <c r="H953">
        <v>6.9</v>
      </c>
      <c r="I953">
        <v>13.83</v>
      </c>
    </row>
    <row r="954" spans="1:9" x14ac:dyDescent="0.25">
      <c r="A954" s="2">
        <v>42972</v>
      </c>
      <c r="B954">
        <v>8.4499999999999993</v>
      </c>
      <c r="C954">
        <v>8.98</v>
      </c>
      <c r="D954">
        <v>-1.35</v>
      </c>
      <c r="E954">
        <v>15.9</v>
      </c>
      <c r="F954">
        <v>6.37</v>
      </c>
      <c r="G954">
        <v>12.28</v>
      </c>
      <c r="H954">
        <v>6.91</v>
      </c>
      <c r="I954">
        <v>13.88</v>
      </c>
    </row>
    <row r="955" spans="1:9" x14ac:dyDescent="0.25">
      <c r="A955" s="2">
        <v>42975</v>
      </c>
      <c r="B955">
        <v>8.44</v>
      </c>
      <c r="C955">
        <v>8.9700000000000006</v>
      </c>
      <c r="D955">
        <v>-1.39</v>
      </c>
      <c r="E955">
        <v>15.91</v>
      </c>
      <c r="F955">
        <v>6.43</v>
      </c>
      <c r="G955">
        <v>12.36</v>
      </c>
      <c r="H955">
        <v>6.92</v>
      </c>
      <c r="I955">
        <v>13.84</v>
      </c>
    </row>
    <row r="956" spans="1:9" x14ac:dyDescent="0.25">
      <c r="A956" s="2">
        <v>42976</v>
      </c>
      <c r="B956">
        <v>8.39</v>
      </c>
      <c r="C956">
        <v>8.92</v>
      </c>
      <c r="D956">
        <v>-1.57</v>
      </c>
      <c r="E956">
        <v>15.89</v>
      </c>
      <c r="F956">
        <v>6.39</v>
      </c>
      <c r="G956">
        <v>12.33</v>
      </c>
      <c r="H956">
        <v>6.95</v>
      </c>
      <c r="I956">
        <v>13.62</v>
      </c>
    </row>
    <row r="957" spans="1:9" x14ac:dyDescent="0.25">
      <c r="A957" s="2">
        <v>42977</v>
      </c>
      <c r="B957">
        <v>8.18</v>
      </c>
      <c r="C957">
        <v>8.92</v>
      </c>
      <c r="D957">
        <v>-1.85</v>
      </c>
      <c r="E957">
        <v>15.59</v>
      </c>
      <c r="F957">
        <v>6.35</v>
      </c>
      <c r="G957">
        <v>12.19</v>
      </c>
      <c r="H957">
        <v>6.96</v>
      </c>
      <c r="I957">
        <v>13.28</v>
      </c>
    </row>
    <row r="958" spans="1:9" x14ac:dyDescent="0.25">
      <c r="A958" s="2">
        <v>42978</v>
      </c>
      <c r="B958">
        <v>8.02</v>
      </c>
      <c r="C958">
        <v>9</v>
      </c>
      <c r="D958">
        <v>-2.02</v>
      </c>
      <c r="E958">
        <v>15.31</v>
      </c>
      <c r="F958">
        <v>6.36</v>
      </c>
      <c r="G958">
        <v>11.89</v>
      </c>
      <c r="H958">
        <v>7.02</v>
      </c>
      <c r="I958">
        <v>13.57</v>
      </c>
    </row>
    <row r="959" spans="1:9" x14ac:dyDescent="0.25">
      <c r="A959" s="2">
        <v>42979</v>
      </c>
      <c r="B959">
        <v>8.2899999999999991</v>
      </c>
      <c r="C959">
        <v>9.06</v>
      </c>
      <c r="D959">
        <v>-1.51</v>
      </c>
      <c r="E959">
        <v>15.74</v>
      </c>
      <c r="F959">
        <v>6.48</v>
      </c>
      <c r="G959">
        <v>12.19</v>
      </c>
      <c r="H959">
        <v>7.02</v>
      </c>
      <c r="I959">
        <v>13.84</v>
      </c>
    </row>
    <row r="960" spans="1:9" x14ac:dyDescent="0.25">
      <c r="A960" s="2">
        <v>42982</v>
      </c>
      <c r="B960">
        <v>8.48</v>
      </c>
      <c r="C960">
        <v>9.08</v>
      </c>
      <c r="D960">
        <v>-1.3</v>
      </c>
      <c r="E960">
        <v>16.170000000000002</v>
      </c>
      <c r="F960">
        <v>6.6</v>
      </c>
      <c r="G960">
        <v>12.49</v>
      </c>
      <c r="H960">
        <v>7.04</v>
      </c>
      <c r="I960">
        <v>13.96</v>
      </c>
    </row>
    <row r="961" spans="1:9" x14ac:dyDescent="0.25">
      <c r="A961" s="2">
        <v>42983</v>
      </c>
      <c r="B961">
        <v>8.57</v>
      </c>
      <c r="C961">
        <v>9.08</v>
      </c>
      <c r="D961">
        <v>-1.2</v>
      </c>
      <c r="E961">
        <v>16.420000000000002</v>
      </c>
      <c r="F961">
        <v>6.6</v>
      </c>
      <c r="G961">
        <v>12.77</v>
      </c>
      <c r="H961">
        <v>7.09</v>
      </c>
      <c r="I961">
        <v>13.79</v>
      </c>
    </row>
    <row r="962" spans="1:9" x14ac:dyDescent="0.25">
      <c r="A962" s="2">
        <v>42984</v>
      </c>
      <c r="B962">
        <v>8.57</v>
      </c>
      <c r="C962">
        <v>9.1199999999999992</v>
      </c>
      <c r="D962">
        <v>-1.25</v>
      </c>
      <c r="E962">
        <v>16.11</v>
      </c>
      <c r="F962">
        <v>6.55</v>
      </c>
      <c r="G962">
        <v>12.68</v>
      </c>
      <c r="H962">
        <v>7.11</v>
      </c>
      <c r="I962">
        <v>13.77</v>
      </c>
    </row>
    <row r="963" spans="1:9" x14ac:dyDescent="0.25">
      <c r="A963" s="2">
        <v>42985</v>
      </c>
      <c r="B963">
        <v>8.59</v>
      </c>
      <c r="C963">
        <v>9.23</v>
      </c>
      <c r="D963">
        <v>-1.48</v>
      </c>
      <c r="E963">
        <v>16.12</v>
      </c>
      <c r="F963">
        <v>6.71</v>
      </c>
      <c r="G963">
        <v>12.7</v>
      </c>
      <c r="H963">
        <v>7.17</v>
      </c>
      <c r="I963">
        <v>13.75</v>
      </c>
    </row>
    <row r="964" spans="1:9" x14ac:dyDescent="0.25">
      <c r="A964" s="2">
        <v>42986</v>
      </c>
      <c r="B964">
        <v>8.56</v>
      </c>
      <c r="C964">
        <v>9.18</v>
      </c>
      <c r="D964">
        <v>-1.53</v>
      </c>
      <c r="E964">
        <v>16.059999999999999</v>
      </c>
      <c r="F964">
        <v>6.67</v>
      </c>
      <c r="G964">
        <v>12.61</v>
      </c>
      <c r="H964">
        <v>7.18</v>
      </c>
      <c r="I964">
        <v>13.8</v>
      </c>
    </row>
    <row r="965" spans="1:9" x14ac:dyDescent="0.25">
      <c r="A965" s="2">
        <v>42989</v>
      </c>
      <c r="B965">
        <v>8.65</v>
      </c>
      <c r="C965">
        <v>9.2200000000000006</v>
      </c>
      <c r="D965">
        <v>-1.61</v>
      </c>
      <c r="E965">
        <v>16.100000000000001</v>
      </c>
      <c r="F965">
        <v>6.73</v>
      </c>
      <c r="G965">
        <v>12.68</v>
      </c>
      <c r="H965">
        <v>7.23</v>
      </c>
      <c r="I965">
        <v>13.74</v>
      </c>
    </row>
    <row r="966" spans="1:9" x14ac:dyDescent="0.25">
      <c r="A966" s="2">
        <v>42990</v>
      </c>
      <c r="B966">
        <v>8.69</v>
      </c>
      <c r="C966">
        <v>9.26</v>
      </c>
      <c r="D966">
        <v>-1.57</v>
      </c>
      <c r="E966">
        <v>16.09</v>
      </c>
      <c r="F966">
        <v>6.68</v>
      </c>
      <c r="G966">
        <v>12.74</v>
      </c>
      <c r="H966">
        <v>7.28</v>
      </c>
      <c r="I966">
        <v>14.11</v>
      </c>
    </row>
    <row r="967" spans="1:9" x14ac:dyDescent="0.25">
      <c r="A967" s="2">
        <v>42991</v>
      </c>
      <c r="B967">
        <v>8.8800000000000008</v>
      </c>
      <c r="C967">
        <v>9.19</v>
      </c>
      <c r="D967">
        <v>-1.1200000000000001</v>
      </c>
      <c r="E967">
        <v>16.63</v>
      </c>
      <c r="F967">
        <v>6.67</v>
      </c>
      <c r="G967">
        <v>13.07</v>
      </c>
      <c r="H967">
        <v>7.27</v>
      </c>
      <c r="I967">
        <v>14.29</v>
      </c>
    </row>
    <row r="968" spans="1:9" x14ac:dyDescent="0.25">
      <c r="A968" s="2">
        <v>42992</v>
      </c>
      <c r="B968">
        <v>8.94</v>
      </c>
      <c r="C968">
        <v>9.1</v>
      </c>
      <c r="D968">
        <v>-1.07</v>
      </c>
      <c r="E968">
        <v>16.73</v>
      </c>
      <c r="F968">
        <v>6.52</v>
      </c>
      <c r="G968">
        <v>13.13</v>
      </c>
      <c r="H968">
        <v>7.18</v>
      </c>
      <c r="I968">
        <v>14.28</v>
      </c>
    </row>
    <row r="969" spans="1:9" x14ac:dyDescent="0.25">
      <c r="A969" s="2">
        <v>42993</v>
      </c>
      <c r="B969">
        <v>8.9700000000000006</v>
      </c>
      <c r="C969">
        <v>9.1300000000000008</v>
      </c>
      <c r="D969">
        <v>-0.93</v>
      </c>
      <c r="E969">
        <v>16.829999999999998</v>
      </c>
      <c r="F969">
        <v>6.57</v>
      </c>
      <c r="G969">
        <v>13.17</v>
      </c>
      <c r="H969">
        <v>7.17</v>
      </c>
      <c r="I969">
        <v>14.38</v>
      </c>
    </row>
    <row r="970" spans="1:9" x14ac:dyDescent="0.25">
      <c r="A970" s="2">
        <v>42996</v>
      </c>
      <c r="B970">
        <v>8.94</v>
      </c>
      <c r="C970">
        <v>9.09</v>
      </c>
      <c r="D970">
        <v>-0.99</v>
      </c>
      <c r="E970">
        <v>16.690000000000001</v>
      </c>
      <c r="F970">
        <v>6.36</v>
      </c>
      <c r="G970">
        <v>13.1</v>
      </c>
      <c r="H970">
        <v>7.12</v>
      </c>
      <c r="I970">
        <v>14.2</v>
      </c>
    </row>
    <row r="971" spans="1:9" x14ac:dyDescent="0.25">
      <c r="A971" s="2">
        <v>42997</v>
      </c>
      <c r="B971">
        <v>8.9499999999999993</v>
      </c>
      <c r="C971">
        <v>9.1</v>
      </c>
      <c r="D971">
        <v>-1.18</v>
      </c>
      <c r="E971">
        <v>16.52</v>
      </c>
      <c r="F971">
        <v>6.26</v>
      </c>
      <c r="G971">
        <v>13.02</v>
      </c>
      <c r="H971">
        <v>7.15</v>
      </c>
      <c r="I971">
        <v>14.36</v>
      </c>
    </row>
    <row r="972" spans="1:9" x14ac:dyDescent="0.25">
      <c r="A972" s="2">
        <v>42998</v>
      </c>
      <c r="B972">
        <v>8.94</v>
      </c>
      <c r="C972">
        <v>9.07</v>
      </c>
      <c r="D972">
        <v>-1.1299999999999999</v>
      </c>
      <c r="E972">
        <v>16.71</v>
      </c>
      <c r="F972">
        <v>6.22</v>
      </c>
      <c r="G972">
        <v>13.07</v>
      </c>
      <c r="H972">
        <v>7.11</v>
      </c>
      <c r="I972">
        <v>14.31</v>
      </c>
    </row>
    <row r="973" spans="1:9" x14ac:dyDescent="0.25">
      <c r="A973" s="2">
        <v>42999</v>
      </c>
      <c r="B973">
        <v>8.9</v>
      </c>
      <c r="C973">
        <v>9.0299999999999994</v>
      </c>
      <c r="D973">
        <v>-1.1200000000000001</v>
      </c>
      <c r="E973">
        <v>16.670000000000002</v>
      </c>
      <c r="F973">
        <v>6.19</v>
      </c>
      <c r="G973">
        <v>13.02</v>
      </c>
      <c r="H973">
        <v>7.1</v>
      </c>
      <c r="I973">
        <v>14.32</v>
      </c>
    </row>
    <row r="974" spans="1:9" x14ac:dyDescent="0.25">
      <c r="A974" s="2">
        <v>43000</v>
      </c>
      <c r="B974">
        <v>8.98</v>
      </c>
      <c r="C974">
        <v>9.0399999999999991</v>
      </c>
      <c r="D974">
        <v>-1.03</v>
      </c>
      <c r="E974">
        <v>16.66</v>
      </c>
      <c r="F974">
        <v>6.18</v>
      </c>
      <c r="G974">
        <v>13.09</v>
      </c>
      <c r="H974">
        <v>7.13</v>
      </c>
      <c r="I974">
        <v>14.4</v>
      </c>
    </row>
    <row r="975" spans="1:9" x14ac:dyDescent="0.25">
      <c r="A975" s="2">
        <v>43003</v>
      </c>
      <c r="B975">
        <v>8.98</v>
      </c>
      <c r="C975">
        <v>9.01</v>
      </c>
      <c r="D975">
        <v>-1.04</v>
      </c>
      <c r="E975">
        <v>16.649999999999999</v>
      </c>
      <c r="F975">
        <v>6.12</v>
      </c>
      <c r="G975">
        <v>13.02</v>
      </c>
      <c r="H975">
        <v>7.08</v>
      </c>
      <c r="I975">
        <v>14.31</v>
      </c>
    </row>
    <row r="976" spans="1:9" x14ac:dyDescent="0.25">
      <c r="A976" s="2">
        <v>43004</v>
      </c>
      <c r="B976">
        <v>9.09</v>
      </c>
      <c r="C976">
        <v>9.08</v>
      </c>
      <c r="D976">
        <v>-0.97</v>
      </c>
      <c r="E976">
        <v>16.59</v>
      </c>
      <c r="F976">
        <v>6.15</v>
      </c>
      <c r="G976">
        <v>13.1</v>
      </c>
      <c r="H976">
        <v>7.13</v>
      </c>
      <c r="I976">
        <v>14.36</v>
      </c>
    </row>
    <row r="977" spans="1:9" x14ac:dyDescent="0.25">
      <c r="A977" s="2">
        <v>43005</v>
      </c>
      <c r="B977">
        <v>9.18</v>
      </c>
      <c r="C977">
        <v>9.1999999999999993</v>
      </c>
      <c r="D977">
        <v>-0.52</v>
      </c>
      <c r="E977">
        <v>16.670000000000002</v>
      </c>
      <c r="F977">
        <v>6.28</v>
      </c>
      <c r="G977">
        <v>13.33</v>
      </c>
      <c r="H977">
        <v>7.18</v>
      </c>
      <c r="I977">
        <v>14.48</v>
      </c>
    </row>
    <row r="978" spans="1:9" x14ac:dyDescent="0.25">
      <c r="A978" s="2">
        <v>43006</v>
      </c>
      <c r="B978">
        <v>9.16</v>
      </c>
      <c r="C978">
        <v>9.14</v>
      </c>
      <c r="D978">
        <v>-0.31</v>
      </c>
      <c r="E978">
        <v>16.82</v>
      </c>
      <c r="F978">
        <v>6.36</v>
      </c>
      <c r="G978">
        <v>13.33</v>
      </c>
      <c r="H978">
        <v>7.11</v>
      </c>
      <c r="I978">
        <v>14.49</v>
      </c>
    </row>
    <row r="979" spans="1:9" x14ac:dyDescent="0.25">
      <c r="A979" s="2">
        <v>43007</v>
      </c>
      <c r="B979">
        <v>9.15</v>
      </c>
      <c r="C979">
        <v>9.01</v>
      </c>
      <c r="D979">
        <v>-0.27</v>
      </c>
      <c r="E979">
        <v>16.82</v>
      </c>
      <c r="F979">
        <v>6.18</v>
      </c>
      <c r="G979">
        <v>13.26</v>
      </c>
      <c r="H979">
        <v>6.99</v>
      </c>
      <c r="I979">
        <v>14.45</v>
      </c>
    </row>
    <row r="980" spans="1:9" x14ac:dyDescent="0.25">
      <c r="A980" s="2">
        <v>43010</v>
      </c>
      <c r="B980">
        <v>9.19</v>
      </c>
      <c r="C980">
        <v>9.0299999999999994</v>
      </c>
      <c r="D980">
        <v>-0.36</v>
      </c>
      <c r="E980">
        <v>16.809999999999999</v>
      </c>
      <c r="F980">
        <v>6.13</v>
      </c>
      <c r="G980">
        <v>13.19</v>
      </c>
      <c r="H980">
        <v>6.96</v>
      </c>
      <c r="I980">
        <v>14.64</v>
      </c>
    </row>
    <row r="981" spans="1:9" x14ac:dyDescent="0.25">
      <c r="A981" s="2">
        <v>43011</v>
      </c>
      <c r="B981">
        <v>9.35</v>
      </c>
      <c r="C981">
        <v>9.07</v>
      </c>
      <c r="D981">
        <v>-0.18</v>
      </c>
      <c r="E981">
        <v>17.010000000000002</v>
      </c>
      <c r="F981">
        <v>6.2</v>
      </c>
      <c r="G981">
        <v>13.44</v>
      </c>
      <c r="H981">
        <v>7.02</v>
      </c>
      <c r="I981">
        <v>14.82</v>
      </c>
    </row>
    <row r="982" spans="1:9" x14ac:dyDescent="0.25">
      <c r="A982" s="2">
        <v>43012</v>
      </c>
      <c r="B982">
        <v>9.5</v>
      </c>
      <c r="C982">
        <v>9.06</v>
      </c>
      <c r="D982">
        <v>0.16</v>
      </c>
      <c r="E982">
        <v>17.329999999999998</v>
      </c>
      <c r="F982">
        <v>6.33</v>
      </c>
      <c r="G982">
        <v>13.69</v>
      </c>
      <c r="H982">
        <v>7.01</v>
      </c>
      <c r="I982">
        <v>14.87</v>
      </c>
    </row>
    <row r="983" spans="1:9" x14ac:dyDescent="0.25">
      <c r="A983" s="2">
        <v>43013</v>
      </c>
      <c r="B983">
        <v>9.58</v>
      </c>
      <c r="C983">
        <v>9.11</v>
      </c>
      <c r="D983">
        <v>0.19</v>
      </c>
      <c r="E983">
        <v>17.41</v>
      </c>
      <c r="F983">
        <v>6.35</v>
      </c>
      <c r="G983">
        <v>13.71</v>
      </c>
      <c r="H983">
        <v>6.99</v>
      </c>
      <c r="I983">
        <v>14.94</v>
      </c>
    </row>
    <row r="984" spans="1:9" x14ac:dyDescent="0.25">
      <c r="A984" s="2">
        <v>43014</v>
      </c>
      <c r="B984">
        <v>9.64</v>
      </c>
      <c r="C984">
        <v>9.16</v>
      </c>
      <c r="D984">
        <v>0.34</v>
      </c>
      <c r="E984">
        <v>17.5</v>
      </c>
      <c r="F984">
        <v>6.34</v>
      </c>
      <c r="G984">
        <v>13.83</v>
      </c>
      <c r="H984">
        <v>7.05</v>
      </c>
      <c r="I984">
        <v>15.18</v>
      </c>
    </row>
    <row r="985" spans="1:9" x14ac:dyDescent="0.25">
      <c r="A985" s="2">
        <v>43017</v>
      </c>
      <c r="B985">
        <v>9.7100000000000009</v>
      </c>
      <c r="C985">
        <v>9.1300000000000008</v>
      </c>
      <c r="D985">
        <v>0.56000000000000005</v>
      </c>
      <c r="E985">
        <v>17.72</v>
      </c>
      <c r="F985">
        <v>6.42</v>
      </c>
      <c r="G985">
        <v>13.94</v>
      </c>
      <c r="H985">
        <v>7.04</v>
      </c>
      <c r="I985">
        <v>15.08</v>
      </c>
    </row>
    <row r="986" spans="1:9" x14ac:dyDescent="0.25">
      <c r="A986" s="2">
        <v>43018</v>
      </c>
      <c r="B986">
        <v>9.67</v>
      </c>
      <c r="C986">
        <v>9.07</v>
      </c>
      <c r="D986">
        <v>0.41</v>
      </c>
      <c r="E986">
        <v>17.59</v>
      </c>
      <c r="F986">
        <v>6.33</v>
      </c>
      <c r="G986">
        <v>13.81</v>
      </c>
      <c r="H986">
        <v>6.95</v>
      </c>
      <c r="I986">
        <v>15.09</v>
      </c>
    </row>
    <row r="987" spans="1:9" x14ac:dyDescent="0.25">
      <c r="A987" s="2">
        <v>43019</v>
      </c>
      <c r="B987">
        <v>9.61</v>
      </c>
      <c r="C987">
        <v>9.06</v>
      </c>
      <c r="D987">
        <v>0.4</v>
      </c>
      <c r="E987">
        <v>17.600000000000001</v>
      </c>
      <c r="F987">
        <v>6.33</v>
      </c>
      <c r="G987">
        <v>13.74</v>
      </c>
      <c r="H987">
        <v>6.9</v>
      </c>
      <c r="I987">
        <v>15.06</v>
      </c>
    </row>
    <row r="988" spans="1:9" x14ac:dyDescent="0.25">
      <c r="A988" s="2">
        <v>43020</v>
      </c>
      <c r="B988">
        <v>9.6</v>
      </c>
      <c r="C988">
        <v>9.09</v>
      </c>
      <c r="D988">
        <v>0.24</v>
      </c>
      <c r="E988">
        <v>17.559999999999999</v>
      </c>
      <c r="F988">
        <v>6.32</v>
      </c>
      <c r="G988">
        <v>13.74</v>
      </c>
      <c r="H988">
        <v>6.92</v>
      </c>
      <c r="I988">
        <v>15.09</v>
      </c>
    </row>
    <row r="989" spans="1:9" x14ac:dyDescent="0.25">
      <c r="A989" s="2">
        <v>43021</v>
      </c>
      <c r="B989">
        <v>9.58</v>
      </c>
      <c r="C989">
        <v>9.08</v>
      </c>
      <c r="D989">
        <v>0.21</v>
      </c>
      <c r="E989">
        <v>17.579999999999998</v>
      </c>
      <c r="F989">
        <v>6.27</v>
      </c>
      <c r="G989">
        <v>13.7</v>
      </c>
      <c r="H989">
        <v>6.94</v>
      </c>
      <c r="I989">
        <v>15.15</v>
      </c>
    </row>
    <row r="990" spans="1:9" x14ac:dyDescent="0.25">
      <c r="A990" s="2">
        <v>43024</v>
      </c>
      <c r="B990">
        <v>9.68</v>
      </c>
      <c r="C990">
        <v>9.17</v>
      </c>
      <c r="D990">
        <v>0.28999999999999998</v>
      </c>
      <c r="E990">
        <v>17.66</v>
      </c>
      <c r="F990">
        <v>6.32</v>
      </c>
      <c r="G990">
        <v>13.78</v>
      </c>
      <c r="H990">
        <v>6.98</v>
      </c>
      <c r="I990">
        <v>15.33</v>
      </c>
    </row>
    <row r="991" spans="1:9" x14ac:dyDescent="0.25">
      <c r="A991" s="2">
        <v>43025</v>
      </c>
      <c r="B991">
        <v>9.77</v>
      </c>
      <c r="C991">
        <v>9.24</v>
      </c>
      <c r="D991">
        <v>0.57999999999999996</v>
      </c>
      <c r="E991">
        <v>17.829999999999998</v>
      </c>
      <c r="F991">
        <v>6.47</v>
      </c>
      <c r="G991">
        <v>13.95</v>
      </c>
      <c r="H991">
        <v>7.05</v>
      </c>
      <c r="I991">
        <v>15.4</v>
      </c>
    </row>
    <row r="992" spans="1:9" x14ac:dyDescent="0.25">
      <c r="A992" s="2">
        <v>43026</v>
      </c>
      <c r="B992">
        <v>9.83</v>
      </c>
      <c r="C992">
        <v>9.27</v>
      </c>
      <c r="D992">
        <v>0.85</v>
      </c>
      <c r="E992">
        <v>17.95</v>
      </c>
      <c r="F992">
        <v>6.64</v>
      </c>
      <c r="G992">
        <v>14.04</v>
      </c>
      <c r="H992">
        <v>7.1</v>
      </c>
      <c r="I992">
        <v>15.43</v>
      </c>
    </row>
    <row r="993" spans="1:9" x14ac:dyDescent="0.25">
      <c r="A993" s="2">
        <v>43027</v>
      </c>
      <c r="B993">
        <v>9.86</v>
      </c>
      <c r="C993">
        <v>9.27</v>
      </c>
      <c r="D993">
        <v>0.92</v>
      </c>
      <c r="E993">
        <v>18.02</v>
      </c>
      <c r="F993">
        <v>6.73</v>
      </c>
      <c r="G993">
        <v>14.05</v>
      </c>
      <c r="H993">
        <v>7.1</v>
      </c>
      <c r="I993">
        <v>15.48</v>
      </c>
    </row>
    <row r="994" spans="1:9" x14ac:dyDescent="0.25">
      <c r="A994" s="2">
        <v>43028</v>
      </c>
      <c r="B994">
        <v>9.8000000000000007</v>
      </c>
      <c r="C994">
        <v>9.1999999999999993</v>
      </c>
      <c r="D994">
        <v>0.69</v>
      </c>
      <c r="E994">
        <v>18.079999999999998</v>
      </c>
      <c r="F994">
        <v>6.66</v>
      </c>
      <c r="G994">
        <v>14.02</v>
      </c>
      <c r="H994">
        <v>7.07</v>
      </c>
      <c r="I994">
        <v>15.17</v>
      </c>
    </row>
    <row r="995" spans="1:9" x14ac:dyDescent="0.25">
      <c r="A995" s="2">
        <v>43031</v>
      </c>
      <c r="B995">
        <v>9.68</v>
      </c>
      <c r="C995">
        <v>9.1999999999999993</v>
      </c>
      <c r="D995">
        <v>0.56000000000000005</v>
      </c>
      <c r="E995">
        <v>17.82</v>
      </c>
      <c r="F995">
        <v>6.64</v>
      </c>
      <c r="G995">
        <v>13.83</v>
      </c>
      <c r="H995">
        <v>7.09</v>
      </c>
      <c r="I995">
        <v>15.32</v>
      </c>
    </row>
    <row r="996" spans="1:9" x14ac:dyDescent="0.25">
      <c r="A996" s="2">
        <v>43032</v>
      </c>
      <c r="B996">
        <v>9.82</v>
      </c>
      <c r="C996">
        <v>9.18</v>
      </c>
      <c r="D996">
        <v>0.82</v>
      </c>
      <c r="E996">
        <v>18</v>
      </c>
      <c r="F996">
        <v>6.54</v>
      </c>
      <c r="G996">
        <v>13.97</v>
      </c>
      <c r="H996">
        <v>7.03</v>
      </c>
      <c r="I996">
        <v>15.4</v>
      </c>
    </row>
    <row r="997" spans="1:9" x14ac:dyDescent="0.25">
      <c r="A997" s="2">
        <v>43033</v>
      </c>
      <c r="B997">
        <v>9.8000000000000007</v>
      </c>
      <c r="C997">
        <v>9.14</v>
      </c>
      <c r="D997">
        <v>0.83</v>
      </c>
      <c r="E997">
        <v>18.100000000000001</v>
      </c>
      <c r="F997">
        <v>6.62</v>
      </c>
      <c r="G997">
        <v>14.08</v>
      </c>
      <c r="H997">
        <v>7.03</v>
      </c>
      <c r="I997">
        <v>15.35</v>
      </c>
    </row>
    <row r="998" spans="1:9" x14ac:dyDescent="0.25">
      <c r="A998" s="2">
        <v>43034</v>
      </c>
      <c r="B998">
        <v>9.69</v>
      </c>
      <c r="C998">
        <v>9.06</v>
      </c>
      <c r="D998">
        <v>0.64</v>
      </c>
      <c r="E998">
        <v>17.940000000000001</v>
      </c>
      <c r="F998">
        <v>6.47</v>
      </c>
      <c r="G998">
        <v>13.92</v>
      </c>
      <c r="H998">
        <v>6.95</v>
      </c>
      <c r="I998">
        <v>15.09</v>
      </c>
    </row>
    <row r="999" spans="1:9" x14ac:dyDescent="0.25">
      <c r="A999" s="2">
        <v>43035</v>
      </c>
      <c r="B999">
        <v>9.6</v>
      </c>
      <c r="C999">
        <v>9.0299999999999994</v>
      </c>
      <c r="D999">
        <v>0.47</v>
      </c>
      <c r="E999">
        <v>17.579999999999998</v>
      </c>
      <c r="F999">
        <v>6.34</v>
      </c>
      <c r="G999">
        <v>13.84</v>
      </c>
      <c r="H999">
        <v>6.88</v>
      </c>
      <c r="I999">
        <v>15.49</v>
      </c>
    </row>
    <row r="1000" spans="1:9" x14ac:dyDescent="0.25">
      <c r="A1000" s="2">
        <v>43038</v>
      </c>
      <c r="B1000">
        <v>9.76</v>
      </c>
      <c r="C1000">
        <v>9.11</v>
      </c>
      <c r="D1000">
        <v>1.1499999999999999</v>
      </c>
      <c r="E1000">
        <v>18.059999999999999</v>
      </c>
      <c r="F1000">
        <v>6.54</v>
      </c>
      <c r="G1000">
        <v>14.04</v>
      </c>
      <c r="H1000">
        <v>6.89</v>
      </c>
      <c r="I1000">
        <v>15.9</v>
      </c>
    </row>
    <row r="1001" spans="1:9" x14ac:dyDescent="0.25">
      <c r="A1001" s="2">
        <v>43039</v>
      </c>
      <c r="B1001">
        <v>10.06</v>
      </c>
      <c r="C1001">
        <v>9.1999999999999993</v>
      </c>
      <c r="D1001">
        <v>1.82</v>
      </c>
      <c r="E1001">
        <v>18.45</v>
      </c>
      <c r="F1001">
        <v>6.81</v>
      </c>
      <c r="G1001">
        <v>14.28</v>
      </c>
      <c r="H1001">
        <v>6.86</v>
      </c>
      <c r="I1001">
        <v>15.87</v>
      </c>
    </row>
    <row r="1002" spans="1:9" x14ac:dyDescent="0.25">
      <c r="A1002" s="2">
        <v>43040</v>
      </c>
      <c r="B1002">
        <v>10.119999999999999</v>
      </c>
      <c r="C1002">
        <v>9.2899999999999991</v>
      </c>
      <c r="D1002">
        <v>1.72</v>
      </c>
      <c r="E1002">
        <v>18.38</v>
      </c>
      <c r="F1002">
        <v>6.93</v>
      </c>
      <c r="G1002">
        <v>14.32</v>
      </c>
      <c r="H1002">
        <v>6.94</v>
      </c>
      <c r="I1002">
        <v>15.94</v>
      </c>
    </row>
    <row r="1003" spans="1:9" x14ac:dyDescent="0.25">
      <c r="A1003" s="2">
        <v>43041</v>
      </c>
      <c r="B1003">
        <v>10.210000000000001</v>
      </c>
      <c r="C1003">
        <v>9.33</v>
      </c>
      <c r="D1003">
        <v>1.7</v>
      </c>
      <c r="E1003">
        <v>18.39</v>
      </c>
      <c r="F1003">
        <v>6.97</v>
      </c>
      <c r="G1003">
        <v>14.36</v>
      </c>
      <c r="H1003">
        <v>6.96</v>
      </c>
      <c r="I1003">
        <v>16.3</v>
      </c>
    </row>
    <row r="1004" spans="1:9" x14ac:dyDescent="0.25">
      <c r="A1004" s="2">
        <v>43042</v>
      </c>
      <c r="B1004">
        <v>10.3</v>
      </c>
      <c r="C1004">
        <v>9.32</v>
      </c>
      <c r="D1004">
        <v>1.89</v>
      </c>
      <c r="E1004">
        <v>18.760000000000002</v>
      </c>
      <c r="F1004">
        <v>7.08</v>
      </c>
      <c r="G1004">
        <v>14.47</v>
      </c>
      <c r="H1004">
        <v>6.97</v>
      </c>
      <c r="I1004">
        <v>16.14</v>
      </c>
    </row>
    <row r="1005" spans="1:9" x14ac:dyDescent="0.25">
      <c r="A1005" s="2">
        <v>43045</v>
      </c>
      <c r="B1005">
        <v>10.31</v>
      </c>
      <c r="C1005">
        <v>9.3699999999999992</v>
      </c>
      <c r="D1005">
        <v>1.81</v>
      </c>
      <c r="E1005">
        <v>18.66</v>
      </c>
      <c r="F1005">
        <v>7.08</v>
      </c>
      <c r="G1005">
        <v>14.38</v>
      </c>
      <c r="H1005">
        <v>6.97</v>
      </c>
      <c r="I1005">
        <v>16.28</v>
      </c>
    </row>
    <row r="1006" spans="1:9" x14ac:dyDescent="0.25">
      <c r="A1006" s="2">
        <v>43046</v>
      </c>
      <c r="B1006">
        <v>10.45</v>
      </c>
      <c r="C1006">
        <v>9.4499999999999993</v>
      </c>
      <c r="D1006">
        <v>2.15</v>
      </c>
      <c r="E1006">
        <v>18.78</v>
      </c>
      <c r="F1006">
        <v>7.07</v>
      </c>
      <c r="G1006">
        <v>14.49</v>
      </c>
      <c r="H1006">
        <v>6.95</v>
      </c>
      <c r="I1006">
        <v>16.43</v>
      </c>
    </row>
    <row r="1007" spans="1:9" x14ac:dyDescent="0.25">
      <c r="A1007" s="2">
        <v>43047</v>
      </c>
      <c r="B1007">
        <v>10.52</v>
      </c>
      <c r="C1007">
        <v>9.4700000000000006</v>
      </c>
      <c r="D1007">
        <v>2.41</v>
      </c>
      <c r="E1007">
        <v>18.88</v>
      </c>
      <c r="F1007">
        <v>7.1</v>
      </c>
      <c r="G1007">
        <v>14.63</v>
      </c>
      <c r="H1007">
        <v>6.96</v>
      </c>
      <c r="I1007">
        <v>16.41</v>
      </c>
    </row>
    <row r="1008" spans="1:9" x14ac:dyDescent="0.25">
      <c r="A1008" s="2">
        <v>43048</v>
      </c>
      <c r="B1008">
        <v>10.47</v>
      </c>
      <c r="C1008">
        <v>9.44</v>
      </c>
      <c r="D1008">
        <v>2.41</v>
      </c>
      <c r="E1008">
        <v>18.84</v>
      </c>
      <c r="F1008">
        <v>7.08</v>
      </c>
      <c r="G1008">
        <v>14.66</v>
      </c>
      <c r="H1008">
        <v>6.97</v>
      </c>
      <c r="I1008">
        <v>16.43</v>
      </c>
    </row>
    <row r="1009" spans="1:9" x14ac:dyDescent="0.25">
      <c r="A1009" s="2">
        <v>43049</v>
      </c>
      <c r="B1009">
        <v>10.24</v>
      </c>
      <c r="C1009">
        <v>9.32</v>
      </c>
      <c r="D1009">
        <v>2.2999999999999998</v>
      </c>
      <c r="E1009">
        <v>18.78</v>
      </c>
      <c r="F1009">
        <v>6.98</v>
      </c>
      <c r="G1009">
        <v>14.46</v>
      </c>
      <c r="H1009">
        <v>6.93</v>
      </c>
      <c r="I1009">
        <v>15.99</v>
      </c>
    </row>
    <row r="1010" spans="1:9" x14ac:dyDescent="0.25">
      <c r="A1010" s="2">
        <v>43052</v>
      </c>
      <c r="B1010">
        <v>9.9600000000000009</v>
      </c>
      <c r="C1010">
        <v>9.1999999999999993</v>
      </c>
      <c r="D1010">
        <v>1.87</v>
      </c>
      <c r="E1010">
        <v>18.38</v>
      </c>
      <c r="F1010">
        <v>6.71</v>
      </c>
      <c r="G1010">
        <v>14.2</v>
      </c>
      <c r="H1010">
        <v>6.87</v>
      </c>
      <c r="I1010">
        <v>15.75</v>
      </c>
    </row>
    <row r="1011" spans="1:9" x14ac:dyDescent="0.25">
      <c r="A1011" s="2">
        <v>43053</v>
      </c>
      <c r="B1011">
        <v>9.7200000000000006</v>
      </c>
      <c r="C1011">
        <v>9.1199999999999992</v>
      </c>
      <c r="D1011">
        <v>1.59</v>
      </c>
      <c r="E1011">
        <v>18.22</v>
      </c>
      <c r="F1011">
        <v>6.58</v>
      </c>
      <c r="G1011">
        <v>14.02</v>
      </c>
      <c r="H1011">
        <v>6.79</v>
      </c>
      <c r="I1011">
        <v>15.62</v>
      </c>
    </row>
    <row r="1012" spans="1:9" x14ac:dyDescent="0.25">
      <c r="A1012" s="2">
        <v>43054</v>
      </c>
      <c r="B1012">
        <v>9.5299999999999994</v>
      </c>
      <c r="C1012">
        <v>9.0299999999999994</v>
      </c>
      <c r="D1012">
        <v>1.31</v>
      </c>
      <c r="E1012">
        <v>18.21</v>
      </c>
      <c r="F1012">
        <v>6.58</v>
      </c>
      <c r="G1012">
        <v>13.76</v>
      </c>
      <c r="H1012">
        <v>6.73</v>
      </c>
      <c r="I1012">
        <v>15.32</v>
      </c>
    </row>
    <row r="1013" spans="1:9" x14ac:dyDescent="0.25">
      <c r="A1013" s="2">
        <v>43055</v>
      </c>
      <c r="B1013">
        <v>9.42</v>
      </c>
      <c r="C1013">
        <v>9.02</v>
      </c>
      <c r="D1013">
        <v>0.83</v>
      </c>
      <c r="E1013">
        <v>17.850000000000001</v>
      </c>
      <c r="F1013">
        <v>6.44</v>
      </c>
      <c r="G1013">
        <v>13.53</v>
      </c>
      <c r="H1013">
        <v>6.66</v>
      </c>
      <c r="I1013">
        <v>15.14</v>
      </c>
    </row>
    <row r="1014" spans="1:9" x14ac:dyDescent="0.25">
      <c r="A1014" s="2">
        <v>43056</v>
      </c>
      <c r="B1014">
        <v>9.27</v>
      </c>
      <c r="C1014">
        <v>9.06</v>
      </c>
      <c r="D1014">
        <v>0.67</v>
      </c>
      <c r="E1014">
        <v>17.649999999999999</v>
      </c>
      <c r="F1014">
        <v>6.42</v>
      </c>
      <c r="G1014">
        <v>13.06</v>
      </c>
      <c r="H1014">
        <v>6.67</v>
      </c>
      <c r="I1014">
        <v>15.45</v>
      </c>
    </row>
    <row r="1015" spans="1:9" x14ac:dyDescent="0.25">
      <c r="A1015" s="2">
        <v>43060</v>
      </c>
      <c r="B1015">
        <v>9.5</v>
      </c>
      <c r="C1015">
        <v>9.0399999999999991</v>
      </c>
      <c r="D1015">
        <v>1</v>
      </c>
      <c r="E1015">
        <v>18.010000000000002</v>
      </c>
      <c r="F1015">
        <v>6.56</v>
      </c>
      <c r="G1015">
        <v>13.49</v>
      </c>
      <c r="H1015">
        <v>6.69</v>
      </c>
      <c r="I1015">
        <v>15.47</v>
      </c>
    </row>
    <row r="1016" spans="1:9" x14ac:dyDescent="0.25">
      <c r="A1016" s="2">
        <v>43061</v>
      </c>
      <c r="B1016">
        <v>9.64</v>
      </c>
      <c r="C1016">
        <v>9.15</v>
      </c>
      <c r="D1016">
        <v>1.33</v>
      </c>
      <c r="E1016">
        <v>18.149999999999999</v>
      </c>
      <c r="F1016">
        <v>6.67</v>
      </c>
      <c r="G1016">
        <v>13.76</v>
      </c>
      <c r="H1016">
        <v>6.78</v>
      </c>
      <c r="I1016">
        <v>15.97</v>
      </c>
    </row>
    <row r="1017" spans="1:9" x14ac:dyDescent="0.25">
      <c r="A1017" s="2">
        <v>43062</v>
      </c>
      <c r="B1017">
        <v>9.84</v>
      </c>
      <c r="C1017">
        <v>9.17</v>
      </c>
      <c r="D1017">
        <v>1.59</v>
      </c>
      <c r="E1017">
        <v>18.5</v>
      </c>
      <c r="F1017">
        <v>6.74</v>
      </c>
      <c r="G1017">
        <v>14.08</v>
      </c>
      <c r="H1017">
        <v>6.79</v>
      </c>
      <c r="I1017">
        <v>15.84</v>
      </c>
    </row>
    <row r="1018" spans="1:9" x14ac:dyDescent="0.25">
      <c r="A1018" s="2">
        <v>43063</v>
      </c>
      <c r="B1018">
        <v>9.77</v>
      </c>
      <c r="C1018">
        <v>9.18</v>
      </c>
      <c r="D1018">
        <v>1.41</v>
      </c>
      <c r="E1018">
        <v>18.37</v>
      </c>
      <c r="F1018">
        <v>6.71</v>
      </c>
      <c r="G1018">
        <v>14.06</v>
      </c>
      <c r="H1018">
        <v>6.84</v>
      </c>
      <c r="I1018">
        <v>15.77</v>
      </c>
    </row>
    <row r="1019" spans="1:9" x14ac:dyDescent="0.25">
      <c r="A1019" s="2">
        <v>43066</v>
      </c>
      <c r="B1019">
        <v>9.69</v>
      </c>
      <c r="C1019">
        <v>9.18</v>
      </c>
      <c r="D1019">
        <v>1.26</v>
      </c>
      <c r="E1019">
        <v>18.3</v>
      </c>
      <c r="F1019">
        <v>6.71</v>
      </c>
      <c r="G1019">
        <v>14</v>
      </c>
      <c r="H1019">
        <v>6.87</v>
      </c>
      <c r="I1019">
        <v>15.7</v>
      </c>
    </row>
    <row r="1020" spans="1:9" x14ac:dyDescent="0.25">
      <c r="A1020" s="2">
        <v>43067</v>
      </c>
      <c r="B1020">
        <v>9.68</v>
      </c>
      <c r="C1020">
        <v>9.15</v>
      </c>
      <c r="D1020">
        <v>0.89</v>
      </c>
      <c r="E1020">
        <v>18.22</v>
      </c>
      <c r="F1020">
        <v>6.62</v>
      </c>
      <c r="G1020">
        <v>13.87</v>
      </c>
      <c r="H1020">
        <v>6.87</v>
      </c>
      <c r="I1020">
        <v>15.53</v>
      </c>
    </row>
    <row r="1021" spans="1:9" x14ac:dyDescent="0.25">
      <c r="A1021" s="2">
        <v>43068</v>
      </c>
      <c r="B1021">
        <v>9.6</v>
      </c>
      <c r="C1021">
        <v>9.2100000000000009</v>
      </c>
      <c r="D1021">
        <v>1.01</v>
      </c>
      <c r="E1021">
        <v>18.100000000000001</v>
      </c>
      <c r="F1021">
        <v>6.71</v>
      </c>
      <c r="G1021">
        <v>13.84</v>
      </c>
      <c r="H1021">
        <v>6.92</v>
      </c>
      <c r="I1021">
        <v>15.76</v>
      </c>
    </row>
    <row r="1022" spans="1:9" x14ac:dyDescent="0.25">
      <c r="A1022" s="2">
        <v>43069</v>
      </c>
      <c r="B1022">
        <v>9.8000000000000007</v>
      </c>
      <c r="C1022">
        <v>9.2200000000000006</v>
      </c>
      <c r="D1022">
        <v>1.5</v>
      </c>
      <c r="E1022">
        <v>18.350000000000001</v>
      </c>
      <c r="F1022">
        <v>6.76</v>
      </c>
      <c r="G1022">
        <v>13.95</v>
      </c>
      <c r="H1022">
        <v>6.93</v>
      </c>
      <c r="I1022">
        <v>15.7</v>
      </c>
    </row>
    <row r="1023" spans="1:9" x14ac:dyDescent="0.25">
      <c r="A1023" s="2">
        <v>43070</v>
      </c>
      <c r="B1023">
        <v>9.81</v>
      </c>
      <c r="C1023">
        <v>9.15</v>
      </c>
      <c r="D1023">
        <v>1.42</v>
      </c>
      <c r="E1023">
        <v>18.38</v>
      </c>
      <c r="F1023">
        <v>6.61</v>
      </c>
      <c r="G1023">
        <v>14.18</v>
      </c>
      <c r="H1023">
        <v>6.89</v>
      </c>
      <c r="I1023">
        <v>15.56</v>
      </c>
    </row>
    <row r="1024" spans="1:9" x14ac:dyDescent="0.25">
      <c r="A1024" s="2">
        <v>43073</v>
      </c>
      <c r="B1024">
        <v>9.7100000000000009</v>
      </c>
      <c r="C1024">
        <v>9.1300000000000008</v>
      </c>
      <c r="D1024">
        <v>1.45</v>
      </c>
      <c r="E1024">
        <v>18.309999999999999</v>
      </c>
      <c r="F1024">
        <v>6.6</v>
      </c>
      <c r="G1024">
        <v>13.94</v>
      </c>
      <c r="H1024">
        <v>6.85</v>
      </c>
      <c r="I1024">
        <v>15.21</v>
      </c>
    </row>
    <row r="1025" spans="1:9" x14ac:dyDescent="0.25">
      <c r="A1025" s="2">
        <v>43074</v>
      </c>
      <c r="B1025">
        <v>9.67</v>
      </c>
      <c r="C1025">
        <v>9.1999999999999993</v>
      </c>
      <c r="D1025">
        <v>1.68</v>
      </c>
      <c r="E1025">
        <v>18.010000000000002</v>
      </c>
      <c r="F1025">
        <v>6.72</v>
      </c>
      <c r="G1025">
        <v>13.86</v>
      </c>
      <c r="H1025">
        <v>6.88</v>
      </c>
      <c r="I1025">
        <v>15.67</v>
      </c>
    </row>
    <row r="1026" spans="1:9" x14ac:dyDescent="0.25">
      <c r="A1026" s="2">
        <v>43075</v>
      </c>
      <c r="B1026">
        <v>9.76</v>
      </c>
      <c r="C1026">
        <v>9.24</v>
      </c>
      <c r="D1026">
        <v>1.67</v>
      </c>
      <c r="E1026">
        <v>18.5</v>
      </c>
      <c r="F1026">
        <v>6.74</v>
      </c>
      <c r="G1026">
        <v>14.12</v>
      </c>
      <c r="H1026">
        <v>6.92</v>
      </c>
      <c r="I1026">
        <v>15.71</v>
      </c>
    </row>
    <row r="1027" spans="1:9" x14ac:dyDescent="0.25">
      <c r="A1027" s="2">
        <v>43076</v>
      </c>
      <c r="B1027">
        <v>9.68</v>
      </c>
      <c r="C1027">
        <v>9.33</v>
      </c>
      <c r="D1027">
        <v>1.7</v>
      </c>
      <c r="E1027">
        <v>18.5</v>
      </c>
      <c r="F1027">
        <v>6.82</v>
      </c>
      <c r="G1027">
        <v>14.04</v>
      </c>
      <c r="H1027">
        <v>6.96</v>
      </c>
      <c r="I1027">
        <v>15.51</v>
      </c>
    </row>
    <row r="1028" spans="1:9" x14ac:dyDescent="0.25">
      <c r="A1028" s="2">
        <v>43077</v>
      </c>
      <c r="B1028">
        <v>9.68</v>
      </c>
      <c r="C1028">
        <v>9.3800000000000008</v>
      </c>
      <c r="D1028">
        <v>1.8</v>
      </c>
      <c r="E1028">
        <v>18.38</v>
      </c>
      <c r="F1028">
        <v>6.99</v>
      </c>
      <c r="G1028">
        <v>13.99</v>
      </c>
      <c r="H1028">
        <v>7</v>
      </c>
      <c r="I1028">
        <v>15.55</v>
      </c>
    </row>
    <row r="1029" spans="1:9" x14ac:dyDescent="0.25">
      <c r="A1029" s="2">
        <v>43080</v>
      </c>
      <c r="B1029">
        <v>9.76</v>
      </c>
      <c r="C1029">
        <v>9.32</v>
      </c>
      <c r="D1029">
        <v>2</v>
      </c>
      <c r="E1029">
        <v>18.440000000000001</v>
      </c>
      <c r="F1029">
        <v>6.97</v>
      </c>
      <c r="G1029">
        <v>14.07</v>
      </c>
      <c r="H1029">
        <v>6.95</v>
      </c>
      <c r="I1029">
        <v>15.84</v>
      </c>
    </row>
    <row r="1030" spans="1:9" x14ac:dyDescent="0.25">
      <c r="A1030" s="2">
        <v>43081</v>
      </c>
      <c r="B1030">
        <v>9.91</v>
      </c>
      <c r="C1030">
        <v>9.2899999999999991</v>
      </c>
      <c r="D1030">
        <v>2.23</v>
      </c>
      <c r="E1030">
        <v>18.66</v>
      </c>
      <c r="F1030">
        <v>6.95</v>
      </c>
      <c r="G1030">
        <v>14.31</v>
      </c>
      <c r="H1030">
        <v>6.95</v>
      </c>
      <c r="I1030">
        <v>15.87</v>
      </c>
    </row>
    <row r="1031" spans="1:9" x14ac:dyDescent="0.25">
      <c r="A1031" s="2">
        <v>43082</v>
      </c>
      <c r="B1031">
        <v>9.92</v>
      </c>
      <c r="C1031">
        <v>9.2899999999999991</v>
      </c>
      <c r="D1031">
        <v>2.33</v>
      </c>
      <c r="E1031">
        <v>18.78</v>
      </c>
      <c r="F1031">
        <v>6.93</v>
      </c>
      <c r="G1031">
        <v>14.31</v>
      </c>
      <c r="H1031">
        <v>6.96</v>
      </c>
      <c r="I1031">
        <v>16.05</v>
      </c>
    </row>
    <row r="1032" spans="1:9" x14ac:dyDescent="0.25">
      <c r="A1032" s="2">
        <v>43083</v>
      </c>
      <c r="B1032">
        <v>10.039999999999999</v>
      </c>
      <c r="C1032">
        <v>9.31</v>
      </c>
      <c r="D1032">
        <v>2.56</v>
      </c>
      <c r="E1032">
        <v>18.989999999999998</v>
      </c>
      <c r="F1032">
        <v>6.91</v>
      </c>
      <c r="G1032">
        <v>14.41</v>
      </c>
      <c r="H1032">
        <v>6.92</v>
      </c>
      <c r="I1032">
        <v>16.059999999999999</v>
      </c>
    </row>
    <row r="1033" spans="1:9" x14ac:dyDescent="0.25">
      <c r="A1033" s="2">
        <v>43084</v>
      </c>
      <c r="B1033">
        <v>9.9499999999999993</v>
      </c>
      <c r="C1033">
        <v>9.3000000000000007</v>
      </c>
      <c r="D1033">
        <v>2.38</v>
      </c>
      <c r="E1033">
        <v>19</v>
      </c>
      <c r="F1033">
        <v>6.87</v>
      </c>
      <c r="G1033">
        <v>14.41</v>
      </c>
      <c r="H1033">
        <v>6.96</v>
      </c>
      <c r="I1033">
        <v>15.9</v>
      </c>
    </row>
    <row r="1034" spans="1:9" x14ac:dyDescent="0.25">
      <c r="A1034" s="2">
        <v>43087</v>
      </c>
      <c r="B1034">
        <v>9.93</v>
      </c>
      <c r="C1034">
        <v>9.3699999999999992</v>
      </c>
      <c r="D1034">
        <v>2.25</v>
      </c>
      <c r="E1034">
        <v>18.809999999999999</v>
      </c>
      <c r="F1034">
        <v>6.84</v>
      </c>
      <c r="G1034">
        <v>14.27</v>
      </c>
      <c r="H1034">
        <v>6.95</v>
      </c>
      <c r="I1034">
        <v>15.97</v>
      </c>
    </row>
    <row r="1035" spans="1:9" x14ac:dyDescent="0.25">
      <c r="A1035" s="2">
        <v>43088</v>
      </c>
      <c r="B1035">
        <v>10.09</v>
      </c>
      <c r="C1035">
        <v>9.3800000000000008</v>
      </c>
      <c r="D1035">
        <v>2.5299999999999998</v>
      </c>
      <c r="E1035">
        <v>18.829999999999998</v>
      </c>
      <c r="F1035">
        <v>6.87</v>
      </c>
      <c r="G1035">
        <v>14.3</v>
      </c>
      <c r="H1035">
        <v>6.99</v>
      </c>
      <c r="I1035">
        <v>16.22</v>
      </c>
    </row>
    <row r="1036" spans="1:9" x14ac:dyDescent="0.25">
      <c r="A1036" s="2">
        <v>43089</v>
      </c>
      <c r="B1036">
        <v>10.220000000000001</v>
      </c>
      <c r="C1036">
        <v>9.31</v>
      </c>
      <c r="D1036">
        <v>2.6</v>
      </c>
      <c r="E1036">
        <v>19.13</v>
      </c>
      <c r="F1036">
        <v>6.86</v>
      </c>
      <c r="G1036">
        <v>14.73</v>
      </c>
      <c r="H1036">
        <v>7.02</v>
      </c>
      <c r="I1036">
        <v>16.100000000000001</v>
      </c>
    </row>
    <row r="1037" spans="1:9" x14ac:dyDescent="0.25">
      <c r="A1037" s="2">
        <v>43090</v>
      </c>
      <c r="B1037">
        <v>10</v>
      </c>
      <c r="C1037">
        <v>9.15</v>
      </c>
      <c r="D1037">
        <v>2.19</v>
      </c>
      <c r="E1037">
        <v>18.91</v>
      </c>
      <c r="F1037">
        <v>6.64</v>
      </c>
      <c r="G1037">
        <v>14.64</v>
      </c>
      <c r="H1037">
        <v>6.95</v>
      </c>
      <c r="I1037">
        <v>15.88</v>
      </c>
    </row>
    <row r="1038" spans="1:9" x14ac:dyDescent="0.25">
      <c r="A1038" s="2">
        <v>43091</v>
      </c>
      <c r="B1038">
        <v>9.82</v>
      </c>
      <c r="C1038">
        <v>9.09</v>
      </c>
      <c r="D1038">
        <v>1.83</v>
      </c>
      <c r="E1038">
        <v>18.600000000000001</v>
      </c>
      <c r="F1038">
        <v>6.43</v>
      </c>
      <c r="G1038">
        <v>14.42</v>
      </c>
      <c r="H1038">
        <v>6.92</v>
      </c>
      <c r="I1038">
        <v>16.04</v>
      </c>
    </row>
    <row r="1039" spans="1:9" x14ac:dyDescent="0.25">
      <c r="A1039" s="2">
        <v>43096</v>
      </c>
      <c r="B1039">
        <v>9.84</v>
      </c>
      <c r="C1039">
        <v>9.1199999999999992</v>
      </c>
      <c r="D1039">
        <v>2.0499999999999998</v>
      </c>
      <c r="E1039">
        <v>18.77</v>
      </c>
      <c r="F1039">
        <v>6.44</v>
      </c>
      <c r="G1039">
        <v>14.45</v>
      </c>
      <c r="H1039">
        <v>6.88</v>
      </c>
      <c r="I1039">
        <v>16.059999999999999</v>
      </c>
    </row>
    <row r="1040" spans="1:9" x14ac:dyDescent="0.25">
      <c r="A1040" s="2">
        <v>43097</v>
      </c>
      <c r="B1040">
        <v>9.83</v>
      </c>
      <c r="C1040">
        <v>9.14</v>
      </c>
      <c r="D1040">
        <v>1.97</v>
      </c>
      <c r="E1040">
        <v>18.75</v>
      </c>
      <c r="F1040">
        <v>6.47</v>
      </c>
      <c r="G1040">
        <v>14.48</v>
      </c>
      <c r="H1040">
        <v>6.87</v>
      </c>
      <c r="I1040">
        <v>16.09</v>
      </c>
    </row>
    <row r="1041" spans="1:9" x14ac:dyDescent="0.25">
      <c r="A1041" s="2">
        <v>43098</v>
      </c>
      <c r="B1041">
        <v>9.89</v>
      </c>
      <c r="C1041">
        <v>9.23</v>
      </c>
      <c r="D1041">
        <v>1.94</v>
      </c>
      <c r="E1041">
        <v>18.82</v>
      </c>
      <c r="F1041">
        <v>6.54</v>
      </c>
      <c r="G1041">
        <v>14.54</v>
      </c>
      <c r="H1041">
        <v>6.93</v>
      </c>
      <c r="I1041">
        <v>15.98</v>
      </c>
    </row>
    <row r="1042" spans="1:9" x14ac:dyDescent="0.25">
      <c r="A1042" s="2">
        <v>43100</v>
      </c>
      <c r="B1042">
        <v>9.6</v>
      </c>
      <c r="C1042">
        <v>9.15</v>
      </c>
      <c r="D1042">
        <v>1.68</v>
      </c>
      <c r="E1042">
        <v>18.72</v>
      </c>
      <c r="F1042">
        <v>6.37</v>
      </c>
      <c r="G1042">
        <v>14.46</v>
      </c>
      <c r="H1042">
        <v>6.9</v>
      </c>
      <c r="I1042">
        <v>15.9</v>
      </c>
    </row>
    <row r="1043" spans="1:9" x14ac:dyDescent="0.25">
      <c r="A1043" s="2">
        <v>43102</v>
      </c>
      <c r="B1043">
        <v>9.6</v>
      </c>
      <c r="C1043">
        <v>9.15</v>
      </c>
      <c r="D1043">
        <v>1.69</v>
      </c>
      <c r="E1043">
        <v>18.71</v>
      </c>
      <c r="F1043">
        <v>6.44</v>
      </c>
      <c r="G1043">
        <v>14.46</v>
      </c>
      <c r="H1043">
        <v>6.9</v>
      </c>
      <c r="I1043">
        <v>15.9</v>
      </c>
    </row>
    <row r="1044" spans="1:9" x14ac:dyDescent="0.25">
      <c r="A1044" s="2">
        <v>43103</v>
      </c>
      <c r="B1044">
        <v>9.3800000000000008</v>
      </c>
      <c r="C1044">
        <v>9.1199999999999992</v>
      </c>
      <c r="D1044">
        <v>1.56</v>
      </c>
      <c r="E1044">
        <v>18.72</v>
      </c>
      <c r="F1044">
        <v>6.37</v>
      </c>
      <c r="G1044">
        <v>14.32</v>
      </c>
      <c r="H1044">
        <v>6.88</v>
      </c>
      <c r="I1044">
        <v>15.89</v>
      </c>
    </row>
    <row r="1045" spans="1:9" x14ac:dyDescent="0.25">
      <c r="A1045" s="2">
        <v>43104</v>
      </c>
      <c r="B1045">
        <v>9.44</v>
      </c>
      <c r="C1045">
        <v>9.1300000000000008</v>
      </c>
      <c r="D1045">
        <v>1.46</v>
      </c>
      <c r="E1045">
        <v>18.579999999999998</v>
      </c>
      <c r="F1045">
        <v>6.26</v>
      </c>
      <c r="G1045">
        <v>14.26</v>
      </c>
      <c r="H1045">
        <v>6.98</v>
      </c>
      <c r="I1045">
        <v>16.39</v>
      </c>
    </row>
    <row r="1046" spans="1:9" x14ac:dyDescent="0.25">
      <c r="A1046" s="2">
        <v>43105</v>
      </c>
      <c r="B1046">
        <v>9.75</v>
      </c>
      <c r="C1046">
        <v>9.15</v>
      </c>
      <c r="D1046">
        <v>1.71</v>
      </c>
      <c r="E1046">
        <v>19.03</v>
      </c>
      <c r="F1046">
        <v>6.39</v>
      </c>
      <c r="G1046">
        <v>14.57</v>
      </c>
      <c r="H1046">
        <v>7.04</v>
      </c>
      <c r="I1046">
        <v>16.71</v>
      </c>
    </row>
    <row r="1047" spans="1:9" x14ac:dyDescent="0.25">
      <c r="A1047" s="2">
        <v>43108</v>
      </c>
      <c r="B1047">
        <v>10.08</v>
      </c>
      <c r="C1047">
        <v>9.24</v>
      </c>
      <c r="D1047">
        <v>1.95</v>
      </c>
      <c r="E1047">
        <v>19.350000000000001</v>
      </c>
      <c r="F1047">
        <v>6.42</v>
      </c>
      <c r="G1047">
        <v>15.09</v>
      </c>
      <c r="H1047">
        <v>7.12</v>
      </c>
      <c r="I1047">
        <v>17.190000000000001</v>
      </c>
    </row>
    <row r="1048" spans="1:9" x14ac:dyDescent="0.25">
      <c r="A1048" s="2">
        <v>43109</v>
      </c>
      <c r="B1048">
        <v>10.4</v>
      </c>
      <c r="C1048">
        <v>9.32</v>
      </c>
      <c r="D1048">
        <v>2.4300000000000002</v>
      </c>
      <c r="E1048">
        <v>19.77</v>
      </c>
      <c r="F1048">
        <v>6.51</v>
      </c>
      <c r="G1048">
        <v>15.54</v>
      </c>
      <c r="H1048">
        <v>7.13</v>
      </c>
      <c r="I1048">
        <v>17.510000000000002</v>
      </c>
    </row>
    <row r="1049" spans="1:9" x14ac:dyDescent="0.25">
      <c r="A1049" s="2">
        <v>43110</v>
      </c>
      <c r="B1049">
        <v>10.66</v>
      </c>
      <c r="C1049">
        <v>9.31</v>
      </c>
      <c r="D1049">
        <v>2.72</v>
      </c>
      <c r="E1049">
        <v>19.989999999999998</v>
      </c>
      <c r="F1049">
        <v>6.56</v>
      </c>
      <c r="G1049">
        <v>15.82</v>
      </c>
      <c r="H1049">
        <v>7.19</v>
      </c>
      <c r="I1049">
        <v>17.7</v>
      </c>
    </row>
    <row r="1050" spans="1:9" x14ac:dyDescent="0.25">
      <c r="A1050" s="2">
        <v>43111</v>
      </c>
      <c r="B1050">
        <v>10.58</v>
      </c>
      <c r="C1050">
        <v>9.1300000000000008</v>
      </c>
      <c r="D1050">
        <v>2.74</v>
      </c>
      <c r="E1050">
        <v>20.25</v>
      </c>
      <c r="F1050">
        <v>6.55</v>
      </c>
      <c r="G1050">
        <v>15.97</v>
      </c>
      <c r="H1050">
        <v>7.13</v>
      </c>
      <c r="I1050">
        <v>17.39</v>
      </c>
    </row>
    <row r="1051" spans="1:9" x14ac:dyDescent="0.25">
      <c r="A1051" s="2">
        <v>43112</v>
      </c>
      <c r="B1051">
        <v>10.37</v>
      </c>
      <c r="C1051">
        <v>9.0399999999999991</v>
      </c>
      <c r="D1051">
        <v>2.52</v>
      </c>
      <c r="E1051">
        <v>19.84</v>
      </c>
      <c r="F1051">
        <v>6.36</v>
      </c>
      <c r="G1051">
        <v>15.6</v>
      </c>
      <c r="H1051">
        <v>7.02</v>
      </c>
      <c r="I1051">
        <v>17.2</v>
      </c>
    </row>
    <row r="1052" spans="1:9" x14ac:dyDescent="0.25">
      <c r="A1052" s="2">
        <v>43115</v>
      </c>
      <c r="B1052">
        <v>10.37</v>
      </c>
      <c r="C1052">
        <v>8.9499999999999993</v>
      </c>
      <c r="D1052">
        <v>2.31</v>
      </c>
      <c r="E1052">
        <v>19.96</v>
      </c>
      <c r="F1052">
        <v>5.97</v>
      </c>
      <c r="G1052">
        <v>15.53</v>
      </c>
      <c r="H1052">
        <v>6.99</v>
      </c>
      <c r="I1052">
        <v>17.53</v>
      </c>
    </row>
    <row r="1053" spans="1:9" x14ac:dyDescent="0.25">
      <c r="A1053" s="2">
        <v>43116</v>
      </c>
      <c r="B1053">
        <v>10.29</v>
      </c>
      <c r="C1053">
        <v>8.89</v>
      </c>
      <c r="D1053">
        <v>2.17</v>
      </c>
      <c r="E1053">
        <v>20.14</v>
      </c>
      <c r="F1053">
        <v>5.96</v>
      </c>
      <c r="G1053">
        <v>15.57</v>
      </c>
      <c r="H1053">
        <v>6.97</v>
      </c>
      <c r="I1053">
        <v>17.29</v>
      </c>
    </row>
    <row r="1054" spans="1:9" x14ac:dyDescent="0.25">
      <c r="A1054" s="2">
        <v>43117</v>
      </c>
      <c r="B1054">
        <v>10.33</v>
      </c>
      <c r="C1054">
        <v>8.9600000000000009</v>
      </c>
      <c r="D1054">
        <v>2.25</v>
      </c>
      <c r="E1054">
        <v>19.93</v>
      </c>
      <c r="F1054">
        <v>5.84</v>
      </c>
      <c r="G1054">
        <v>15.55</v>
      </c>
      <c r="H1054">
        <v>7.01</v>
      </c>
      <c r="I1054">
        <v>17.57</v>
      </c>
    </row>
    <row r="1055" spans="1:9" x14ac:dyDescent="0.25">
      <c r="A1055" s="2">
        <v>43118</v>
      </c>
      <c r="B1055">
        <v>10.37</v>
      </c>
      <c r="C1055">
        <v>9.0299999999999994</v>
      </c>
      <c r="D1055">
        <v>2.06</v>
      </c>
      <c r="E1055">
        <v>20.190000000000001</v>
      </c>
      <c r="F1055">
        <v>5.96</v>
      </c>
      <c r="G1055">
        <v>15.69</v>
      </c>
      <c r="H1055">
        <v>6.99</v>
      </c>
      <c r="I1055">
        <v>17.600000000000001</v>
      </c>
    </row>
    <row r="1056" spans="1:9" x14ac:dyDescent="0.25">
      <c r="A1056" s="2">
        <v>43119</v>
      </c>
      <c r="B1056">
        <v>10.33</v>
      </c>
      <c r="C1056">
        <v>8.92</v>
      </c>
      <c r="D1056">
        <v>2.19</v>
      </c>
      <c r="E1056">
        <v>20.09</v>
      </c>
      <c r="F1056">
        <v>5.94</v>
      </c>
      <c r="G1056">
        <v>15.55</v>
      </c>
      <c r="H1056">
        <v>6.96</v>
      </c>
      <c r="I1056">
        <v>17.66</v>
      </c>
    </row>
    <row r="1057" spans="1:9" x14ac:dyDescent="0.25">
      <c r="A1057" s="2">
        <v>43122</v>
      </c>
      <c r="B1057">
        <v>10.29</v>
      </c>
      <c r="C1057">
        <v>8.83</v>
      </c>
      <c r="D1057">
        <v>2.11</v>
      </c>
      <c r="E1057">
        <v>20.11</v>
      </c>
      <c r="F1057">
        <v>5.87</v>
      </c>
      <c r="G1057">
        <v>15.66</v>
      </c>
      <c r="H1057">
        <v>6.95</v>
      </c>
      <c r="I1057">
        <v>17.920000000000002</v>
      </c>
    </row>
    <row r="1058" spans="1:9" x14ac:dyDescent="0.25">
      <c r="A1058" s="2">
        <v>43123</v>
      </c>
      <c r="B1058">
        <v>10.5</v>
      </c>
      <c r="C1058">
        <v>8.7799999999999994</v>
      </c>
      <c r="D1058">
        <v>2.38</v>
      </c>
      <c r="E1058">
        <v>20.32</v>
      </c>
      <c r="F1058">
        <v>5.88</v>
      </c>
      <c r="G1058">
        <v>15.9</v>
      </c>
      <c r="H1058">
        <v>6.9</v>
      </c>
      <c r="I1058">
        <v>18.079999999999998</v>
      </c>
    </row>
    <row r="1059" spans="1:9" x14ac:dyDescent="0.25">
      <c r="A1059" s="2">
        <v>43124</v>
      </c>
      <c r="B1059">
        <v>10.67</v>
      </c>
      <c r="C1059">
        <v>8.77</v>
      </c>
      <c r="D1059">
        <v>2.6</v>
      </c>
      <c r="E1059">
        <v>20.48</v>
      </c>
      <c r="F1059">
        <v>5.87</v>
      </c>
      <c r="G1059">
        <v>16.059999999999999</v>
      </c>
      <c r="H1059">
        <v>6.91</v>
      </c>
      <c r="I1059">
        <v>18.27</v>
      </c>
    </row>
    <row r="1060" spans="1:9" x14ac:dyDescent="0.25">
      <c r="A1060" s="2">
        <v>43125</v>
      </c>
      <c r="B1060">
        <v>10.62</v>
      </c>
      <c r="C1060">
        <v>8.7100000000000009</v>
      </c>
      <c r="D1060">
        <v>2.5299999999999998</v>
      </c>
      <c r="E1060">
        <v>20.71</v>
      </c>
      <c r="F1060">
        <v>5.91</v>
      </c>
      <c r="G1060">
        <v>16.170000000000002</v>
      </c>
      <c r="H1060">
        <v>6.92</v>
      </c>
      <c r="I1060">
        <v>17.96</v>
      </c>
    </row>
    <row r="1061" spans="1:9" x14ac:dyDescent="0.25">
      <c r="A1061" s="2">
        <v>43126</v>
      </c>
      <c r="B1061">
        <v>10.46</v>
      </c>
      <c r="C1061">
        <v>8.67</v>
      </c>
      <c r="D1061">
        <v>2.0699999999999998</v>
      </c>
      <c r="E1061">
        <v>20.41</v>
      </c>
      <c r="F1061">
        <v>5.74</v>
      </c>
      <c r="G1061">
        <v>16.12</v>
      </c>
      <c r="H1061">
        <v>6.94</v>
      </c>
      <c r="I1061">
        <v>17.79</v>
      </c>
    </row>
    <row r="1062" spans="1:9" x14ac:dyDescent="0.25">
      <c r="A1062" s="2">
        <v>43129</v>
      </c>
      <c r="B1062">
        <v>10.29</v>
      </c>
      <c r="C1062">
        <v>8.7200000000000006</v>
      </c>
      <c r="D1062">
        <v>1.79</v>
      </c>
      <c r="E1062">
        <v>20.14</v>
      </c>
      <c r="F1062">
        <v>5.6</v>
      </c>
      <c r="G1062">
        <v>15.78</v>
      </c>
      <c r="H1062">
        <v>6.98</v>
      </c>
      <c r="I1062">
        <v>18.100000000000001</v>
      </c>
    </row>
    <row r="1063" spans="1:9" x14ac:dyDescent="0.25">
      <c r="A1063" s="2">
        <v>43130</v>
      </c>
      <c r="B1063">
        <v>10.4</v>
      </c>
      <c r="C1063">
        <v>8.65</v>
      </c>
      <c r="D1063">
        <v>2.2999999999999998</v>
      </c>
      <c r="E1063">
        <v>20.48</v>
      </c>
      <c r="F1063">
        <v>5.64</v>
      </c>
      <c r="G1063">
        <v>15.99</v>
      </c>
      <c r="H1063">
        <v>6.92</v>
      </c>
      <c r="I1063">
        <v>18</v>
      </c>
    </row>
    <row r="1064" spans="1:9" x14ac:dyDescent="0.25">
      <c r="A1064" s="2">
        <v>43131</v>
      </c>
      <c r="B1064">
        <v>10.24</v>
      </c>
      <c r="C1064">
        <v>8.57</v>
      </c>
      <c r="D1064">
        <v>1.96</v>
      </c>
      <c r="E1064">
        <v>20.43</v>
      </c>
      <c r="F1064">
        <v>5.5</v>
      </c>
      <c r="G1064">
        <v>15.91</v>
      </c>
      <c r="H1064">
        <v>6.77</v>
      </c>
      <c r="I1064">
        <v>17.36</v>
      </c>
    </row>
    <row r="1065" spans="1:9" x14ac:dyDescent="0.25">
      <c r="A1065" s="2">
        <v>43132</v>
      </c>
      <c r="B1065">
        <v>9.91</v>
      </c>
      <c r="C1065">
        <v>8.5299999999999994</v>
      </c>
      <c r="D1065">
        <v>1.45</v>
      </c>
      <c r="E1065">
        <v>19.8</v>
      </c>
      <c r="F1065">
        <v>5.46</v>
      </c>
      <c r="G1065">
        <v>15.32</v>
      </c>
      <c r="H1065">
        <v>6.7</v>
      </c>
      <c r="I1065">
        <v>17.329999999999998</v>
      </c>
    </row>
    <row r="1066" spans="1:9" x14ac:dyDescent="0.25">
      <c r="A1066" s="2">
        <v>43133</v>
      </c>
      <c r="B1066">
        <v>9.77</v>
      </c>
      <c r="C1066">
        <v>8.51</v>
      </c>
      <c r="D1066">
        <v>1.27</v>
      </c>
      <c r="E1066">
        <v>19.75</v>
      </c>
      <c r="F1066">
        <v>5.42</v>
      </c>
      <c r="G1066">
        <v>15.25</v>
      </c>
      <c r="H1066">
        <v>6.7</v>
      </c>
      <c r="I1066">
        <v>16.98</v>
      </c>
    </row>
    <row r="1067" spans="1:9" x14ac:dyDescent="0.25">
      <c r="A1067" s="2">
        <v>43136</v>
      </c>
      <c r="B1067">
        <v>9.5</v>
      </c>
      <c r="C1067">
        <v>8.36</v>
      </c>
      <c r="D1067">
        <v>1.07</v>
      </c>
      <c r="E1067">
        <v>19.5</v>
      </c>
      <c r="F1067">
        <v>5.41</v>
      </c>
      <c r="G1067">
        <v>15.02</v>
      </c>
      <c r="H1067">
        <v>6.68</v>
      </c>
      <c r="I1067">
        <v>16.32</v>
      </c>
    </row>
    <row r="1068" spans="1:9" x14ac:dyDescent="0.25">
      <c r="A1068" s="2">
        <v>43137</v>
      </c>
      <c r="B1068">
        <v>8.76</v>
      </c>
      <c r="C1068">
        <v>8.2100000000000009</v>
      </c>
      <c r="D1068">
        <v>0.25</v>
      </c>
      <c r="E1068">
        <v>18.8</v>
      </c>
      <c r="F1068">
        <v>5.22</v>
      </c>
      <c r="G1068">
        <v>14.28</v>
      </c>
      <c r="H1068">
        <v>6.55</v>
      </c>
      <c r="I1068">
        <v>15.79</v>
      </c>
    </row>
    <row r="1069" spans="1:9" x14ac:dyDescent="0.25">
      <c r="A1069" s="2">
        <v>43138</v>
      </c>
      <c r="B1069">
        <v>7.93</v>
      </c>
      <c r="C1069">
        <v>8.24</v>
      </c>
      <c r="D1069">
        <v>-1</v>
      </c>
      <c r="E1069">
        <v>18.09</v>
      </c>
      <c r="F1069">
        <v>5.16</v>
      </c>
      <c r="G1069">
        <v>13.38</v>
      </c>
      <c r="H1069">
        <v>6.52</v>
      </c>
      <c r="I1069">
        <v>14.69</v>
      </c>
    </row>
    <row r="1070" spans="1:9" x14ac:dyDescent="0.25">
      <c r="A1070" s="2">
        <v>43139</v>
      </c>
      <c r="B1070">
        <v>7.99</v>
      </c>
      <c r="C1070">
        <v>8.26</v>
      </c>
      <c r="D1070">
        <v>-0.62</v>
      </c>
      <c r="E1070">
        <v>16.48</v>
      </c>
      <c r="F1070">
        <v>5.21</v>
      </c>
      <c r="G1070">
        <v>12.35</v>
      </c>
      <c r="H1070">
        <v>6.5</v>
      </c>
      <c r="I1070">
        <v>15.5</v>
      </c>
    </row>
    <row r="1071" spans="1:9" x14ac:dyDescent="0.25">
      <c r="A1071" s="2">
        <v>43140</v>
      </c>
      <c r="B1071">
        <v>7.93</v>
      </c>
      <c r="C1071">
        <v>8.16</v>
      </c>
      <c r="D1071">
        <v>-0.52</v>
      </c>
      <c r="E1071">
        <v>17.649999999999999</v>
      </c>
      <c r="F1071">
        <v>5.34</v>
      </c>
      <c r="G1071">
        <v>13.01</v>
      </c>
      <c r="H1071">
        <v>6.48</v>
      </c>
      <c r="I1071">
        <v>14.48</v>
      </c>
    </row>
    <row r="1072" spans="1:9" x14ac:dyDescent="0.25">
      <c r="A1072" s="2">
        <v>43143</v>
      </c>
      <c r="B1072">
        <v>7.16</v>
      </c>
      <c r="C1072">
        <v>7.95</v>
      </c>
      <c r="D1072">
        <v>-1.46</v>
      </c>
      <c r="E1072">
        <v>16.52</v>
      </c>
      <c r="F1072">
        <v>5.05</v>
      </c>
      <c r="G1072">
        <v>12.33</v>
      </c>
      <c r="H1072">
        <v>6.34</v>
      </c>
      <c r="I1072">
        <v>13.86</v>
      </c>
    </row>
    <row r="1073" spans="1:9" x14ac:dyDescent="0.25">
      <c r="A1073" s="2">
        <v>43144</v>
      </c>
      <c r="B1073">
        <v>6.93</v>
      </c>
      <c r="C1073">
        <v>7.84</v>
      </c>
      <c r="D1073">
        <v>-1.35</v>
      </c>
      <c r="E1073">
        <v>15.48</v>
      </c>
      <c r="F1073">
        <v>4.8</v>
      </c>
      <c r="G1073">
        <v>11.45</v>
      </c>
      <c r="H1073">
        <v>6.27</v>
      </c>
      <c r="I1073">
        <v>14.46</v>
      </c>
    </row>
    <row r="1074" spans="1:9" x14ac:dyDescent="0.25">
      <c r="A1074" s="2">
        <v>43145</v>
      </c>
      <c r="B1074">
        <v>7.25</v>
      </c>
      <c r="C1074">
        <v>7.75</v>
      </c>
      <c r="D1074">
        <v>-1.1499999999999999</v>
      </c>
      <c r="E1074">
        <v>16.239999999999998</v>
      </c>
      <c r="F1074">
        <v>4.82</v>
      </c>
      <c r="G1074">
        <v>11.82</v>
      </c>
      <c r="H1074">
        <v>6.24</v>
      </c>
      <c r="I1074">
        <v>14.23</v>
      </c>
    </row>
    <row r="1075" spans="1:9" x14ac:dyDescent="0.25">
      <c r="A1075" s="2">
        <v>43146</v>
      </c>
      <c r="B1075">
        <v>7.04</v>
      </c>
      <c r="C1075">
        <v>7.67</v>
      </c>
      <c r="D1075">
        <v>-1.27</v>
      </c>
      <c r="E1075">
        <v>16.02</v>
      </c>
      <c r="F1075">
        <v>4.63</v>
      </c>
      <c r="G1075">
        <v>11.62</v>
      </c>
      <c r="H1075">
        <v>6.2</v>
      </c>
      <c r="I1075">
        <v>14.56</v>
      </c>
    </row>
    <row r="1076" spans="1:9" x14ac:dyDescent="0.25">
      <c r="A1076" s="2">
        <v>43147</v>
      </c>
      <c r="B1076">
        <v>7.28</v>
      </c>
      <c r="C1076">
        <v>7.44</v>
      </c>
      <c r="D1076">
        <v>-1.05</v>
      </c>
      <c r="E1076">
        <v>16.329999999999998</v>
      </c>
      <c r="F1076">
        <v>4.49</v>
      </c>
      <c r="G1076">
        <v>11.92</v>
      </c>
      <c r="H1076">
        <v>6.16</v>
      </c>
      <c r="I1076">
        <v>14.89</v>
      </c>
    </row>
    <row r="1077" spans="1:9" x14ac:dyDescent="0.25">
      <c r="A1077" s="2">
        <v>43150</v>
      </c>
      <c r="B1077">
        <v>7.57</v>
      </c>
      <c r="C1077">
        <v>7.53</v>
      </c>
      <c r="D1077">
        <v>-0.66</v>
      </c>
      <c r="E1077">
        <v>16.87</v>
      </c>
      <c r="F1077">
        <v>4.58</v>
      </c>
      <c r="G1077">
        <v>12.51</v>
      </c>
      <c r="H1077">
        <v>6.23</v>
      </c>
      <c r="I1077">
        <v>15.51</v>
      </c>
    </row>
    <row r="1078" spans="1:9" x14ac:dyDescent="0.25">
      <c r="A1078" s="2">
        <v>43151</v>
      </c>
      <c r="B1078">
        <v>7.78</v>
      </c>
      <c r="C1078">
        <v>7.71</v>
      </c>
      <c r="D1078">
        <v>-0.34</v>
      </c>
      <c r="E1078">
        <v>17.62</v>
      </c>
      <c r="F1078">
        <v>4.9000000000000004</v>
      </c>
      <c r="G1078">
        <v>12.98</v>
      </c>
      <c r="H1078">
        <v>6.38</v>
      </c>
      <c r="I1078">
        <v>15.27</v>
      </c>
    </row>
    <row r="1079" spans="1:9" x14ac:dyDescent="0.25">
      <c r="A1079" s="2">
        <v>43152</v>
      </c>
      <c r="B1079">
        <v>7.91</v>
      </c>
      <c r="C1079">
        <v>7.77</v>
      </c>
      <c r="D1079">
        <v>-0.28000000000000003</v>
      </c>
      <c r="E1079">
        <v>17.39</v>
      </c>
      <c r="F1079">
        <v>4.8899999999999997</v>
      </c>
      <c r="G1079">
        <v>12.84</v>
      </c>
      <c r="H1079">
        <v>6.35</v>
      </c>
      <c r="I1079">
        <v>15.5</v>
      </c>
    </row>
    <row r="1080" spans="1:9" x14ac:dyDescent="0.25">
      <c r="A1080" s="2">
        <v>43153</v>
      </c>
      <c r="B1080">
        <v>7.84</v>
      </c>
      <c r="C1080">
        <v>7.71</v>
      </c>
      <c r="D1080">
        <v>-0.15</v>
      </c>
      <c r="E1080">
        <v>17.510000000000002</v>
      </c>
      <c r="F1080">
        <v>4.83</v>
      </c>
      <c r="G1080">
        <v>12.96</v>
      </c>
      <c r="H1080">
        <v>6.29</v>
      </c>
      <c r="I1080">
        <v>15.69</v>
      </c>
    </row>
    <row r="1081" spans="1:9" x14ac:dyDescent="0.25">
      <c r="A1081" s="2">
        <v>43154</v>
      </c>
      <c r="B1081">
        <v>7.78</v>
      </c>
      <c r="C1081">
        <v>7.65</v>
      </c>
      <c r="D1081">
        <v>-0.25</v>
      </c>
      <c r="E1081">
        <v>17.68</v>
      </c>
      <c r="F1081">
        <v>4.87</v>
      </c>
      <c r="G1081">
        <v>13.06</v>
      </c>
      <c r="H1081">
        <v>6.31</v>
      </c>
      <c r="I1081">
        <v>15.58</v>
      </c>
    </row>
    <row r="1082" spans="1:9" x14ac:dyDescent="0.25">
      <c r="A1082" s="2">
        <v>43157</v>
      </c>
      <c r="B1082">
        <v>7.68</v>
      </c>
      <c r="C1082">
        <v>7.59</v>
      </c>
      <c r="D1082">
        <v>-0.14000000000000001</v>
      </c>
      <c r="E1082">
        <v>17.5</v>
      </c>
      <c r="F1082">
        <v>4.8600000000000003</v>
      </c>
      <c r="G1082">
        <v>12.96</v>
      </c>
      <c r="H1082">
        <v>6.28</v>
      </c>
      <c r="I1082">
        <v>15.72</v>
      </c>
    </row>
    <row r="1083" spans="1:9" x14ac:dyDescent="0.25">
      <c r="A1083" s="2">
        <v>43158</v>
      </c>
      <c r="B1083">
        <v>8.1</v>
      </c>
      <c r="C1083">
        <v>7.66</v>
      </c>
      <c r="D1083">
        <v>0.5</v>
      </c>
      <c r="E1083">
        <v>17.68</v>
      </c>
      <c r="F1083">
        <v>4.9800000000000004</v>
      </c>
      <c r="G1083">
        <v>13.18</v>
      </c>
      <c r="H1083">
        <v>6.38</v>
      </c>
      <c r="I1083">
        <v>16.02</v>
      </c>
    </row>
    <row r="1084" spans="1:9" x14ac:dyDescent="0.25">
      <c r="A1084" s="2">
        <v>43159</v>
      </c>
      <c r="B1084">
        <v>8.36</v>
      </c>
      <c r="C1084">
        <v>7.75</v>
      </c>
      <c r="D1084">
        <v>0.96</v>
      </c>
      <c r="E1084">
        <v>18.190000000000001</v>
      </c>
      <c r="F1084">
        <v>5.07</v>
      </c>
      <c r="G1084">
        <v>13.54</v>
      </c>
      <c r="H1084">
        <v>6.44</v>
      </c>
      <c r="I1084">
        <v>15.89</v>
      </c>
    </row>
    <row r="1085" spans="1:9" x14ac:dyDescent="0.25">
      <c r="A1085" s="2">
        <v>43160</v>
      </c>
      <c r="B1085">
        <v>8.24</v>
      </c>
      <c r="C1085">
        <v>7.77</v>
      </c>
      <c r="D1085">
        <v>0.8</v>
      </c>
      <c r="E1085">
        <v>18.2</v>
      </c>
      <c r="F1085">
        <v>5.0999999999999996</v>
      </c>
      <c r="G1085">
        <v>13.47</v>
      </c>
      <c r="H1085">
        <v>6.39</v>
      </c>
      <c r="I1085">
        <v>15.88</v>
      </c>
    </row>
    <row r="1086" spans="1:9" x14ac:dyDescent="0.25">
      <c r="A1086" s="2">
        <v>43161</v>
      </c>
      <c r="B1086">
        <v>7.91</v>
      </c>
      <c r="C1086">
        <v>7.78</v>
      </c>
      <c r="D1086">
        <v>0.4</v>
      </c>
      <c r="E1086">
        <v>17.87</v>
      </c>
      <c r="F1086">
        <v>5.16</v>
      </c>
      <c r="G1086">
        <v>13.35</v>
      </c>
      <c r="H1086">
        <v>6.4</v>
      </c>
      <c r="I1086">
        <v>15.55</v>
      </c>
    </row>
    <row r="1087" spans="1:9" x14ac:dyDescent="0.25">
      <c r="A1087" s="2">
        <v>43164</v>
      </c>
      <c r="B1087">
        <v>7.27</v>
      </c>
      <c r="C1087">
        <v>7.73</v>
      </c>
      <c r="D1087">
        <v>-0.34</v>
      </c>
      <c r="E1087">
        <v>17.38</v>
      </c>
      <c r="F1087">
        <v>5.17</v>
      </c>
      <c r="G1087">
        <v>12.61</v>
      </c>
      <c r="H1087">
        <v>6.36</v>
      </c>
      <c r="I1087">
        <v>14.49</v>
      </c>
    </row>
    <row r="1088" spans="1:9" x14ac:dyDescent="0.25">
      <c r="A1088" s="2">
        <v>43165</v>
      </c>
      <c r="B1088">
        <v>6.85</v>
      </c>
      <c r="C1088">
        <v>7.64</v>
      </c>
      <c r="D1088">
        <v>-0.31</v>
      </c>
      <c r="E1088">
        <v>16.28</v>
      </c>
      <c r="F1088">
        <v>4.97</v>
      </c>
      <c r="G1088">
        <v>11.71</v>
      </c>
      <c r="H1088">
        <v>6.33</v>
      </c>
      <c r="I1088">
        <v>14.92</v>
      </c>
    </row>
    <row r="1089" spans="1:9" x14ac:dyDescent="0.25">
      <c r="A1089" s="2">
        <v>43166</v>
      </c>
      <c r="B1089">
        <v>7.1</v>
      </c>
      <c r="C1089">
        <v>7.52</v>
      </c>
      <c r="D1089">
        <v>-0.52</v>
      </c>
      <c r="E1089">
        <v>16.79</v>
      </c>
      <c r="F1089">
        <v>4.97</v>
      </c>
      <c r="G1089">
        <v>12.03</v>
      </c>
      <c r="H1089">
        <v>6.3</v>
      </c>
      <c r="I1089">
        <v>14.9</v>
      </c>
    </row>
    <row r="1090" spans="1:9" x14ac:dyDescent="0.25">
      <c r="A1090" s="2">
        <v>43167</v>
      </c>
      <c r="B1090">
        <v>7.36</v>
      </c>
      <c r="C1090">
        <v>7.58</v>
      </c>
      <c r="D1090">
        <v>-0.64</v>
      </c>
      <c r="E1090">
        <v>16.87</v>
      </c>
      <c r="F1090">
        <v>4.8899999999999997</v>
      </c>
      <c r="G1090">
        <v>12.37</v>
      </c>
      <c r="H1090">
        <v>6.35</v>
      </c>
      <c r="I1090">
        <v>15.03</v>
      </c>
    </row>
    <row r="1091" spans="1:9" x14ac:dyDescent="0.25">
      <c r="A1091" s="2">
        <v>43168</v>
      </c>
      <c r="B1091">
        <v>7.25</v>
      </c>
      <c r="C1091">
        <v>7.51</v>
      </c>
      <c r="D1091">
        <v>-0.52</v>
      </c>
      <c r="E1091">
        <v>16.95</v>
      </c>
      <c r="F1091">
        <v>4.91</v>
      </c>
      <c r="G1091">
        <v>12.45</v>
      </c>
      <c r="H1091">
        <v>6.35</v>
      </c>
      <c r="I1091">
        <v>15.44</v>
      </c>
    </row>
    <row r="1092" spans="1:9" x14ac:dyDescent="0.25">
      <c r="A1092" s="2">
        <v>43171</v>
      </c>
      <c r="B1092">
        <v>7.64</v>
      </c>
      <c r="C1092">
        <v>7.62</v>
      </c>
      <c r="D1092">
        <v>0.09</v>
      </c>
      <c r="E1092">
        <v>17.46</v>
      </c>
      <c r="F1092">
        <v>5.0199999999999996</v>
      </c>
      <c r="G1092">
        <v>12.9</v>
      </c>
      <c r="H1092">
        <v>6.36</v>
      </c>
      <c r="I1092">
        <v>15.79</v>
      </c>
    </row>
    <row r="1093" spans="1:9" x14ac:dyDescent="0.25">
      <c r="A1093" s="2">
        <v>43172</v>
      </c>
      <c r="B1093">
        <v>8.06</v>
      </c>
      <c r="C1093">
        <v>7.64</v>
      </c>
      <c r="D1093">
        <v>0.57999999999999996</v>
      </c>
      <c r="E1093">
        <v>17.899999999999999</v>
      </c>
      <c r="F1093">
        <v>5.0199999999999996</v>
      </c>
      <c r="G1093">
        <v>13.19</v>
      </c>
      <c r="H1093">
        <v>6.37</v>
      </c>
      <c r="I1093">
        <v>16.02</v>
      </c>
    </row>
    <row r="1094" spans="1:9" x14ac:dyDescent="0.25">
      <c r="A1094" s="2">
        <v>43173</v>
      </c>
      <c r="B1094">
        <v>8.09</v>
      </c>
      <c r="C1094">
        <v>7.61</v>
      </c>
      <c r="D1094">
        <v>0.63</v>
      </c>
      <c r="E1094">
        <v>18.170000000000002</v>
      </c>
      <c r="F1094">
        <v>5.1100000000000003</v>
      </c>
      <c r="G1094">
        <v>13.4</v>
      </c>
      <c r="H1094">
        <v>6.34</v>
      </c>
      <c r="I1094">
        <v>15.68</v>
      </c>
    </row>
    <row r="1095" spans="1:9" x14ac:dyDescent="0.25">
      <c r="A1095" s="2">
        <v>43174</v>
      </c>
      <c r="B1095">
        <v>7.91</v>
      </c>
      <c r="C1095">
        <v>7.65</v>
      </c>
      <c r="D1095">
        <v>0.22</v>
      </c>
      <c r="E1095">
        <v>17.77</v>
      </c>
      <c r="F1095">
        <v>5.0199999999999996</v>
      </c>
      <c r="G1095">
        <v>13.12</v>
      </c>
      <c r="H1095">
        <v>6.38</v>
      </c>
      <c r="I1095">
        <v>15.67</v>
      </c>
    </row>
    <row r="1096" spans="1:9" x14ac:dyDescent="0.25">
      <c r="A1096" s="2">
        <v>43175</v>
      </c>
      <c r="B1096">
        <v>7.8</v>
      </c>
      <c r="C1096">
        <v>7.7</v>
      </c>
      <c r="D1096">
        <v>0.23</v>
      </c>
      <c r="E1096">
        <v>17.670000000000002</v>
      </c>
      <c r="F1096">
        <v>5.0599999999999996</v>
      </c>
      <c r="G1096">
        <v>13</v>
      </c>
      <c r="H1096">
        <v>6.37</v>
      </c>
      <c r="I1096">
        <v>15.86</v>
      </c>
    </row>
    <row r="1097" spans="1:9" x14ac:dyDescent="0.25">
      <c r="A1097" s="2">
        <v>43178</v>
      </c>
      <c r="B1097">
        <v>7.78</v>
      </c>
      <c r="C1097">
        <v>7.69</v>
      </c>
      <c r="D1097">
        <v>0.44</v>
      </c>
      <c r="E1097">
        <v>17.75</v>
      </c>
      <c r="F1097">
        <v>4.8600000000000003</v>
      </c>
      <c r="G1097">
        <v>13.11</v>
      </c>
      <c r="H1097">
        <v>6.31</v>
      </c>
      <c r="I1097">
        <v>15.95</v>
      </c>
    </row>
    <row r="1098" spans="1:9" x14ac:dyDescent="0.25">
      <c r="A1098" s="2">
        <v>43179</v>
      </c>
      <c r="B1098">
        <v>7.86</v>
      </c>
      <c r="C1098">
        <v>7.57</v>
      </c>
      <c r="D1098">
        <v>0.4</v>
      </c>
      <c r="E1098">
        <v>17.87</v>
      </c>
      <c r="F1098">
        <v>4.91</v>
      </c>
      <c r="G1098">
        <v>13.2</v>
      </c>
      <c r="H1098">
        <v>6.29</v>
      </c>
      <c r="I1098">
        <v>15.35</v>
      </c>
    </row>
    <row r="1099" spans="1:9" x14ac:dyDescent="0.25">
      <c r="A1099" s="2">
        <v>43180</v>
      </c>
      <c r="B1099">
        <v>7.54</v>
      </c>
      <c r="C1099">
        <v>7.52</v>
      </c>
      <c r="D1099">
        <v>-0.1</v>
      </c>
      <c r="E1099">
        <v>17.09</v>
      </c>
      <c r="F1099">
        <v>4.75</v>
      </c>
      <c r="G1099">
        <v>12.7</v>
      </c>
      <c r="H1099">
        <v>6.24</v>
      </c>
      <c r="I1099">
        <v>15.71</v>
      </c>
    </row>
    <row r="1100" spans="1:9" x14ac:dyDescent="0.25">
      <c r="A1100" s="2">
        <v>43181</v>
      </c>
      <c r="B1100">
        <v>7.58</v>
      </c>
      <c r="C1100">
        <v>7.45</v>
      </c>
      <c r="D1100">
        <v>0.02</v>
      </c>
      <c r="E1100">
        <v>17.34</v>
      </c>
      <c r="F1100">
        <v>4.72</v>
      </c>
      <c r="G1100">
        <v>12.74</v>
      </c>
      <c r="H1100">
        <v>6.22</v>
      </c>
      <c r="I1100">
        <v>15.66</v>
      </c>
    </row>
    <row r="1101" spans="1:9" x14ac:dyDescent="0.25">
      <c r="A1101" s="2">
        <v>43182</v>
      </c>
      <c r="B1101">
        <v>7.51</v>
      </c>
      <c r="C1101">
        <v>7.45</v>
      </c>
      <c r="D1101">
        <v>-0.13</v>
      </c>
      <c r="E1101">
        <v>17.350000000000001</v>
      </c>
      <c r="F1101">
        <v>4.7300000000000004</v>
      </c>
      <c r="G1101">
        <v>12.75</v>
      </c>
      <c r="H1101">
        <v>6.24</v>
      </c>
      <c r="I1101">
        <v>15.19</v>
      </c>
    </row>
    <row r="1102" spans="1:9" x14ac:dyDescent="0.25">
      <c r="A1102" s="2">
        <v>43185</v>
      </c>
      <c r="B1102">
        <v>6.83</v>
      </c>
      <c r="C1102">
        <v>7.45</v>
      </c>
      <c r="D1102">
        <v>-0.89</v>
      </c>
      <c r="E1102">
        <v>16.55</v>
      </c>
      <c r="F1102">
        <v>4.78</v>
      </c>
      <c r="G1102">
        <v>12.12</v>
      </c>
      <c r="H1102">
        <v>6.31</v>
      </c>
      <c r="I1102">
        <v>14.65</v>
      </c>
    </row>
    <row r="1103" spans="1:9" x14ac:dyDescent="0.25">
      <c r="A1103" s="2">
        <v>43186</v>
      </c>
      <c r="B1103">
        <v>6.21</v>
      </c>
      <c r="C1103">
        <v>7.37</v>
      </c>
      <c r="D1103">
        <v>-1.83</v>
      </c>
      <c r="E1103">
        <v>15.72</v>
      </c>
      <c r="F1103">
        <v>4.6900000000000004</v>
      </c>
      <c r="G1103">
        <v>11.61</v>
      </c>
      <c r="H1103">
        <v>6.29</v>
      </c>
      <c r="I1103">
        <v>14.26</v>
      </c>
    </row>
    <row r="1104" spans="1:9" x14ac:dyDescent="0.25">
      <c r="A1104" s="2">
        <v>43187</v>
      </c>
      <c r="B1104">
        <v>6.59</v>
      </c>
      <c r="C1104">
        <v>7.4</v>
      </c>
      <c r="D1104">
        <v>-1.4</v>
      </c>
      <c r="E1104">
        <v>15.36</v>
      </c>
      <c r="F1104">
        <v>4.62</v>
      </c>
      <c r="G1104">
        <v>11.42</v>
      </c>
      <c r="H1104">
        <v>6.31</v>
      </c>
      <c r="I1104">
        <v>14.89</v>
      </c>
    </row>
    <row r="1105" spans="1:9" x14ac:dyDescent="0.25">
      <c r="A1105" s="2">
        <v>43188</v>
      </c>
      <c r="B1105">
        <v>6.48</v>
      </c>
      <c r="C1105">
        <v>7.52</v>
      </c>
      <c r="D1105">
        <v>-1.46</v>
      </c>
      <c r="E1105">
        <v>16.309999999999999</v>
      </c>
      <c r="F1105">
        <v>5.04</v>
      </c>
      <c r="G1105">
        <v>11.9</v>
      </c>
      <c r="H1105">
        <v>6.38</v>
      </c>
      <c r="I1105">
        <v>14.8</v>
      </c>
    </row>
    <row r="1106" spans="1:9" x14ac:dyDescent="0.25">
      <c r="A1106" s="2">
        <v>43193</v>
      </c>
      <c r="B1106">
        <v>6.5</v>
      </c>
      <c r="C1106">
        <v>7.62</v>
      </c>
      <c r="D1106">
        <v>-1.31</v>
      </c>
      <c r="E1106">
        <v>15.99</v>
      </c>
      <c r="F1106">
        <v>5.13</v>
      </c>
      <c r="G1106">
        <v>11.8</v>
      </c>
      <c r="H1106">
        <v>6.41</v>
      </c>
      <c r="I1106">
        <v>15.2</v>
      </c>
    </row>
    <row r="1107" spans="1:9" x14ac:dyDescent="0.25">
      <c r="A1107" s="2">
        <v>43194</v>
      </c>
      <c r="B1107">
        <v>6.75</v>
      </c>
      <c r="C1107">
        <v>7.73</v>
      </c>
      <c r="D1107">
        <v>-0.83</v>
      </c>
      <c r="E1107">
        <v>16.45</v>
      </c>
      <c r="F1107">
        <v>5.31</v>
      </c>
      <c r="G1107">
        <v>12.07</v>
      </c>
      <c r="H1107">
        <v>6.46</v>
      </c>
      <c r="I1107">
        <v>14.99</v>
      </c>
    </row>
    <row r="1108" spans="1:9" x14ac:dyDescent="0.25">
      <c r="A1108" s="2">
        <v>43195</v>
      </c>
      <c r="B1108">
        <v>6.68</v>
      </c>
      <c r="C1108">
        <v>7.76</v>
      </c>
      <c r="D1108">
        <v>-1.0900000000000001</v>
      </c>
      <c r="E1108">
        <v>16.05</v>
      </c>
      <c r="F1108">
        <v>5.26</v>
      </c>
      <c r="G1108">
        <v>11.92</v>
      </c>
      <c r="H1108">
        <v>6.48</v>
      </c>
      <c r="I1108">
        <v>14.85</v>
      </c>
    </row>
    <row r="1109" spans="1:9" x14ac:dyDescent="0.25">
      <c r="A1109" s="2">
        <v>43196</v>
      </c>
      <c r="B1109">
        <v>6.84</v>
      </c>
      <c r="C1109">
        <v>7.72</v>
      </c>
      <c r="D1109">
        <v>-0.7</v>
      </c>
      <c r="E1109">
        <v>15.95</v>
      </c>
      <c r="F1109">
        <v>5.23</v>
      </c>
      <c r="G1109">
        <v>11.67</v>
      </c>
      <c r="H1109">
        <v>6.48</v>
      </c>
      <c r="I1109">
        <v>15.7</v>
      </c>
    </row>
    <row r="1110" spans="1:9" x14ac:dyDescent="0.25">
      <c r="A1110" s="2">
        <v>43199</v>
      </c>
      <c r="B1110">
        <v>7.43</v>
      </c>
      <c r="C1110">
        <v>7.73</v>
      </c>
      <c r="D1110">
        <v>-0.21</v>
      </c>
      <c r="E1110">
        <v>17.16</v>
      </c>
      <c r="F1110">
        <v>5.31</v>
      </c>
      <c r="G1110">
        <v>12.66</v>
      </c>
      <c r="H1110">
        <v>6.48</v>
      </c>
      <c r="I1110">
        <v>15.45</v>
      </c>
    </row>
    <row r="1111" spans="1:9" x14ac:dyDescent="0.25">
      <c r="A1111" s="2">
        <v>43200</v>
      </c>
      <c r="B1111">
        <v>7.08</v>
      </c>
      <c r="C1111">
        <v>7.76</v>
      </c>
      <c r="D1111">
        <v>-0.82</v>
      </c>
      <c r="E1111">
        <v>16.670000000000002</v>
      </c>
      <c r="F1111">
        <v>5.33</v>
      </c>
      <c r="G1111">
        <v>12.61</v>
      </c>
      <c r="H1111">
        <v>6.47</v>
      </c>
      <c r="I1111">
        <v>15.49</v>
      </c>
    </row>
    <row r="1112" spans="1:9" x14ac:dyDescent="0.25">
      <c r="A1112" s="2">
        <v>43201</v>
      </c>
      <c r="B1112">
        <v>7.16</v>
      </c>
      <c r="C1112">
        <v>7.68</v>
      </c>
      <c r="D1112">
        <v>-0.83</v>
      </c>
      <c r="E1112">
        <v>16.79</v>
      </c>
      <c r="F1112">
        <v>5.23</v>
      </c>
      <c r="G1112">
        <v>12.47</v>
      </c>
      <c r="H1112">
        <v>6.43</v>
      </c>
      <c r="I1112">
        <v>15.67</v>
      </c>
    </row>
    <row r="1113" spans="1:9" x14ac:dyDescent="0.25">
      <c r="A1113" s="2">
        <v>43202</v>
      </c>
      <c r="B1113">
        <v>7.5</v>
      </c>
      <c r="C1113">
        <v>7.72</v>
      </c>
      <c r="D1113">
        <v>-0.48</v>
      </c>
      <c r="E1113">
        <v>17.07</v>
      </c>
      <c r="F1113">
        <v>5.2</v>
      </c>
      <c r="G1113">
        <v>12.77</v>
      </c>
      <c r="H1113">
        <v>6.37</v>
      </c>
      <c r="I1113">
        <v>15.56</v>
      </c>
    </row>
    <row r="1114" spans="1:9" x14ac:dyDescent="0.25">
      <c r="A1114" s="2">
        <v>43203</v>
      </c>
      <c r="B1114">
        <v>7.44</v>
      </c>
      <c r="C1114">
        <v>7.76</v>
      </c>
      <c r="D1114">
        <v>-0.54</v>
      </c>
      <c r="E1114">
        <v>16.89</v>
      </c>
      <c r="F1114">
        <v>5.21</v>
      </c>
      <c r="G1114">
        <v>12.64</v>
      </c>
      <c r="H1114">
        <v>6.36</v>
      </c>
      <c r="I1114">
        <v>15.8</v>
      </c>
    </row>
    <row r="1115" spans="1:9" x14ac:dyDescent="0.25">
      <c r="A1115" s="2">
        <v>43206</v>
      </c>
      <c r="B1115">
        <v>7.75</v>
      </c>
      <c r="C1115">
        <v>7.72</v>
      </c>
      <c r="D1115">
        <v>-0.24</v>
      </c>
      <c r="E1115">
        <v>17.18</v>
      </c>
      <c r="F1115">
        <v>5.2</v>
      </c>
      <c r="G1115">
        <v>13</v>
      </c>
      <c r="H1115">
        <v>6.43</v>
      </c>
      <c r="I1115">
        <v>15.76</v>
      </c>
    </row>
    <row r="1116" spans="1:9" x14ac:dyDescent="0.25">
      <c r="A1116" s="2">
        <v>43207</v>
      </c>
      <c r="B1116">
        <v>7.73</v>
      </c>
      <c r="C1116">
        <v>7.69</v>
      </c>
      <c r="D1116">
        <v>-0.37</v>
      </c>
      <c r="E1116">
        <v>17.14</v>
      </c>
      <c r="F1116">
        <v>5.21</v>
      </c>
      <c r="G1116">
        <v>13.09</v>
      </c>
      <c r="H1116">
        <v>6.47</v>
      </c>
      <c r="I1116">
        <v>15.6</v>
      </c>
    </row>
    <row r="1117" spans="1:9" x14ac:dyDescent="0.25">
      <c r="A1117" s="2">
        <v>43208</v>
      </c>
      <c r="B1117">
        <v>7.82</v>
      </c>
      <c r="C1117">
        <v>7.71</v>
      </c>
      <c r="D1117">
        <v>-0.18</v>
      </c>
      <c r="E1117">
        <v>16.98</v>
      </c>
      <c r="F1117">
        <v>5.14</v>
      </c>
      <c r="G1117">
        <v>12.95</v>
      </c>
      <c r="H1117">
        <v>6.46</v>
      </c>
      <c r="I1117">
        <v>15.96</v>
      </c>
    </row>
    <row r="1118" spans="1:9" x14ac:dyDescent="0.25">
      <c r="A1118" s="2">
        <v>43209</v>
      </c>
      <c r="B1118">
        <v>8.1300000000000008</v>
      </c>
      <c r="C1118">
        <v>7.73</v>
      </c>
      <c r="D1118">
        <v>0.2</v>
      </c>
      <c r="E1118">
        <v>17.510000000000002</v>
      </c>
      <c r="F1118">
        <v>5.23</v>
      </c>
      <c r="G1118">
        <v>13.35</v>
      </c>
      <c r="H1118">
        <v>6.53</v>
      </c>
      <c r="I1118">
        <v>16</v>
      </c>
    </row>
    <row r="1119" spans="1:9" x14ac:dyDescent="0.25">
      <c r="A1119" s="2">
        <v>43210</v>
      </c>
      <c r="B1119">
        <v>8.14</v>
      </c>
      <c r="C1119">
        <v>7.6</v>
      </c>
      <c r="D1119">
        <v>0.13</v>
      </c>
      <c r="E1119">
        <v>17.64</v>
      </c>
      <c r="F1119">
        <v>5.18</v>
      </c>
      <c r="G1119">
        <v>13.55</v>
      </c>
      <c r="H1119">
        <v>6.53</v>
      </c>
      <c r="I1119">
        <v>15.88</v>
      </c>
    </row>
    <row r="1120" spans="1:9" x14ac:dyDescent="0.25">
      <c r="A1120" s="2">
        <v>43213</v>
      </c>
      <c r="B1120">
        <v>7.98</v>
      </c>
      <c r="C1120">
        <v>7.48</v>
      </c>
      <c r="D1120">
        <v>-0.01</v>
      </c>
      <c r="E1120">
        <v>17.21</v>
      </c>
      <c r="F1120">
        <v>4.9400000000000004</v>
      </c>
      <c r="G1120">
        <v>13.56</v>
      </c>
      <c r="H1120">
        <v>6.43</v>
      </c>
      <c r="I1120">
        <v>15.8</v>
      </c>
    </row>
    <row r="1121" spans="1:9" x14ac:dyDescent="0.25">
      <c r="A1121" s="2">
        <v>43214</v>
      </c>
      <c r="B1121">
        <v>7.88</v>
      </c>
      <c r="C1121">
        <v>7.4</v>
      </c>
      <c r="D1121">
        <v>-0.04</v>
      </c>
      <c r="E1121">
        <v>17.21</v>
      </c>
      <c r="F1121">
        <v>4.9400000000000004</v>
      </c>
      <c r="G1121">
        <v>13.42</v>
      </c>
      <c r="H1121">
        <v>6.32</v>
      </c>
      <c r="I1121">
        <v>15.9</v>
      </c>
    </row>
    <row r="1122" spans="1:9" x14ac:dyDescent="0.25">
      <c r="A1122" s="2">
        <v>43215</v>
      </c>
      <c r="B1122">
        <v>7.91</v>
      </c>
      <c r="C1122">
        <v>7.32</v>
      </c>
      <c r="D1122">
        <v>0.05</v>
      </c>
      <c r="E1122">
        <v>17.309999999999999</v>
      </c>
      <c r="F1122">
        <v>4.83</v>
      </c>
      <c r="G1122">
        <v>13.38</v>
      </c>
      <c r="H1122">
        <v>6.18</v>
      </c>
      <c r="I1122">
        <v>15.85</v>
      </c>
    </row>
    <row r="1123" spans="1:9" x14ac:dyDescent="0.25">
      <c r="A1123" s="2">
        <v>43216</v>
      </c>
      <c r="B1123">
        <v>7.55</v>
      </c>
      <c r="C1123">
        <v>7.25</v>
      </c>
      <c r="D1123">
        <v>-0.26</v>
      </c>
      <c r="E1123">
        <v>17.29</v>
      </c>
      <c r="F1123">
        <v>4.9000000000000004</v>
      </c>
      <c r="G1123">
        <v>13.23</v>
      </c>
      <c r="H1123">
        <v>6.12</v>
      </c>
      <c r="I1123">
        <v>15.48</v>
      </c>
    </row>
    <row r="1124" spans="1:9" x14ac:dyDescent="0.25">
      <c r="A1124" s="2">
        <v>43217</v>
      </c>
      <c r="B1124">
        <v>7.37</v>
      </c>
      <c r="C1124">
        <v>7.19</v>
      </c>
      <c r="D1124">
        <v>-0.1</v>
      </c>
      <c r="E1124">
        <v>16.73</v>
      </c>
      <c r="F1124">
        <v>4.7699999999999996</v>
      </c>
      <c r="G1124">
        <v>12.66</v>
      </c>
      <c r="H1124">
        <v>5.99</v>
      </c>
      <c r="I1124">
        <v>15.96</v>
      </c>
    </row>
    <row r="1125" spans="1:9" x14ac:dyDescent="0.25">
      <c r="A1125" s="2">
        <v>43222</v>
      </c>
      <c r="B1125">
        <v>7.86</v>
      </c>
      <c r="C1125">
        <v>7.29</v>
      </c>
      <c r="D1125">
        <v>0.61</v>
      </c>
      <c r="E1125">
        <v>17.350000000000001</v>
      </c>
      <c r="F1125">
        <v>4.9400000000000004</v>
      </c>
      <c r="G1125">
        <v>13.13</v>
      </c>
      <c r="H1125">
        <v>6.07</v>
      </c>
      <c r="I1125">
        <v>16.2</v>
      </c>
    </row>
    <row r="1126" spans="1:9" x14ac:dyDescent="0.25">
      <c r="A1126" s="2">
        <v>43223</v>
      </c>
      <c r="B1126">
        <v>8.09</v>
      </c>
      <c r="C1126">
        <v>7.31</v>
      </c>
      <c r="D1126">
        <v>0.93</v>
      </c>
      <c r="E1126">
        <v>17.77</v>
      </c>
      <c r="F1126">
        <v>4.95</v>
      </c>
      <c r="G1126">
        <v>13.48</v>
      </c>
      <c r="H1126">
        <v>6.09</v>
      </c>
      <c r="I1126">
        <v>16.36</v>
      </c>
    </row>
    <row r="1127" spans="1:9" x14ac:dyDescent="0.25">
      <c r="A1127" s="2">
        <v>43227</v>
      </c>
      <c r="B1127">
        <v>8.15</v>
      </c>
      <c r="C1127">
        <v>7.24</v>
      </c>
      <c r="D1127">
        <v>0.92</v>
      </c>
      <c r="E1127">
        <v>18.02</v>
      </c>
      <c r="F1127">
        <v>4.8600000000000003</v>
      </c>
      <c r="G1127">
        <v>13.65</v>
      </c>
      <c r="H1127">
        <v>5.99</v>
      </c>
      <c r="I1127">
        <v>15.97</v>
      </c>
    </row>
    <row r="1128" spans="1:9" x14ac:dyDescent="0.25">
      <c r="A1128" s="2">
        <v>43228</v>
      </c>
      <c r="B1128">
        <v>8.4</v>
      </c>
      <c r="C1128">
        <v>7.21</v>
      </c>
      <c r="D1128">
        <v>1.1499999999999999</v>
      </c>
      <c r="E1128">
        <v>18.03</v>
      </c>
      <c r="F1128">
        <v>4.83</v>
      </c>
      <c r="G1128">
        <v>13.59</v>
      </c>
      <c r="H1128">
        <v>5.93</v>
      </c>
      <c r="I1128">
        <v>16.54</v>
      </c>
    </row>
    <row r="1129" spans="1:9" x14ac:dyDescent="0.25">
      <c r="A1129" s="2">
        <v>43229</v>
      </c>
      <c r="B1129">
        <v>8.5299999999999994</v>
      </c>
      <c r="C1129">
        <v>7.17</v>
      </c>
      <c r="D1129">
        <v>1.49</v>
      </c>
      <c r="E1129">
        <v>18.43</v>
      </c>
      <c r="F1129">
        <v>4.88</v>
      </c>
      <c r="G1129">
        <v>13.95</v>
      </c>
      <c r="H1129">
        <v>5.94</v>
      </c>
      <c r="I1129">
        <v>16.52</v>
      </c>
    </row>
    <row r="1130" spans="1:9" x14ac:dyDescent="0.25">
      <c r="A1130" s="2">
        <v>43230</v>
      </c>
      <c r="B1130">
        <v>8.57</v>
      </c>
      <c r="C1130">
        <v>7.03</v>
      </c>
      <c r="D1130">
        <v>1.8</v>
      </c>
      <c r="E1130">
        <v>17.920000000000002</v>
      </c>
      <c r="F1130">
        <v>4.66</v>
      </c>
      <c r="G1130">
        <v>13.97</v>
      </c>
      <c r="H1130">
        <v>5.79</v>
      </c>
      <c r="I1130">
        <v>16.68</v>
      </c>
    </row>
    <row r="1131" spans="1:9" x14ac:dyDescent="0.25">
      <c r="A1131" s="2">
        <v>43231</v>
      </c>
      <c r="B1131">
        <v>8.69</v>
      </c>
      <c r="C1131">
        <v>7.01</v>
      </c>
      <c r="D1131">
        <v>2.09</v>
      </c>
      <c r="E1131">
        <v>18.13</v>
      </c>
      <c r="F1131">
        <v>4.66</v>
      </c>
      <c r="G1131">
        <v>14.11</v>
      </c>
      <c r="H1131">
        <v>5.73</v>
      </c>
      <c r="I1131">
        <v>17.03</v>
      </c>
    </row>
    <row r="1132" spans="1:9" x14ac:dyDescent="0.25">
      <c r="A1132" s="2">
        <v>43235</v>
      </c>
      <c r="B1132">
        <v>9.06</v>
      </c>
      <c r="C1132">
        <v>7.1</v>
      </c>
      <c r="D1132">
        <v>2.2400000000000002</v>
      </c>
      <c r="E1132">
        <v>18.8</v>
      </c>
      <c r="F1132">
        <v>4.91</v>
      </c>
      <c r="G1132">
        <v>14.46</v>
      </c>
      <c r="H1132">
        <v>5.88</v>
      </c>
      <c r="I1132">
        <v>17.010000000000002</v>
      </c>
    </row>
    <row r="1133" spans="1:9" x14ac:dyDescent="0.25">
      <c r="A1133" s="2">
        <v>43236</v>
      </c>
      <c r="B1133">
        <v>9.06</v>
      </c>
      <c r="C1133">
        <v>7.07</v>
      </c>
      <c r="D1133">
        <v>2.23</v>
      </c>
      <c r="E1133">
        <v>18.850000000000001</v>
      </c>
      <c r="F1133">
        <v>4.78</v>
      </c>
      <c r="G1133">
        <v>14.4</v>
      </c>
      <c r="H1133">
        <v>5.8</v>
      </c>
      <c r="I1133">
        <v>16.86</v>
      </c>
    </row>
    <row r="1134" spans="1:9" x14ac:dyDescent="0.25">
      <c r="A1134" s="2">
        <v>43237</v>
      </c>
      <c r="B1134">
        <v>9.1</v>
      </c>
      <c r="C1134">
        <v>6.95</v>
      </c>
      <c r="D1134">
        <v>2.34</v>
      </c>
      <c r="E1134">
        <v>18.52</v>
      </c>
      <c r="F1134">
        <v>4.6399999999999997</v>
      </c>
      <c r="G1134">
        <v>14.32</v>
      </c>
      <c r="H1134">
        <v>5.62</v>
      </c>
      <c r="I1134">
        <v>17.09</v>
      </c>
    </row>
    <row r="1135" spans="1:9" x14ac:dyDescent="0.25">
      <c r="A1135" s="2">
        <v>43238</v>
      </c>
      <c r="B1135">
        <v>9.19</v>
      </c>
      <c r="C1135">
        <v>6.84</v>
      </c>
      <c r="D1135">
        <v>2.62</v>
      </c>
      <c r="E1135">
        <v>18.809999999999999</v>
      </c>
      <c r="F1135">
        <v>4.71</v>
      </c>
      <c r="G1135">
        <v>14.49</v>
      </c>
      <c r="H1135">
        <v>5.61</v>
      </c>
      <c r="I1135">
        <v>17.18</v>
      </c>
    </row>
    <row r="1136" spans="1:9" x14ac:dyDescent="0.25">
      <c r="A1136" s="2">
        <v>43241</v>
      </c>
      <c r="B1136">
        <v>9.19</v>
      </c>
      <c r="C1136">
        <v>6.77</v>
      </c>
      <c r="D1136">
        <v>2.62</v>
      </c>
      <c r="E1136">
        <v>18.86</v>
      </c>
      <c r="F1136">
        <v>4.54</v>
      </c>
      <c r="G1136">
        <v>14.63</v>
      </c>
      <c r="H1136">
        <v>5.54</v>
      </c>
      <c r="I1136">
        <v>17.05</v>
      </c>
    </row>
    <row r="1137" spans="1:9" x14ac:dyDescent="0.25">
      <c r="A1137" s="2">
        <v>43242</v>
      </c>
      <c r="B1137">
        <v>9.2799999999999994</v>
      </c>
      <c r="C1137">
        <v>6.8</v>
      </c>
      <c r="D1137">
        <v>2.72</v>
      </c>
      <c r="E1137">
        <v>18.690000000000001</v>
      </c>
      <c r="F1137">
        <v>4.5199999999999996</v>
      </c>
      <c r="G1137">
        <v>14.65</v>
      </c>
      <c r="H1137">
        <v>5.5</v>
      </c>
      <c r="I1137">
        <v>17.16</v>
      </c>
    </row>
    <row r="1138" spans="1:9" x14ac:dyDescent="0.25">
      <c r="A1138" s="2">
        <v>43243</v>
      </c>
      <c r="B1138">
        <v>9.36</v>
      </c>
      <c r="C1138">
        <v>6.79</v>
      </c>
      <c r="D1138">
        <v>2.87</v>
      </c>
      <c r="E1138">
        <v>18.690000000000001</v>
      </c>
      <c r="F1138">
        <v>4.51</v>
      </c>
      <c r="G1138">
        <v>14.61</v>
      </c>
      <c r="H1138">
        <v>5.5</v>
      </c>
      <c r="I1138">
        <v>17.350000000000001</v>
      </c>
    </row>
    <row r="1139" spans="1:9" x14ac:dyDescent="0.25">
      <c r="A1139" s="2">
        <v>43244</v>
      </c>
      <c r="B1139">
        <v>9.35</v>
      </c>
      <c r="C1139">
        <v>6.9</v>
      </c>
      <c r="D1139">
        <v>2.94</v>
      </c>
      <c r="E1139">
        <v>19.09</v>
      </c>
      <c r="F1139">
        <v>4.5599999999999996</v>
      </c>
      <c r="G1139">
        <v>14.95</v>
      </c>
      <c r="H1139">
        <v>5.53</v>
      </c>
      <c r="I1139">
        <v>17.010000000000002</v>
      </c>
    </row>
    <row r="1140" spans="1:9" x14ac:dyDescent="0.25">
      <c r="A1140" s="2">
        <v>43245</v>
      </c>
      <c r="B1140">
        <v>9.2799999999999994</v>
      </c>
      <c r="C1140">
        <v>6.98</v>
      </c>
      <c r="D1140">
        <v>3.08</v>
      </c>
      <c r="E1140">
        <v>18.75</v>
      </c>
      <c r="F1140">
        <v>4.67</v>
      </c>
      <c r="G1140">
        <v>14.41</v>
      </c>
      <c r="H1140">
        <v>5.53</v>
      </c>
      <c r="I1140">
        <v>16.899999999999999</v>
      </c>
    </row>
    <row r="1141" spans="1:9" x14ac:dyDescent="0.25">
      <c r="A1141" s="2">
        <v>43248</v>
      </c>
      <c r="B1141">
        <v>9.35</v>
      </c>
      <c r="C1141">
        <v>7.17</v>
      </c>
      <c r="D1141">
        <v>3.13</v>
      </c>
      <c r="E1141">
        <v>18.66</v>
      </c>
      <c r="F1141">
        <v>4.8099999999999996</v>
      </c>
      <c r="G1141">
        <v>14.29</v>
      </c>
      <c r="H1141">
        <v>5.58</v>
      </c>
      <c r="I1141">
        <v>17.04</v>
      </c>
    </row>
    <row r="1142" spans="1:9" x14ac:dyDescent="0.25">
      <c r="A1142" s="2">
        <v>43249</v>
      </c>
      <c r="B1142">
        <v>9.36</v>
      </c>
      <c r="C1142">
        <v>7.33</v>
      </c>
      <c r="D1142">
        <v>3.14</v>
      </c>
      <c r="E1142">
        <v>18.95</v>
      </c>
      <c r="F1142">
        <v>4.92</v>
      </c>
      <c r="G1142">
        <v>14.37</v>
      </c>
      <c r="H1142">
        <v>5.64</v>
      </c>
      <c r="I1142">
        <v>16.97</v>
      </c>
    </row>
    <row r="1143" spans="1:9" x14ac:dyDescent="0.25">
      <c r="A1143" s="2">
        <v>43250</v>
      </c>
      <c r="B1143">
        <v>9.3699999999999992</v>
      </c>
      <c r="C1143">
        <v>7.39</v>
      </c>
      <c r="D1143">
        <v>3.28</v>
      </c>
      <c r="E1143">
        <v>18.920000000000002</v>
      </c>
      <c r="F1143">
        <v>4.93</v>
      </c>
      <c r="G1143">
        <v>14.31</v>
      </c>
      <c r="H1143">
        <v>5.66</v>
      </c>
      <c r="I1143">
        <v>16.420000000000002</v>
      </c>
    </row>
    <row r="1144" spans="1:9" x14ac:dyDescent="0.25">
      <c r="A1144" s="2">
        <v>43251</v>
      </c>
      <c r="B1144">
        <v>9.02</v>
      </c>
      <c r="C1144">
        <v>7.42</v>
      </c>
      <c r="D1144">
        <v>3.12</v>
      </c>
      <c r="E1144">
        <v>18.37</v>
      </c>
      <c r="F1144">
        <v>4.76</v>
      </c>
      <c r="G1144">
        <v>13.84</v>
      </c>
      <c r="H1144">
        <v>5.68</v>
      </c>
      <c r="I1144">
        <v>16.39</v>
      </c>
    </row>
    <row r="1145" spans="1:9" x14ac:dyDescent="0.25">
      <c r="A1145" s="2">
        <v>43252</v>
      </c>
      <c r="B1145">
        <v>9.18</v>
      </c>
      <c r="C1145">
        <v>7.34</v>
      </c>
      <c r="D1145">
        <v>3.13</v>
      </c>
      <c r="E1145">
        <v>18.37</v>
      </c>
      <c r="F1145">
        <v>4.6100000000000003</v>
      </c>
      <c r="G1145">
        <v>13.79</v>
      </c>
      <c r="H1145">
        <v>5.61</v>
      </c>
      <c r="I1145">
        <v>16.239999999999998</v>
      </c>
    </row>
    <row r="1146" spans="1:9" x14ac:dyDescent="0.25">
      <c r="A1146" s="2">
        <v>43255</v>
      </c>
      <c r="B1146">
        <v>9.02</v>
      </c>
      <c r="C1146">
        <v>7.25</v>
      </c>
      <c r="D1146">
        <v>2.94</v>
      </c>
      <c r="E1146">
        <v>18.25</v>
      </c>
      <c r="F1146">
        <v>4.6900000000000004</v>
      </c>
      <c r="G1146">
        <v>13.71</v>
      </c>
      <c r="H1146">
        <v>5.62</v>
      </c>
      <c r="I1146">
        <v>16.59</v>
      </c>
    </row>
    <row r="1147" spans="1:9" x14ac:dyDescent="0.25">
      <c r="A1147" s="2">
        <v>43256</v>
      </c>
      <c r="B1147">
        <v>9.17</v>
      </c>
      <c r="C1147">
        <v>7.13</v>
      </c>
      <c r="D1147">
        <v>3.19</v>
      </c>
      <c r="E1147">
        <v>18.63</v>
      </c>
      <c r="F1147">
        <v>4.66</v>
      </c>
      <c r="G1147">
        <v>13.94</v>
      </c>
      <c r="H1147">
        <v>5.58</v>
      </c>
      <c r="I1147">
        <v>16.79</v>
      </c>
    </row>
    <row r="1148" spans="1:9" x14ac:dyDescent="0.25">
      <c r="A1148" s="2">
        <v>43257</v>
      </c>
      <c r="B1148">
        <v>9.4</v>
      </c>
      <c r="C1148">
        <v>7.17</v>
      </c>
      <c r="D1148">
        <v>3.26</v>
      </c>
      <c r="E1148">
        <v>18.899999999999999</v>
      </c>
      <c r="F1148">
        <v>4.76</v>
      </c>
      <c r="G1148">
        <v>14.11</v>
      </c>
      <c r="H1148">
        <v>5.63</v>
      </c>
      <c r="I1148">
        <v>16.739999999999998</v>
      </c>
    </row>
    <row r="1149" spans="1:9" x14ac:dyDescent="0.25">
      <c r="A1149" s="2">
        <v>43258</v>
      </c>
      <c r="B1149">
        <v>9.3699999999999992</v>
      </c>
      <c r="C1149">
        <v>7.05</v>
      </c>
      <c r="D1149">
        <v>3.18</v>
      </c>
      <c r="E1149">
        <v>18.87</v>
      </c>
      <c r="F1149">
        <v>4.7699999999999996</v>
      </c>
      <c r="G1149">
        <v>14.22</v>
      </c>
      <c r="H1149">
        <v>5.63</v>
      </c>
      <c r="I1149">
        <v>16.55</v>
      </c>
    </row>
    <row r="1150" spans="1:9" x14ac:dyDescent="0.25">
      <c r="A1150" s="2">
        <v>43259</v>
      </c>
      <c r="B1150">
        <v>9.25</v>
      </c>
      <c r="C1150">
        <v>6.87</v>
      </c>
      <c r="D1150">
        <v>2.92</v>
      </c>
      <c r="E1150">
        <v>18.739999999999998</v>
      </c>
      <c r="F1150">
        <v>4.3499999999999996</v>
      </c>
      <c r="G1150">
        <v>14.04</v>
      </c>
      <c r="H1150">
        <v>5.52</v>
      </c>
      <c r="I1150">
        <v>16.399999999999999</v>
      </c>
    </row>
    <row r="1151" spans="1:9" x14ac:dyDescent="0.25">
      <c r="A1151" s="2">
        <v>43262</v>
      </c>
      <c r="B1151">
        <v>9.31</v>
      </c>
      <c r="C1151">
        <v>6.96</v>
      </c>
      <c r="D1151">
        <v>2.86</v>
      </c>
      <c r="E1151">
        <v>18.649999999999999</v>
      </c>
      <c r="F1151">
        <v>4.2300000000000004</v>
      </c>
      <c r="G1151">
        <v>14.14</v>
      </c>
      <c r="H1151">
        <v>5.48</v>
      </c>
      <c r="I1151">
        <v>16.34</v>
      </c>
    </row>
    <row r="1152" spans="1:9" x14ac:dyDescent="0.25">
      <c r="A1152" s="2">
        <v>43263</v>
      </c>
      <c r="B1152">
        <v>9.24</v>
      </c>
      <c r="C1152">
        <v>6.91</v>
      </c>
      <c r="D1152">
        <v>3.04</v>
      </c>
      <c r="E1152">
        <v>18.579999999999998</v>
      </c>
      <c r="F1152">
        <v>4.3</v>
      </c>
      <c r="G1152">
        <v>14.01</v>
      </c>
      <c r="H1152">
        <v>5.45</v>
      </c>
      <c r="I1152">
        <v>16.61</v>
      </c>
    </row>
    <row r="1153" spans="1:9" x14ac:dyDescent="0.25">
      <c r="A1153" s="2">
        <v>43264</v>
      </c>
      <c r="B1153">
        <v>9.3000000000000007</v>
      </c>
      <c r="C1153">
        <v>6.83</v>
      </c>
      <c r="D1153">
        <v>3.04</v>
      </c>
      <c r="E1153">
        <v>18.89</v>
      </c>
      <c r="F1153">
        <v>4.28</v>
      </c>
      <c r="G1153">
        <v>14.2</v>
      </c>
      <c r="H1153">
        <v>5.41</v>
      </c>
      <c r="I1153">
        <v>16.57</v>
      </c>
    </row>
    <row r="1154" spans="1:9" x14ac:dyDescent="0.25">
      <c r="A1154" s="2">
        <v>43265</v>
      </c>
      <c r="B1154">
        <v>9.41</v>
      </c>
      <c r="C1154">
        <v>6.82</v>
      </c>
      <c r="D1154">
        <v>3.18</v>
      </c>
      <c r="E1154">
        <v>18.850000000000001</v>
      </c>
      <c r="F1154">
        <v>4.2300000000000004</v>
      </c>
      <c r="G1154">
        <v>14.23</v>
      </c>
      <c r="H1154">
        <v>5.4</v>
      </c>
      <c r="I1154">
        <v>16.670000000000002</v>
      </c>
    </row>
    <row r="1155" spans="1:9" x14ac:dyDescent="0.25">
      <c r="A1155" s="2">
        <v>43266</v>
      </c>
      <c r="B1155">
        <v>9.41</v>
      </c>
      <c r="C1155">
        <v>6.86</v>
      </c>
      <c r="D1155">
        <v>3.36</v>
      </c>
      <c r="E1155">
        <v>18.95</v>
      </c>
      <c r="F1155">
        <v>4.2699999999999996</v>
      </c>
      <c r="G1155">
        <v>14.3</v>
      </c>
      <c r="H1155">
        <v>5.37</v>
      </c>
      <c r="I1155">
        <v>17.18</v>
      </c>
    </row>
    <row r="1156" spans="1:9" x14ac:dyDescent="0.25">
      <c r="A1156" s="2">
        <v>43269</v>
      </c>
      <c r="B1156">
        <v>9.6999999999999993</v>
      </c>
      <c r="C1156">
        <v>7.04</v>
      </c>
      <c r="D1156">
        <v>4</v>
      </c>
      <c r="E1156">
        <v>19.3</v>
      </c>
      <c r="F1156">
        <v>4.5</v>
      </c>
      <c r="G1156">
        <v>14.77</v>
      </c>
      <c r="H1156">
        <v>5.42</v>
      </c>
      <c r="I1156">
        <v>16.88</v>
      </c>
    </row>
    <row r="1157" spans="1:9" x14ac:dyDescent="0.25">
      <c r="A1157" s="2">
        <v>43270</v>
      </c>
      <c r="B1157">
        <v>9.6999999999999993</v>
      </c>
      <c r="C1157">
        <v>7.03</v>
      </c>
      <c r="D1157">
        <v>3.95</v>
      </c>
      <c r="E1157">
        <v>18.920000000000002</v>
      </c>
      <c r="F1157">
        <v>4.57</v>
      </c>
      <c r="G1157">
        <v>14.5</v>
      </c>
      <c r="H1157">
        <v>5.42</v>
      </c>
      <c r="I1157">
        <v>16.63</v>
      </c>
    </row>
    <row r="1158" spans="1:9" x14ac:dyDescent="0.25">
      <c r="A1158" s="2">
        <v>43271</v>
      </c>
      <c r="B1158">
        <v>9.3699999999999992</v>
      </c>
      <c r="C1158">
        <v>7.06</v>
      </c>
      <c r="D1158">
        <v>3.86</v>
      </c>
      <c r="E1158">
        <v>18.739999999999998</v>
      </c>
      <c r="F1158">
        <v>4.5199999999999996</v>
      </c>
      <c r="G1158">
        <v>14</v>
      </c>
      <c r="H1158">
        <v>5.36</v>
      </c>
      <c r="I1158">
        <v>16.37</v>
      </c>
    </row>
    <row r="1159" spans="1:9" x14ac:dyDescent="0.25">
      <c r="A1159" s="2">
        <v>43272</v>
      </c>
      <c r="B1159">
        <v>9.11</v>
      </c>
      <c r="C1159">
        <v>6.98</v>
      </c>
      <c r="D1159">
        <v>3.83</v>
      </c>
      <c r="E1159">
        <v>18.39</v>
      </c>
      <c r="F1159">
        <v>4.49</v>
      </c>
      <c r="G1159">
        <v>13.59</v>
      </c>
      <c r="H1159">
        <v>5.34</v>
      </c>
      <c r="I1159">
        <v>16.45</v>
      </c>
    </row>
    <row r="1160" spans="1:9" x14ac:dyDescent="0.25">
      <c r="A1160" s="2">
        <v>43273</v>
      </c>
      <c r="B1160">
        <v>9.17</v>
      </c>
      <c r="C1160">
        <v>6.99</v>
      </c>
      <c r="D1160">
        <v>3.83</v>
      </c>
      <c r="E1160">
        <v>18.670000000000002</v>
      </c>
      <c r="F1160">
        <v>4.6100000000000003</v>
      </c>
      <c r="G1160">
        <v>13.74</v>
      </c>
      <c r="H1160">
        <v>5.36</v>
      </c>
      <c r="I1160">
        <v>16.07</v>
      </c>
    </row>
    <row r="1161" spans="1:9" x14ac:dyDescent="0.25">
      <c r="A1161" s="2">
        <v>43276</v>
      </c>
      <c r="B1161">
        <v>8.82</v>
      </c>
      <c r="C1161">
        <v>6.94</v>
      </c>
      <c r="D1161">
        <v>3.43</v>
      </c>
      <c r="E1161">
        <v>18.27</v>
      </c>
      <c r="F1161">
        <v>4.51</v>
      </c>
      <c r="G1161">
        <v>13.32</v>
      </c>
      <c r="H1161">
        <v>5.32</v>
      </c>
      <c r="I1161">
        <v>16.350000000000001</v>
      </c>
    </row>
    <row r="1162" spans="1:9" x14ac:dyDescent="0.25">
      <c r="A1162" s="2">
        <v>43277</v>
      </c>
      <c r="B1162">
        <v>8.84</v>
      </c>
      <c r="C1162">
        <v>6.95</v>
      </c>
      <c r="D1162">
        <v>3.24</v>
      </c>
      <c r="E1162">
        <v>18.559999999999999</v>
      </c>
      <c r="F1162">
        <v>4.62</v>
      </c>
      <c r="G1162">
        <v>13.56</v>
      </c>
      <c r="H1162">
        <v>5.36</v>
      </c>
      <c r="I1162">
        <v>15.49</v>
      </c>
    </row>
    <row r="1163" spans="1:9" x14ac:dyDescent="0.25">
      <c r="A1163" s="2">
        <v>43278</v>
      </c>
      <c r="B1163">
        <v>8.23</v>
      </c>
      <c r="C1163">
        <v>6.95</v>
      </c>
      <c r="D1163">
        <v>2.58</v>
      </c>
      <c r="E1163">
        <v>17.43</v>
      </c>
      <c r="F1163">
        <v>4.42</v>
      </c>
      <c r="G1163">
        <v>12.79</v>
      </c>
      <c r="H1163">
        <v>5.35</v>
      </c>
      <c r="I1163">
        <v>15.53</v>
      </c>
    </row>
    <row r="1164" spans="1:9" x14ac:dyDescent="0.25">
      <c r="A1164" s="2">
        <v>43279</v>
      </c>
      <c r="B1164">
        <v>8.25</v>
      </c>
      <c r="C1164">
        <v>6.99</v>
      </c>
      <c r="D1164">
        <v>2.85</v>
      </c>
      <c r="E1164">
        <v>17.63</v>
      </c>
      <c r="F1164">
        <v>4.41</v>
      </c>
      <c r="G1164">
        <v>12.66</v>
      </c>
      <c r="H1164">
        <v>5.34</v>
      </c>
      <c r="I1164">
        <v>15.79</v>
      </c>
    </row>
    <row r="1165" spans="1:9" x14ac:dyDescent="0.25">
      <c r="A1165" s="2">
        <v>43280</v>
      </c>
      <c r="B1165">
        <v>8.11</v>
      </c>
      <c r="C1165">
        <v>7.04</v>
      </c>
      <c r="D1165">
        <v>2.84</v>
      </c>
      <c r="E1165">
        <v>17.96</v>
      </c>
      <c r="F1165">
        <v>4.51</v>
      </c>
      <c r="G1165">
        <v>13.01</v>
      </c>
      <c r="H1165">
        <v>5.32</v>
      </c>
      <c r="I1165">
        <v>15.51</v>
      </c>
    </row>
    <row r="1166" spans="1:9" x14ac:dyDescent="0.25">
      <c r="A1166" s="2">
        <v>43283</v>
      </c>
      <c r="B1166">
        <v>8.1</v>
      </c>
      <c r="C1166">
        <v>6.94</v>
      </c>
      <c r="D1166">
        <v>2.99</v>
      </c>
      <c r="E1166">
        <v>17.54</v>
      </c>
      <c r="F1166">
        <v>4.4400000000000004</v>
      </c>
      <c r="G1166">
        <v>12.47</v>
      </c>
      <c r="H1166">
        <v>5.25</v>
      </c>
      <c r="I1166">
        <v>15.78</v>
      </c>
    </row>
    <row r="1167" spans="1:9" x14ac:dyDescent="0.25">
      <c r="A1167" s="2">
        <v>43284</v>
      </c>
      <c r="B1167">
        <v>8.17</v>
      </c>
      <c r="C1167">
        <v>6.95</v>
      </c>
      <c r="D1167">
        <v>2.84</v>
      </c>
      <c r="E1167">
        <v>17.899999999999999</v>
      </c>
      <c r="F1167">
        <v>4.49</v>
      </c>
      <c r="G1167">
        <v>12.89</v>
      </c>
      <c r="H1167">
        <v>5.25</v>
      </c>
      <c r="I1167">
        <v>15.44</v>
      </c>
    </row>
    <row r="1168" spans="1:9" x14ac:dyDescent="0.25">
      <c r="A1168" s="2">
        <v>43285</v>
      </c>
      <c r="B1168">
        <v>8.07</v>
      </c>
      <c r="C1168">
        <v>6.88</v>
      </c>
      <c r="D1168">
        <v>2.86</v>
      </c>
      <c r="E1168">
        <v>17.440000000000001</v>
      </c>
      <c r="F1168">
        <v>4.45</v>
      </c>
      <c r="G1168">
        <v>12.4</v>
      </c>
      <c r="H1168">
        <v>5.18</v>
      </c>
      <c r="I1168">
        <v>15.68</v>
      </c>
    </row>
    <row r="1169" spans="1:9" x14ac:dyDescent="0.25">
      <c r="A1169" s="2">
        <v>43286</v>
      </c>
      <c r="B1169">
        <v>8.1</v>
      </c>
      <c r="C1169">
        <v>6.97</v>
      </c>
      <c r="D1169">
        <v>2.84</v>
      </c>
      <c r="E1169">
        <v>17.8</v>
      </c>
      <c r="F1169">
        <v>4.53</v>
      </c>
      <c r="G1169">
        <v>12.75</v>
      </c>
      <c r="H1169">
        <v>5.24</v>
      </c>
      <c r="I1169">
        <v>15.66</v>
      </c>
    </row>
    <row r="1170" spans="1:9" x14ac:dyDescent="0.25">
      <c r="A1170" s="2">
        <v>43287</v>
      </c>
      <c r="B1170">
        <v>8.09</v>
      </c>
      <c r="C1170">
        <v>6.95</v>
      </c>
      <c r="D1170">
        <v>2.71</v>
      </c>
      <c r="E1170">
        <v>17.7</v>
      </c>
      <c r="F1170">
        <v>4.5599999999999996</v>
      </c>
      <c r="G1170">
        <v>12.68</v>
      </c>
      <c r="H1170">
        <v>5.23</v>
      </c>
      <c r="I1170">
        <v>15.75</v>
      </c>
    </row>
    <row r="1171" spans="1:9" x14ac:dyDescent="0.25">
      <c r="A1171" s="2">
        <v>43291</v>
      </c>
      <c r="B1171">
        <v>8.3699999999999992</v>
      </c>
      <c r="C1171">
        <v>7.03</v>
      </c>
      <c r="D1171">
        <v>2.82</v>
      </c>
      <c r="E1171">
        <v>17.829999999999998</v>
      </c>
      <c r="F1171">
        <v>4.63</v>
      </c>
      <c r="G1171">
        <v>12.82</v>
      </c>
      <c r="H1171">
        <v>5.3</v>
      </c>
      <c r="I1171">
        <v>15.87</v>
      </c>
    </row>
    <row r="1172" spans="1:9" x14ac:dyDescent="0.25">
      <c r="A1172" s="2">
        <v>43292</v>
      </c>
      <c r="B1172">
        <v>8.98</v>
      </c>
      <c r="C1172">
        <v>7.2</v>
      </c>
      <c r="D1172">
        <v>3.48</v>
      </c>
      <c r="E1172">
        <v>18.62</v>
      </c>
      <c r="F1172">
        <v>4.84</v>
      </c>
      <c r="G1172">
        <v>13.26</v>
      </c>
      <c r="H1172">
        <v>5.45</v>
      </c>
      <c r="I1172">
        <v>16.489999999999998</v>
      </c>
    </row>
    <row r="1173" spans="1:9" x14ac:dyDescent="0.25">
      <c r="A1173" s="2">
        <v>43293</v>
      </c>
      <c r="B1173">
        <v>9.16</v>
      </c>
      <c r="C1173">
        <v>7.2</v>
      </c>
      <c r="D1173">
        <v>3.54</v>
      </c>
      <c r="E1173">
        <v>18.78</v>
      </c>
      <c r="F1173">
        <v>4.83</v>
      </c>
      <c r="G1173">
        <v>13.59</v>
      </c>
      <c r="H1173">
        <v>5.49</v>
      </c>
      <c r="I1173">
        <v>16</v>
      </c>
    </row>
    <row r="1174" spans="1:9" x14ac:dyDescent="0.25">
      <c r="A1174" s="2">
        <v>43294</v>
      </c>
      <c r="B1174">
        <v>8.85</v>
      </c>
      <c r="C1174">
        <v>7.26</v>
      </c>
      <c r="D1174">
        <v>3.36</v>
      </c>
      <c r="E1174">
        <v>18.350000000000001</v>
      </c>
      <c r="F1174">
        <v>4.8099999999999996</v>
      </c>
      <c r="G1174">
        <v>13.01</v>
      </c>
      <c r="H1174">
        <v>5.47</v>
      </c>
      <c r="I1174">
        <v>16.27</v>
      </c>
    </row>
    <row r="1175" spans="1:9" x14ac:dyDescent="0.25">
      <c r="A1175" s="2">
        <v>43297</v>
      </c>
      <c r="B1175">
        <v>9.18</v>
      </c>
      <c r="C1175">
        <v>7.3</v>
      </c>
      <c r="D1175">
        <v>3.84</v>
      </c>
      <c r="E1175">
        <v>18.62</v>
      </c>
      <c r="F1175">
        <v>4.68</v>
      </c>
      <c r="G1175">
        <v>13.29</v>
      </c>
      <c r="H1175">
        <v>5.48</v>
      </c>
      <c r="I1175">
        <v>16.45</v>
      </c>
    </row>
    <row r="1176" spans="1:9" x14ac:dyDescent="0.25">
      <c r="A1176" s="2">
        <v>43298</v>
      </c>
      <c r="B1176">
        <v>9.2899999999999991</v>
      </c>
      <c r="C1176">
        <v>7.33</v>
      </c>
      <c r="D1176">
        <v>3.87</v>
      </c>
      <c r="E1176">
        <v>18.91</v>
      </c>
      <c r="F1176">
        <v>4.83</v>
      </c>
      <c r="G1176">
        <v>13.42</v>
      </c>
      <c r="H1176">
        <v>5.54</v>
      </c>
      <c r="I1176">
        <v>16.260000000000002</v>
      </c>
    </row>
    <row r="1177" spans="1:9" x14ac:dyDescent="0.25">
      <c r="A1177" s="2">
        <v>43299</v>
      </c>
      <c r="B1177">
        <v>9.1999999999999993</v>
      </c>
      <c r="C1177">
        <v>7.35</v>
      </c>
      <c r="D1177">
        <v>3.7</v>
      </c>
      <c r="E1177">
        <v>18.64</v>
      </c>
      <c r="F1177">
        <v>4.7300000000000004</v>
      </c>
      <c r="G1177">
        <v>13.3</v>
      </c>
      <c r="H1177">
        <v>5.54</v>
      </c>
      <c r="I1177">
        <v>16.48</v>
      </c>
    </row>
    <row r="1178" spans="1:9" x14ac:dyDescent="0.25">
      <c r="A1178" s="2">
        <v>43300</v>
      </c>
      <c r="B1178">
        <v>9.4600000000000009</v>
      </c>
      <c r="C1178">
        <v>7.41</v>
      </c>
      <c r="D1178">
        <v>4.08</v>
      </c>
      <c r="E1178">
        <v>18.77</v>
      </c>
      <c r="F1178">
        <v>4.76</v>
      </c>
      <c r="G1178">
        <v>13.41</v>
      </c>
      <c r="H1178">
        <v>5.55</v>
      </c>
      <c r="I1178">
        <v>16.75</v>
      </c>
    </row>
    <row r="1179" spans="1:9" x14ac:dyDescent="0.25">
      <c r="A1179" s="2">
        <v>43301</v>
      </c>
      <c r="B1179">
        <v>9.6999999999999993</v>
      </c>
      <c r="C1179">
        <v>7.38</v>
      </c>
      <c r="D1179">
        <v>4.3</v>
      </c>
      <c r="E1179">
        <v>19.04</v>
      </c>
      <c r="F1179">
        <v>4.83</v>
      </c>
      <c r="G1179">
        <v>13.78</v>
      </c>
      <c r="H1179">
        <v>5.57</v>
      </c>
      <c r="I1179">
        <v>16.64</v>
      </c>
    </row>
    <row r="1180" spans="1:9" x14ac:dyDescent="0.25">
      <c r="A1180" s="2">
        <v>43304</v>
      </c>
      <c r="B1180">
        <v>9.48</v>
      </c>
      <c r="C1180">
        <v>7.33</v>
      </c>
      <c r="D1180">
        <v>4.08</v>
      </c>
      <c r="E1180">
        <v>18.940000000000001</v>
      </c>
      <c r="F1180">
        <v>4.8600000000000003</v>
      </c>
      <c r="G1180">
        <v>13.62</v>
      </c>
      <c r="H1180">
        <v>5.52</v>
      </c>
      <c r="I1180">
        <v>16.489999999999998</v>
      </c>
    </row>
    <row r="1181" spans="1:9" x14ac:dyDescent="0.25">
      <c r="A1181" s="2">
        <v>43305</v>
      </c>
      <c r="B1181">
        <v>9.2100000000000009</v>
      </c>
      <c r="C1181">
        <v>7.28</v>
      </c>
      <c r="D1181">
        <v>3.71</v>
      </c>
      <c r="E1181">
        <v>18.77</v>
      </c>
      <c r="F1181">
        <v>4.66</v>
      </c>
      <c r="G1181">
        <v>13.34</v>
      </c>
      <c r="H1181">
        <v>5.49</v>
      </c>
      <c r="I1181">
        <v>16.36</v>
      </c>
    </row>
    <row r="1182" spans="1:9" x14ac:dyDescent="0.25">
      <c r="A1182" s="2">
        <v>43306</v>
      </c>
      <c r="B1182">
        <v>9.17</v>
      </c>
      <c r="C1182">
        <v>7.14</v>
      </c>
      <c r="D1182">
        <v>3.77</v>
      </c>
      <c r="E1182">
        <v>18.760000000000002</v>
      </c>
      <c r="F1182">
        <v>4.5599999999999996</v>
      </c>
      <c r="G1182">
        <v>13.3</v>
      </c>
      <c r="H1182">
        <v>5.46</v>
      </c>
      <c r="I1182">
        <v>16.71</v>
      </c>
    </row>
    <row r="1183" spans="1:9" x14ac:dyDescent="0.25">
      <c r="A1183" s="2">
        <v>43307</v>
      </c>
      <c r="B1183">
        <v>9.44</v>
      </c>
      <c r="C1183">
        <v>7.21</v>
      </c>
      <c r="D1183">
        <v>4.0599999999999996</v>
      </c>
      <c r="E1183">
        <v>19.29</v>
      </c>
      <c r="F1183">
        <v>4.82</v>
      </c>
      <c r="G1183">
        <v>13.72</v>
      </c>
      <c r="H1183">
        <v>5.53</v>
      </c>
      <c r="I1183">
        <v>16.7</v>
      </c>
    </row>
    <row r="1184" spans="1:9" x14ac:dyDescent="0.25">
      <c r="A1184" s="2">
        <v>43308</v>
      </c>
      <c r="B1184">
        <v>9.65</v>
      </c>
      <c r="C1184">
        <v>7.25</v>
      </c>
      <c r="D1184">
        <v>4.3899999999999997</v>
      </c>
      <c r="E1184">
        <v>19.350000000000001</v>
      </c>
      <c r="F1184">
        <v>4.93</v>
      </c>
      <c r="G1184">
        <v>13.69</v>
      </c>
      <c r="H1184">
        <v>5.59</v>
      </c>
      <c r="I1184">
        <v>16.989999999999998</v>
      </c>
    </row>
    <row r="1185" spans="1:9" x14ac:dyDescent="0.25">
      <c r="A1185" s="2">
        <v>43311</v>
      </c>
      <c r="B1185">
        <v>9.82</v>
      </c>
      <c r="C1185">
        <v>7.36</v>
      </c>
      <c r="D1185">
        <v>4.51</v>
      </c>
      <c r="E1185">
        <v>19.739999999999998</v>
      </c>
      <c r="F1185">
        <v>5.04</v>
      </c>
      <c r="G1185">
        <v>14.12</v>
      </c>
      <c r="H1185">
        <v>5.65</v>
      </c>
      <c r="I1185">
        <v>17.23</v>
      </c>
    </row>
    <row r="1186" spans="1:9" x14ac:dyDescent="0.25">
      <c r="A1186" s="2">
        <v>43312</v>
      </c>
      <c r="B1186">
        <v>9.85</v>
      </c>
      <c r="C1186">
        <v>7.35</v>
      </c>
      <c r="D1186">
        <v>4.2</v>
      </c>
      <c r="E1186">
        <v>19.829999999999998</v>
      </c>
      <c r="F1186">
        <v>5.07</v>
      </c>
      <c r="G1186">
        <v>14.39</v>
      </c>
      <c r="H1186">
        <v>5.72</v>
      </c>
      <c r="I1186">
        <v>16.940000000000001</v>
      </c>
    </row>
    <row r="1187" spans="1:9" x14ac:dyDescent="0.25">
      <c r="A1187" s="2">
        <v>43313</v>
      </c>
      <c r="B1187">
        <v>9.61</v>
      </c>
      <c r="C1187">
        <v>7.32</v>
      </c>
      <c r="D1187">
        <v>3.81</v>
      </c>
      <c r="E1187">
        <v>19.34</v>
      </c>
      <c r="F1187">
        <v>4.87</v>
      </c>
      <c r="G1187">
        <v>14.18</v>
      </c>
      <c r="H1187">
        <v>5.69</v>
      </c>
      <c r="I1187">
        <v>17.02</v>
      </c>
    </row>
    <row r="1188" spans="1:9" x14ac:dyDescent="0.25">
      <c r="A1188" s="2">
        <v>43314</v>
      </c>
      <c r="B1188">
        <v>9.59</v>
      </c>
      <c r="C1188">
        <v>7.33</v>
      </c>
      <c r="D1188">
        <v>3.99</v>
      </c>
      <c r="E1188">
        <v>19.5</v>
      </c>
      <c r="F1188">
        <v>4.88</v>
      </c>
      <c r="G1188">
        <v>14.22</v>
      </c>
      <c r="H1188">
        <v>5.7</v>
      </c>
      <c r="I1188">
        <v>16.809999999999999</v>
      </c>
    </row>
    <row r="1189" spans="1:9" x14ac:dyDescent="0.25">
      <c r="A1189" s="2">
        <v>43315</v>
      </c>
      <c r="B1189">
        <v>9.48</v>
      </c>
      <c r="C1189">
        <v>7.29</v>
      </c>
      <c r="D1189">
        <v>3.97</v>
      </c>
      <c r="E1189">
        <v>19.309999999999999</v>
      </c>
      <c r="F1189">
        <v>4.75</v>
      </c>
      <c r="G1189">
        <v>14.03</v>
      </c>
      <c r="H1189">
        <v>5.68</v>
      </c>
      <c r="I1189">
        <v>16.52</v>
      </c>
    </row>
    <row r="1190" spans="1:9" x14ac:dyDescent="0.25">
      <c r="A1190" s="2">
        <v>43318</v>
      </c>
      <c r="B1190">
        <v>9.44</v>
      </c>
      <c r="C1190">
        <v>7.31</v>
      </c>
      <c r="D1190">
        <v>4.2699999999999996</v>
      </c>
      <c r="E1190">
        <v>19.05</v>
      </c>
      <c r="F1190">
        <v>4.74</v>
      </c>
      <c r="G1190">
        <v>13.64</v>
      </c>
      <c r="H1190">
        <v>5.63</v>
      </c>
      <c r="I1190">
        <v>16.850000000000001</v>
      </c>
    </row>
    <row r="1191" spans="1:9" x14ac:dyDescent="0.25">
      <c r="A1191" s="2">
        <v>43319</v>
      </c>
      <c r="B1191">
        <v>9.75</v>
      </c>
      <c r="C1191">
        <v>7.43</v>
      </c>
      <c r="D1191">
        <v>4.6900000000000004</v>
      </c>
      <c r="E1191">
        <v>19.440000000000001</v>
      </c>
      <c r="F1191">
        <v>4.9000000000000004</v>
      </c>
      <c r="G1191">
        <v>14.01</v>
      </c>
      <c r="H1191">
        <v>5.73</v>
      </c>
      <c r="I1191">
        <v>16.89</v>
      </c>
    </row>
    <row r="1192" spans="1:9" x14ac:dyDescent="0.25">
      <c r="A1192" s="2">
        <v>43320</v>
      </c>
      <c r="B1192">
        <v>9.8800000000000008</v>
      </c>
      <c r="C1192">
        <v>7.41</v>
      </c>
      <c r="D1192">
        <v>4.79</v>
      </c>
      <c r="E1192">
        <v>19.59</v>
      </c>
      <c r="F1192">
        <v>4.9800000000000004</v>
      </c>
      <c r="G1192">
        <v>14.01</v>
      </c>
      <c r="H1192">
        <v>5.76</v>
      </c>
      <c r="I1192">
        <v>17.059999999999999</v>
      </c>
    </row>
    <row r="1193" spans="1:9" x14ac:dyDescent="0.25">
      <c r="A1193" s="2">
        <v>43321</v>
      </c>
      <c r="B1193">
        <v>9.93</v>
      </c>
      <c r="C1193">
        <v>7.35</v>
      </c>
      <c r="D1193">
        <v>4.88</v>
      </c>
      <c r="E1193">
        <v>19.829999999999998</v>
      </c>
      <c r="F1193">
        <v>4.92</v>
      </c>
      <c r="G1193">
        <v>14.23</v>
      </c>
      <c r="H1193">
        <v>5.73</v>
      </c>
      <c r="I1193">
        <v>17.04</v>
      </c>
    </row>
    <row r="1194" spans="1:9" x14ac:dyDescent="0.25">
      <c r="A1194" s="2">
        <v>43322</v>
      </c>
      <c r="B1194">
        <v>9.83</v>
      </c>
      <c r="C1194">
        <v>7.3</v>
      </c>
      <c r="D1194">
        <v>4.87</v>
      </c>
      <c r="E1194">
        <v>19.8</v>
      </c>
      <c r="F1194">
        <v>4.88</v>
      </c>
      <c r="G1194">
        <v>14.11</v>
      </c>
      <c r="H1194">
        <v>5.7</v>
      </c>
      <c r="I1194">
        <v>17.09</v>
      </c>
    </row>
    <row r="1195" spans="1:9" x14ac:dyDescent="0.25">
      <c r="A1195" s="2">
        <v>43325</v>
      </c>
      <c r="B1195">
        <v>9.74</v>
      </c>
      <c r="C1195">
        <v>7.31</v>
      </c>
      <c r="D1195">
        <v>5.18</v>
      </c>
      <c r="E1195">
        <v>19.95</v>
      </c>
      <c r="F1195">
        <v>4.9000000000000004</v>
      </c>
      <c r="G1195">
        <v>14.21</v>
      </c>
      <c r="H1195">
        <v>5.66</v>
      </c>
      <c r="I1195">
        <v>16.68</v>
      </c>
    </row>
    <row r="1196" spans="1:9" x14ac:dyDescent="0.25">
      <c r="A1196" s="2">
        <v>43326</v>
      </c>
      <c r="B1196">
        <v>9.32</v>
      </c>
      <c r="C1196">
        <v>6.92</v>
      </c>
      <c r="D1196">
        <v>5.29</v>
      </c>
      <c r="E1196">
        <v>19.63</v>
      </c>
      <c r="F1196">
        <v>4.9000000000000004</v>
      </c>
      <c r="G1196">
        <v>13.6</v>
      </c>
      <c r="H1196">
        <v>5.5</v>
      </c>
      <c r="I1196">
        <v>16.350000000000001</v>
      </c>
    </row>
    <row r="1197" spans="1:9" x14ac:dyDescent="0.25">
      <c r="A1197" s="2">
        <v>43327</v>
      </c>
      <c r="B1197">
        <v>9.0299999999999994</v>
      </c>
      <c r="C1197">
        <v>6.7</v>
      </c>
      <c r="D1197">
        <v>5.15</v>
      </c>
      <c r="E1197">
        <v>19.309999999999999</v>
      </c>
      <c r="F1197">
        <v>4.71</v>
      </c>
      <c r="G1197">
        <v>13.36</v>
      </c>
      <c r="H1197">
        <v>5.29</v>
      </c>
      <c r="I1197">
        <v>16.36</v>
      </c>
    </row>
    <row r="1198" spans="1:9" x14ac:dyDescent="0.25">
      <c r="A1198" s="2">
        <v>43328</v>
      </c>
      <c r="B1198">
        <v>9.15</v>
      </c>
      <c r="C1198">
        <v>6.81</v>
      </c>
      <c r="D1198">
        <v>5.49</v>
      </c>
      <c r="E1198">
        <v>18.93</v>
      </c>
      <c r="F1198">
        <v>4.8600000000000003</v>
      </c>
      <c r="G1198">
        <v>13.45</v>
      </c>
      <c r="H1198">
        <v>5.34</v>
      </c>
      <c r="I1198">
        <v>15.94</v>
      </c>
    </row>
    <row r="1199" spans="1:9" x14ac:dyDescent="0.25">
      <c r="A1199" s="2">
        <v>43329</v>
      </c>
      <c r="B1199">
        <v>9.18</v>
      </c>
      <c r="C1199">
        <v>6.91</v>
      </c>
      <c r="D1199">
        <v>5.28</v>
      </c>
      <c r="E1199">
        <v>19.07</v>
      </c>
      <c r="F1199">
        <v>4.79</v>
      </c>
      <c r="G1199">
        <v>13.05</v>
      </c>
      <c r="H1199">
        <v>5.3</v>
      </c>
      <c r="I1199">
        <v>16.14</v>
      </c>
    </row>
    <row r="1200" spans="1:9" x14ac:dyDescent="0.25">
      <c r="A1200" s="2">
        <v>43332</v>
      </c>
      <c r="B1200">
        <v>9.0500000000000007</v>
      </c>
      <c r="C1200">
        <v>6.93</v>
      </c>
      <c r="D1200">
        <v>5.25</v>
      </c>
      <c r="E1200">
        <v>19.04</v>
      </c>
      <c r="F1200">
        <v>4.8099999999999996</v>
      </c>
      <c r="G1200">
        <v>12.98</v>
      </c>
      <c r="H1200">
        <v>5.3</v>
      </c>
      <c r="I1200">
        <v>15.99</v>
      </c>
    </row>
    <row r="1201" spans="1:9" x14ac:dyDescent="0.25">
      <c r="A1201" s="2">
        <v>43333</v>
      </c>
      <c r="B1201">
        <v>9.1199999999999992</v>
      </c>
      <c r="C1201">
        <v>6.91</v>
      </c>
      <c r="D1201">
        <v>5.36</v>
      </c>
      <c r="E1201">
        <v>19.46</v>
      </c>
      <c r="F1201">
        <v>4.8099999999999996</v>
      </c>
      <c r="G1201">
        <v>12.88</v>
      </c>
      <c r="H1201">
        <v>5.25</v>
      </c>
      <c r="I1201">
        <v>16.23</v>
      </c>
    </row>
    <row r="1202" spans="1:9" x14ac:dyDescent="0.25">
      <c r="A1202" s="2">
        <v>43334</v>
      </c>
      <c r="B1202">
        <v>9.33</v>
      </c>
      <c r="C1202">
        <v>6.9</v>
      </c>
      <c r="D1202">
        <v>5.33</v>
      </c>
      <c r="E1202">
        <v>19.55</v>
      </c>
      <c r="F1202">
        <v>4.8099999999999996</v>
      </c>
      <c r="G1202">
        <v>13.14</v>
      </c>
      <c r="H1202">
        <v>5.25</v>
      </c>
      <c r="I1202">
        <v>16.260000000000002</v>
      </c>
    </row>
    <row r="1203" spans="1:9" x14ac:dyDescent="0.25">
      <c r="A1203" s="2">
        <v>43335</v>
      </c>
      <c r="B1203">
        <v>9.39</v>
      </c>
      <c r="C1203">
        <v>6.93</v>
      </c>
      <c r="D1203">
        <v>4.92</v>
      </c>
      <c r="E1203">
        <v>19.39</v>
      </c>
      <c r="F1203">
        <v>4.8099999999999996</v>
      </c>
      <c r="G1203">
        <v>13.14</v>
      </c>
      <c r="H1203">
        <v>5.23</v>
      </c>
      <c r="I1203">
        <v>16.21</v>
      </c>
    </row>
    <row r="1204" spans="1:9" x14ac:dyDescent="0.25">
      <c r="A1204" s="2">
        <v>43336</v>
      </c>
      <c r="B1204">
        <v>9.44</v>
      </c>
      <c r="C1204">
        <v>7.02</v>
      </c>
      <c r="D1204">
        <v>4.76</v>
      </c>
      <c r="E1204">
        <v>19.41</v>
      </c>
      <c r="F1204">
        <v>4.8</v>
      </c>
      <c r="G1204">
        <v>13.11</v>
      </c>
      <c r="H1204">
        <v>5.23</v>
      </c>
      <c r="I1204">
        <v>16.16</v>
      </c>
    </row>
    <row r="1205" spans="1:9" x14ac:dyDescent="0.25">
      <c r="A1205" s="2">
        <v>43339</v>
      </c>
      <c r="B1205">
        <v>9.36</v>
      </c>
      <c r="C1205">
        <v>6.98</v>
      </c>
      <c r="D1205">
        <v>4.6500000000000004</v>
      </c>
      <c r="E1205">
        <v>19.36</v>
      </c>
      <c r="F1205">
        <v>4.7300000000000004</v>
      </c>
      <c r="G1205">
        <v>13.11</v>
      </c>
      <c r="H1205">
        <v>5.2</v>
      </c>
      <c r="I1205">
        <v>16.22</v>
      </c>
    </row>
    <row r="1206" spans="1:9" x14ac:dyDescent="0.25">
      <c r="A1206" s="2">
        <v>43340</v>
      </c>
      <c r="B1206">
        <v>9.4</v>
      </c>
      <c r="C1206">
        <v>6.93</v>
      </c>
      <c r="D1206">
        <v>4.66</v>
      </c>
      <c r="E1206">
        <v>19.52</v>
      </c>
      <c r="F1206">
        <v>4.66</v>
      </c>
      <c r="G1206">
        <v>13.1</v>
      </c>
      <c r="H1206">
        <v>5.2</v>
      </c>
      <c r="I1206">
        <v>16.440000000000001</v>
      </c>
    </row>
    <row r="1207" spans="1:9" x14ac:dyDescent="0.25">
      <c r="A1207" s="2">
        <v>43341</v>
      </c>
      <c r="B1207">
        <v>9.5399999999999991</v>
      </c>
      <c r="C1207">
        <v>6.86</v>
      </c>
      <c r="D1207">
        <v>4.58</v>
      </c>
      <c r="E1207">
        <v>19.649999999999999</v>
      </c>
      <c r="F1207">
        <v>4.5999999999999996</v>
      </c>
      <c r="G1207">
        <v>13.26</v>
      </c>
      <c r="H1207">
        <v>5.17</v>
      </c>
      <c r="I1207">
        <v>16.36</v>
      </c>
    </row>
    <row r="1208" spans="1:9" x14ac:dyDescent="0.25">
      <c r="A1208" s="2">
        <v>43342</v>
      </c>
      <c r="B1208">
        <v>9.6199999999999992</v>
      </c>
      <c r="C1208">
        <v>6.81</v>
      </c>
      <c r="D1208">
        <v>4.6399999999999997</v>
      </c>
      <c r="E1208">
        <v>19.62</v>
      </c>
      <c r="F1208">
        <v>4.51</v>
      </c>
      <c r="G1208">
        <v>13.35</v>
      </c>
      <c r="H1208">
        <v>5.13</v>
      </c>
      <c r="I1208">
        <v>16.46</v>
      </c>
    </row>
    <row r="1209" spans="1:9" x14ac:dyDescent="0.25">
      <c r="A1209" s="2">
        <v>43343</v>
      </c>
      <c r="B1209">
        <v>9.5500000000000007</v>
      </c>
      <c r="C1209">
        <v>6.73</v>
      </c>
      <c r="D1209">
        <v>4.84</v>
      </c>
      <c r="E1209">
        <v>19.52</v>
      </c>
      <c r="F1209">
        <v>4.5</v>
      </c>
      <c r="G1209">
        <v>13.32</v>
      </c>
      <c r="H1209">
        <v>5.03</v>
      </c>
      <c r="I1209">
        <v>16.16</v>
      </c>
    </row>
    <row r="1210" spans="1:9" x14ac:dyDescent="0.25">
      <c r="A1210" s="2">
        <v>43346</v>
      </c>
      <c r="B1210">
        <v>9.4499999999999993</v>
      </c>
      <c r="C1210">
        <v>6.73</v>
      </c>
      <c r="D1210">
        <v>4.9000000000000004</v>
      </c>
      <c r="E1210">
        <v>19.28</v>
      </c>
      <c r="F1210">
        <v>4.4400000000000004</v>
      </c>
      <c r="G1210">
        <v>13.19</v>
      </c>
      <c r="H1210">
        <v>4.9400000000000004</v>
      </c>
      <c r="I1210">
        <v>15.89</v>
      </c>
    </row>
    <row r="1211" spans="1:9" x14ac:dyDescent="0.25">
      <c r="A1211" s="2">
        <v>43347</v>
      </c>
      <c r="B1211">
        <v>9.36</v>
      </c>
      <c r="C1211">
        <v>6.73</v>
      </c>
      <c r="D1211">
        <v>4.8499999999999996</v>
      </c>
      <c r="E1211">
        <v>19.329999999999998</v>
      </c>
      <c r="F1211">
        <v>4.4400000000000004</v>
      </c>
      <c r="G1211">
        <v>12.93</v>
      </c>
      <c r="H1211">
        <v>4.95</v>
      </c>
      <c r="I1211">
        <v>15.98</v>
      </c>
    </row>
    <row r="1212" spans="1:9" x14ac:dyDescent="0.25">
      <c r="A1212" s="2">
        <v>43348</v>
      </c>
      <c r="B1212">
        <v>9.2799999999999994</v>
      </c>
      <c r="C1212">
        <v>6.69</v>
      </c>
      <c r="D1212">
        <v>4.88</v>
      </c>
      <c r="E1212">
        <v>19.149999999999999</v>
      </c>
      <c r="F1212">
        <v>4.41</v>
      </c>
      <c r="G1212">
        <v>12.97</v>
      </c>
      <c r="H1212">
        <v>4.9400000000000004</v>
      </c>
      <c r="I1212">
        <v>15.69</v>
      </c>
    </row>
    <row r="1213" spans="1:9" x14ac:dyDescent="0.25">
      <c r="A1213" s="2">
        <v>43349</v>
      </c>
      <c r="B1213">
        <v>8.93</v>
      </c>
      <c r="C1213">
        <v>6.47</v>
      </c>
      <c r="D1213">
        <v>4.72</v>
      </c>
      <c r="E1213">
        <v>18.760000000000002</v>
      </c>
      <c r="F1213">
        <v>4.3099999999999996</v>
      </c>
      <c r="G1213">
        <v>12.57</v>
      </c>
      <c r="H1213">
        <v>4.7699999999999996</v>
      </c>
      <c r="I1213">
        <v>15.15</v>
      </c>
    </row>
    <row r="1214" spans="1:9" x14ac:dyDescent="0.25">
      <c r="A1214" s="2">
        <v>43350</v>
      </c>
      <c r="B1214">
        <v>8.59</v>
      </c>
      <c r="C1214">
        <v>6.37</v>
      </c>
      <c r="D1214">
        <v>4.25</v>
      </c>
      <c r="E1214">
        <v>18.59</v>
      </c>
      <c r="F1214">
        <v>4.41</v>
      </c>
      <c r="G1214">
        <v>12.04</v>
      </c>
      <c r="H1214">
        <v>4.62</v>
      </c>
      <c r="I1214">
        <v>14.97</v>
      </c>
    </row>
    <row r="1215" spans="1:9" x14ac:dyDescent="0.25">
      <c r="A1215" s="2">
        <v>43353</v>
      </c>
      <c r="B1215">
        <v>8.4600000000000009</v>
      </c>
      <c r="C1215">
        <v>6.47</v>
      </c>
      <c r="D1215">
        <v>4.17</v>
      </c>
      <c r="E1215">
        <v>18.329999999999998</v>
      </c>
      <c r="F1215">
        <v>4.5</v>
      </c>
      <c r="G1215">
        <v>11.85</v>
      </c>
      <c r="H1215">
        <v>4.66</v>
      </c>
      <c r="I1215">
        <v>15.07</v>
      </c>
    </row>
    <row r="1216" spans="1:9" x14ac:dyDescent="0.25">
      <c r="A1216" s="2">
        <v>43354</v>
      </c>
      <c r="B1216">
        <v>8.36</v>
      </c>
      <c r="C1216">
        <v>6.44</v>
      </c>
      <c r="D1216">
        <v>4.1900000000000004</v>
      </c>
      <c r="E1216">
        <v>18.52</v>
      </c>
      <c r="F1216">
        <v>4.4000000000000004</v>
      </c>
      <c r="G1216">
        <v>11.76</v>
      </c>
      <c r="H1216">
        <v>4.71</v>
      </c>
      <c r="I1216">
        <v>15.12</v>
      </c>
    </row>
    <row r="1217" spans="1:9" x14ac:dyDescent="0.25">
      <c r="A1217" s="2">
        <v>43355</v>
      </c>
      <c r="B1217">
        <v>8.3800000000000008</v>
      </c>
      <c r="C1217">
        <v>6.38</v>
      </c>
      <c r="D1217">
        <v>4.1900000000000004</v>
      </c>
      <c r="E1217">
        <v>18.239999999999998</v>
      </c>
      <c r="F1217">
        <v>4.37</v>
      </c>
      <c r="G1217">
        <v>11.93</v>
      </c>
      <c r="H1217">
        <v>4.68</v>
      </c>
      <c r="I1217">
        <v>15.07</v>
      </c>
    </row>
    <row r="1218" spans="1:9" x14ac:dyDescent="0.25">
      <c r="A1218" s="2">
        <v>43356</v>
      </c>
      <c r="B1218">
        <v>8.33</v>
      </c>
      <c r="C1218">
        <v>6.35</v>
      </c>
      <c r="D1218">
        <v>4.3</v>
      </c>
      <c r="E1218">
        <v>18.57</v>
      </c>
      <c r="F1218">
        <v>4.38</v>
      </c>
      <c r="G1218">
        <v>11.82</v>
      </c>
      <c r="H1218">
        <v>4.6399999999999997</v>
      </c>
      <c r="I1218">
        <v>15.3</v>
      </c>
    </row>
    <row r="1219" spans="1:9" x14ac:dyDescent="0.25">
      <c r="A1219" s="2">
        <v>43357</v>
      </c>
      <c r="B1219">
        <v>8.5299999999999994</v>
      </c>
      <c r="C1219">
        <v>6.42</v>
      </c>
      <c r="D1219">
        <v>4.2300000000000004</v>
      </c>
      <c r="E1219">
        <v>18.66</v>
      </c>
      <c r="F1219">
        <v>4.32</v>
      </c>
      <c r="G1219">
        <v>12.04</v>
      </c>
      <c r="H1219">
        <v>4.72</v>
      </c>
      <c r="I1219">
        <v>15.31</v>
      </c>
    </row>
    <row r="1220" spans="1:9" x14ac:dyDescent="0.25">
      <c r="A1220" s="2">
        <v>43360</v>
      </c>
      <c r="B1220">
        <v>8.6300000000000008</v>
      </c>
      <c r="C1220">
        <v>6.49</v>
      </c>
      <c r="D1220">
        <v>4.2300000000000004</v>
      </c>
      <c r="E1220">
        <v>18.75</v>
      </c>
      <c r="F1220">
        <v>4.33</v>
      </c>
      <c r="G1220">
        <v>12.07</v>
      </c>
      <c r="H1220">
        <v>4.78</v>
      </c>
      <c r="I1220">
        <v>15.48</v>
      </c>
    </row>
    <row r="1221" spans="1:9" x14ac:dyDescent="0.25">
      <c r="A1221" s="2">
        <v>43361</v>
      </c>
      <c r="B1221">
        <v>8.67</v>
      </c>
      <c r="C1221">
        <v>6.48</v>
      </c>
      <c r="D1221">
        <v>4.25</v>
      </c>
      <c r="E1221">
        <v>18.670000000000002</v>
      </c>
      <c r="F1221">
        <v>4.28</v>
      </c>
      <c r="G1221">
        <v>12.2</v>
      </c>
      <c r="H1221">
        <v>4.8</v>
      </c>
      <c r="I1221">
        <v>15.48</v>
      </c>
    </row>
    <row r="1222" spans="1:9" x14ac:dyDescent="0.25">
      <c r="A1222" s="2">
        <v>43362</v>
      </c>
      <c r="B1222">
        <v>8.57</v>
      </c>
      <c r="C1222">
        <v>6.44</v>
      </c>
      <c r="D1222">
        <v>4.1100000000000003</v>
      </c>
      <c r="E1222">
        <v>18.63</v>
      </c>
      <c r="F1222">
        <v>4.24</v>
      </c>
      <c r="G1222">
        <v>12.17</v>
      </c>
      <c r="H1222">
        <v>4.78</v>
      </c>
      <c r="I1222">
        <v>15.6</v>
      </c>
    </row>
    <row r="1223" spans="1:9" x14ac:dyDescent="0.25">
      <c r="A1223" s="2">
        <v>43363</v>
      </c>
      <c r="B1223">
        <v>8.66</v>
      </c>
      <c r="C1223">
        <v>6.42</v>
      </c>
      <c r="D1223">
        <v>4.3099999999999996</v>
      </c>
      <c r="E1223">
        <v>18.82</v>
      </c>
      <c r="F1223">
        <v>4.25</v>
      </c>
      <c r="G1223">
        <v>12.2</v>
      </c>
      <c r="H1223">
        <v>4.7699999999999996</v>
      </c>
      <c r="I1223">
        <v>15.8</v>
      </c>
    </row>
    <row r="1224" spans="1:9" x14ac:dyDescent="0.25">
      <c r="A1224" s="2">
        <v>43364</v>
      </c>
      <c r="B1224">
        <v>8.74</v>
      </c>
      <c r="C1224">
        <v>6.33</v>
      </c>
      <c r="D1224">
        <v>4.37</v>
      </c>
      <c r="E1224">
        <v>19.04</v>
      </c>
      <c r="F1224">
        <v>4.28</v>
      </c>
      <c r="G1224">
        <v>12.43</v>
      </c>
      <c r="H1224">
        <v>4.82</v>
      </c>
      <c r="I1224">
        <v>16.05</v>
      </c>
    </row>
    <row r="1225" spans="1:9" x14ac:dyDescent="0.25">
      <c r="A1225" s="2">
        <v>43368</v>
      </c>
      <c r="B1225">
        <v>8.99</v>
      </c>
      <c r="C1225">
        <v>6.4</v>
      </c>
      <c r="D1225">
        <v>4.5199999999999996</v>
      </c>
      <c r="E1225">
        <v>19.399999999999999</v>
      </c>
      <c r="F1225">
        <v>4.34</v>
      </c>
      <c r="G1225">
        <v>12.63</v>
      </c>
      <c r="H1225">
        <v>4.84</v>
      </c>
      <c r="I1225">
        <v>16.32</v>
      </c>
    </row>
    <row r="1226" spans="1:9" x14ac:dyDescent="0.25">
      <c r="A1226" s="2">
        <v>43369</v>
      </c>
      <c r="B1226">
        <v>9.09</v>
      </c>
      <c r="C1226">
        <v>6.48</v>
      </c>
      <c r="D1226">
        <v>4.2</v>
      </c>
      <c r="E1226">
        <v>19.14</v>
      </c>
      <c r="F1226">
        <v>4.18</v>
      </c>
      <c r="G1226">
        <v>12.63</v>
      </c>
      <c r="H1226">
        <v>4.88</v>
      </c>
      <c r="I1226">
        <v>16.11</v>
      </c>
    </row>
    <row r="1227" spans="1:9" x14ac:dyDescent="0.25">
      <c r="A1227" s="2">
        <v>43370</v>
      </c>
      <c r="B1227">
        <v>9.07</v>
      </c>
      <c r="C1227">
        <v>6.44</v>
      </c>
      <c r="D1227">
        <v>4.29</v>
      </c>
      <c r="E1227">
        <v>19.28</v>
      </c>
      <c r="F1227">
        <v>4.25</v>
      </c>
      <c r="G1227">
        <v>12.74</v>
      </c>
      <c r="H1227">
        <v>4.8</v>
      </c>
      <c r="I1227">
        <v>16.29</v>
      </c>
    </row>
    <row r="1228" spans="1:9" x14ac:dyDescent="0.25">
      <c r="A1228" s="2">
        <v>43371</v>
      </c>
      <c r="B1228">
        <v>9.15</v>
      </c>
      <c r="C1228">
        <v>6.62</v>
      </c>
      <c r="D1228">
        <v>4.47</v>
      </c>
      <c r="E1228">
        <v>19.579999999999998</v>
      </c>
      <c r="F1228">
        <v>4.53</v>
      </c>
      <c r="G1228">
        <v>12.87</v>
      </c>
      <c r="H1228">
        <v>4.87</v>
      </c>
      <c r="I1228">
        <v>16.5</v>
      </c>
    </row>
    <row r="1229" spans="1:9" x14ac:dyDescent="0.25">
      <c r="A1229" s="2">
        <v>43374</v>
      </c>
      <c r="B1229">
        <v>9.23</v>
      </c>
      <c r="C1229">
        <v>6.86</v>
      </c>
      <c r="D1229">
        <v>4.83</v>
      </c>
      <c r="E1229">
        <v>19.63</v>
      </c>
      <c r="F1229">
        <v>4.66</v>
      </c>
      <c r="G1229">
        <v>13.07</v>
      </c>
      <c r="H1229">
        <v>4.99</v>
      </c>
      <c r="I1229">
        <v>16.22</v>
      </c>
    </row>
    <row r="1230" spans="1:9" x14ac:dyDescent="0.25">
      <c r="A1230" s="2">
        <v>43375</v>
      </c>
      <c r="B1230">
        <v>9.2100000000000009</v>
      </c>
      <c r="C1230">
        <v>6.86</v>
      </c>
      <c r="D1230">
        <v>5</v>
      </c>
      <c r="E1230">
        <v>19.690000000000001</v>
      </c>
      <c r="F1230">
        <v>4.51</v>
      </c>
      <c r="G1230">
        <v>12.95</v>
      </c>
      <c r="H1230">
        <v>5.09</v>
      </c>
      <c r="I1230">
        <v>16.3</v>
      </c>
    </row>
    <row r="1231" spans="1:9" x14ac:dyDescent="0.25">
      <c r="A1231" s="2">
        <v>43376</v>
      </c>
      <c r="B1231">
        <v>9.27</v>
      </c>
      <c r="C1231">
        <v>6.92</v>
      </c>
      <c r="D1231">
        <v>5.19</v>
      </c>
      <c r="E1231">
        <v>19.46</v>
      </c>
      <c r="F1231">
        <v>4.51</v>
      </c>
      <c r="G1231">
        <v>13.16</v>
      </c>
      <c r="H1231">
        <v>5.1100000000000003</v>
      </c>
      <c r="I1231">
        <v>16.13</v>
      </c>
    </row>
    <row r="1232" spans="1:9" x14ac:dyDescent="0.25">
      <c r="A1232" s="2">
        <v>43377</v>
      </c>
      <c r="B1232">
        <v>9.16</v>
      </c>
      <c r="C1232">
        <v>6.89</v>
      </c>
      <c r="D1232">
        <v>5.3</v>
      </c>
      <c r="E1232">
        <v>19.489999999999998</v>
      </c>
      <c r="F1232">
        <v>4.57</v>
      </c>
      <c r="G1232">
        <v>13.14</v>
      </c>
      <c r="H1232">
        <v>5.17</v>
      </c>
      <c r="I1232">
        <v>16.27</v>
      </c>
    </row>
    <row r="1233" spans="1:9" x14ac:dyDescent="0.25">
      <c r="A1233" s="2">
        <v>43378</v>
      </c>
      <c r="B1233">
        <v>9.1</v>
      </c>
      <c r="C1233">
        <v>6.7</v>
      </c>
      <c r="D1233">
        <v>5.16</v>
      </c>
      <c r="E1233">
        <v>19.27</v>
      </c>
      <c r="F1233">
        <v>4.3099999999999996</v>
      </c>
      <c r="G1233">
        <v>13.13</v>
      </c>
      <c r="H1233">
        <v>5.1100000000000003</v>
      </c>
      <c r="I1233">
        <v>15.71</v>
      </c>
    </row>
    <row r="1234" spans="1:9" x14ac:dyDescent="0.25">
      <c r="A1234" s="2">
        <v>43381</v>
      </c>
      <c r="B1234">
        <v>8.58</v>
      </c>
      <c r="C1234">
        <v>6.38</v>
      </c>
      <c r="D1234">
        <v>4.71</v>
      </c>
      <c r="E1234">
        <v>18.82</v>
      </c>
      <c r="F1234">
        <v>4.17</v>
      </c>
      <c r="G1234">
        <v>12.59</v>
      </c>
      <c r="H1234">
        <v>4.82</v>
      </c>
      <c r="I1234">
        <v>15.28</v>
      </c>
    </row>
    <row r="1235" spans="1:9" x14ac:dyDescent="0.25">
      <c r="A1235" s="2">
        <v>43382</v>
      </c>
      <c r="B1235">
        <v>8.18</v>
      </c>
      <c r="C1235">
        <v>6.33</v>
      </c>
      <c r="D1235">
        <v>4.4000000000000004</v>
      </c>
      <c r="E1235">
        <v>18.34</v>
      </c>
      <c r="F1235">
        <v>4.1100000000000003</v>
      </c>
      <c r="G1235">
        <v>12.14</v>
      </c>
      <c r="H1235">
        <v>4.74</v>
      </c>
      <c r="I1235">
        <v>14.91</v>
      </c>
    </row>
    <row r="1236" spans="1:9" x14ac:dyDescent="0.25">
      <c r="A1236" s="2">
        <v>43383</v>
      </c>
      <c r="B1236">
        <v>8</v>
      </c>
      <c r="C1236">
        <v>6.36</v>
      </c>
      <c r="D1236">
        <v>4.4000000000000004</v>
      </c>
      <c r="E1236">
        <v>17.989999999999998</v>
      </c>
      <c r="F1236">
        <v>4.03</v>
      </c>
      <c r="G1236">
        <v>11.82</v>
      </c>
      <c r="H1236">
        <v>4.8</v>
      </c>
      <c r="I1236">
        <v>15.05</v>
      </c>
    </row>
    <row r="1237" spans="1:9" x14ac:dyDescent="0.25">
      <c r="A1237" s="2">
        <v>43384</v>
      </c>
      <c r="B1237">
        <v>7.78</v>
      </c>
      <c r="C1237">
        <v>6.27</v>
      </c>
      <c r="D1237">
        <v>4.18</v>
      </c>
      <c r="E1237">
        <v>18</v>
      </c>
      <c r="F1237">
        <v>4.01</v>
      </c>
      <c r="G1237">
        <v>11.76</v>
      </c>
      <c r="H1237">
        <v>4.8</v>
      </c>
      <c r="I1237">
        <v>14.23</v>
      </c>
    </row>
    <row r="1238" spans="1:9" x14ac:dyDescent="0.25">
      <c r="A1238" s="2">
        <v>43385</v>
      </c>
      <c r="B1238">
        <v>7.09</v>
      </c>
      <c r="C1238">
        <v>6.21</v>
      </c>
      <c r="D1238">
        <v>2.8</v>
      </c>
      <c r="E1238">
        <v>16.71</v>
      </c>
      <c r="F1238">
        <v>3.87</v>
      </c>
      <c r="G1238">
        <v>11.01</v>
      </c>
      <c r="H1238">
        <v>4.6900000000000004</v>
      </c>
      <c r="I1238">
        <v>13.41</v>
      </c>
    </row>
    <row r="1239" spans="1:9" x14ac:dyDescent="0.25">
      <c r="A1239" s="2">
        <v>43388</v>
      </c>
      <c r="B1239">
        <v>6.47</v>
      </c>
      <c r="C1239">
        <v>6.3</v>
      </c>
      <c r="D1239">
        <v>2.0699999999999998</v>
      </c>
      <c r="E1239">
        <v>16.5</v>
      </c>
      <c r="F1239">
        <v>3.9</v>
      </c>
      <c r="G1239">
        <v>10.09</v>
      </c>
      <c r="H1239">
        <v>4.7300000000000004</v>
      </c>
      <c r="I1239">
        <v>13.4</v>
      </c>
    </row>
    <row r="1240" spans="1:9" x14ac:dyDescent="0.25">
      <c r="A1240" s="2">
        <v>43389</v>
      </c>
      <c r="B1240">
        <v>6.68</v>
      </c>
      <c r="C1240">
        <v>6.37</v>
      </c>
      <c r="D1240">
        <v>2.23</v>
      </c>
      <c r="E1240">
        <v>16.37</v>
      </c>
      <c r="F1240">
        <v>3.93</v>
      </c>
      <c r="G1240">
        <v>10.130000000000001</v>
      </c>
      <c r="H1240">
        <v>4.8</v>
      </c>
      <c r="I1240">
        <v>13.48</v>
      </c>
    </row>
    <row r="1241" spans="1:9" x14ac:dyDescent="0.25">
      <c r="A1241" s="2">
        <v>43390</v>
      </c>
      <c r="B1241">
        <v>6.58</v>
      </c>
      <c r="C1241">
        <v>6.39</v>
      </c>
      <c r="D1241">
        <v>2.11</v>
      </c>
      <c r="E1241">
        <v>16.48</v>
      </c>
      <c r="F1241">
        <v>3.96</v>
      </c>
      <c r="G1241">
        <v>10.119999999999999</v>
      </c>
      <c r="H1241">
        <v>4.8600000000000003</v>
      </c>
      <c r="I1241">
        <v>14.1</v>
      </c>
    </row>
    <row r="1242" spans="1:9" x14ac:dyDescent="0.25">
      <c r="A1242" s="2">
        <v>43391</v>
      </c>
      <c r="B1242">
        <v>7.22</v>
      </c>
      <c r="C1242">
        <v>6.5</v>
      </c>
      <c r="D1242">
        <v>2.92</v>
      </c>
      <c r="E1242">
        <v>17.149999999999999</v>
      </c>
      <c r="F1242">
        <v>4.0999999999999996</v>
      </c>
      <c r="G1242">
        <v>10.75</v>
      </c>
      <c r="H1242">
        <v>4.96</v>
      </c>
      <c r="I1242">
        <v>14.01</v>
      </c>
    </row>
    <row r="1243" spans="1:9" x14ac:dyDescent="0.25">
      <c r="A1243" s="2">
        <v>43392</v>
      </c>
      <c r="B1243">
        <v>7.23</v>
      </c>
      <c r="C1243">
        <v>6.49</v>
      </c>
      <c r="D1243">
        <v>3.05</v>
      </c>
      <c r="E1243">
        <v>17.07</v>
      </c>
      <c r="F1243">
        <v>4.04</v>
      </c>
      <c r="G1243">
        <v>10.95</v>
      </c>
      <c r="H1243">
        <v>5.04</v>
      </c>
      <c r="I1243">
        <v>13.7</v>
      </c>
    </row>
    <row r="1244" spans="1:9" x14ac:dyDescent="0.25">
      <c r="A1244" s="2">
        <v>43395</v>
      </c>
      <c r="B1244">
        <v>6.92</v>
      </c>
      <c r="C1244">
        <v>6.45</v>
      </c>
      <c r="D1244">
        <v>2.79</v>
      </c>
      <c r="E1244">
        <v>16.73</v>
      </c>
      <c r="F1244">
        <v>4.0599999999999996</v>
      </c>
      <c r="G1244">
        <v>10.7</v>
      </c>
      <c r="H1244">
        <v>5.01</v>
      </c>
      <c r="I1244">
        <v>13.67</v>
      </c>
    </row>
    <row r="1245" spans="1:9" x14ac:dyDescent="0.25">
      <c r="A1245" s="2">
        <v>43396</v>
      </c>
      <c r="B1245">
        <v>6.73</v>
      </c>
      <c r="C1245">
        <v>6.33</v>
      </c>
      <c r="D1245">
        <v>2.62</v>
      </c>
      <c r="E1245">
        <v>16.86</v>
      </c>
      <c r="F1245">
        <v>4.03</v>
      </c>
      <c r="G1245">
        <v>10.41</v>
      </c>
      <c r="H1245">
        <v>4.92</v>
      </c>
      <c r="I1245">
        <v>13.55</v>
      </c>
    </row>
    <row r="1246" spans="1:9" x14ac:dyDescent="0.25">
      <c r="A1246" s="2">
        <v>43397</v>
      </c>
      <c r="B1246">
        <v>6.43</v>
      </c>
      <c r="C1246">
        <v>6.31</v>
      </c>
      <c r="D1246">
        <v>2.37</v>
      </c>
      <c r="E1246">
        <v>16.22</v>
      </c>
      <c r="F1246">
        <v>3.96</v>
      </c>
      <c r="G1246">
        <v>10.33</v>
      </c>
      <c r="H1246">
        <v>4.95</v>
      </c>
      <c r="I1246">
        <v>12.84</v>
      </c>
    </row>
    <row r="1247" spans="1:9" x14ac:dyDescent="0.25">
      <c r="A1247" s="2">
        <v>43398</v>
      </c>
      <c r="B1247">
        <v>6.16</v>
      </c>
      <c r="C1247">
        <v>6.37</v>
      </c>
      <c r="D1247">
        <v>2.2799999999999998</v>
      </c>
      <c r="E1247">
        <v>16.27</v>
      </c>
      <c r="F1247">
        <v>4.13</v>
      </c>
      <c r="G1247">
        <v>9.5299999999999994</v>
      </c>
      <c r="H1247">
        <v>4.8899999999999997</v>
      </c>
      <c r="I1247">
        <v>12.79</v>
      </c>
    </row>
    <row r="1248" spans="1:9" x14ac:dyDescent="0.25">
      <c r="A1248" s="2">
        <v>43399</v>
      </c>
      <c r="B1248">
        <v>5.65</v>
      </c>
      <c r="C1248">
        <v>6.34</v>
      </c>
      <c r="D1248">
        <v>1.67</v>
      </c>
      <c r="E1248">
        <v>15.75</v>
      </c>
      <c r="F1248">
        <v>4.0199999999999996</v>
      </c>
      <c r="G1248">
        <v>9.5500000000000007</v>
      </c>
      <c r="H1248">
        <v>4.91</v>
      </c>
      <c r="I1248">
        <v>13.09</v>
      </c>
    </row>
    <row r="1249" spans="1:9" x14ac:dyDescent="0.25">
      <c r="A1249" s="2">
        <v>43402</v>
      </c>
      <c r="B1249">
        <v>5.7</v>
      </c>
      <c r="C1249">
        <v>6.36</v>
      </c>
      <c r="D1249">
        <v>1.86</v>
      </c>
      <c r="E1249">
        <v>15.53</v>
      </c>
      <c r="F1249">
        <v>4.1399999999999997</v>
      </c>
      <c r="G1249">
        <v>9.36</v>
      </c>
      <c r="H1249">
        <v>4.87</v>
      </c>
      <c r="I1249">
        <v>12.65</v>
      </c>
    </row>
    <row r="1250" spans="1:9" x14ac:dyDescent="0.25">
      <c r="A1250" s="2">
        <v>43403</v>
      </c>
      <c r="B1250">
        <v>5.38</v>
      </c>
      <c r="C1250">
        <v>6.35</v>
      </c>
      <c r="D1250">
        <v>1.71</v>
      </c>
      <c r="E1250">
        <v>15.92</v>
      </c>
      <c r="F1250">
        <v>4.16</v>
      </c>
      <c r="G1250">
        <v>9.14</v>
      </c>
      <c r="H1250">
        <v>4.88</v>
      </c>
      <c r="I1250">
        <v>12.89</v>
      </c>
    </row>
    <row r="1251" spans="1:9" x14ac:dyDescent="0.25">
      <c r="A1251" s="2">
        <v>43404</v>
      </c>
      <c r="B1251">
        <v>5.42</v>
      </c>
      <c r="C1251">
        <v>6.34</v>
      </c>
      <c r="D1251">
        <v>1.37</v>
      </c>
      <c r="E1251">
        <v>15.46</v>
      </c>
      <c r="F1251">
        <v>4.0599999999999996</v>
      </c>
      <c r="G1251">
        <v>9.52</v>
      </c>
      <c r="H1251">
        <v>4.8600000000000003</v>
      </c>
      <c r="I1251">
        <v>12.79</v>
      </c>
    </row>
    <row r="1252" spans="1:9" x14ac:dyDescent="0.25">
      <c r="A1252" s="2">
        <v>43405</v>
      </c>
      <c r="B1252">
        <v>5.63</v>
      </c>
      <c r="C1252">
        <v>6.28</v>
      </c>
      <c r="D1252">
        <v>2.16</v>
      </c>
      <c r="E1252">
        <v>16.09</v>
      </c>
      <c r="F1252">
        <v>4.05</v>
      </c>
      <c r="G1252">
        <v>9.35</v>
      </c>
      <c r="H1252">
        <v>4.82</v>
      </c>
      <c r="I1252">
        <v>13.63</v>
      </c>
    </row>
    <row r="1253" spans="1:9" x14ac:dyDescent="0.25">
      <c r="A1253" s="2">
        <v>43406</v>
      </c>
      <c r="B1253">
        <v>5.91</v>
      </c>
      <c r="C1253">
        <v>6.09</v>
      </c>
      <c r="D1253">
        <v>2.63</v>
      </c>
      <c r="E1253">
        <v>16.43</v>
      </c>
      <c r="F1253">
        <v>4.0599999999999996</v>
      </c>
      <c r="G1253">
        <v>9.9700000000000006</v>
      </c>
      <c r="H1253">
        <v>4.78</v>
      </c>
      <c r="I1253">
        <v>13.83</v>
      </c>
    </row>
    <row r="1254" spans="1:9" x14ac:dyDescent="0.25">
      <c r="A1254" s="2">
        <v>43409</v>
      </c>
      <c r="B1254">
        <v>6.24</v>
      </c>
      <c r="C1254">
        <v>6.06</v>
      </c>
      <c r="D1254">
        <v>2.66</v>
      </c>
      <c r="E1254">
        <v>16.68</v>
      </c>
      <c r="F1254">
        <v>4.04</v>
      </c>
      <c r="G1254">
        <v>10.24</v>
      </c>
      <c r="H1254">
        <v>4.8099999999999996</v>
      </c>
      <c r="I1254">
        <v>14.03</v>
      </c>
    </row>
    <row r="1255" spans="1:9" x14ac:dyDescent="0.25">
      <c r="A1255" s="2">
        <v>43410</v>
      </c>
      <c r="B1255">
        <v>6.51</v>
      </c>
      <c r="C1255">
        <v>6.08</v>
      </c>
      <c r="D1255">
        <v>2.65</v>
      </c>
      <c r="E1255">
        <v>16.8</v>
      </c>
      <c r="F1255">
        <v>4.08</v>
      </c>
      <c r="G1255">
        <v>10.67</v>
      </c>
      <c r="H1255">
        <v>4.87</v>
      </c>
      <c r="I1255">
        <v>14.05</v>
      </c>
    </row>
    <row r="1256" spans="1:9" x14ac:dyDescent="0.25">
      <c r="A1256" s="2">
        <v>43411</v>
      </c>
      <c r="B1256">
        <v>6.44</v>
      </c>
      <c r="C1256">
        <v>6.15</v>
      </c>
      <c r="D1256">
        <v>2.67</v>
      </c>
      <c r="E1256">
        <v>16.79</v>
      </c>
      <c r="F1256">
        <v>4.07</v>
      </c>
      <c r="G1256">
        <v>10.62</v>
      </c>
      <c r="H1256">
        <v>4.92</v>
      </c>
      <c r="I1256">
        <v>13.93</v>
      </c>
    </row>
    <row r="1257" spans="1:9" x14ac:dyDescent="0.25">
      <c r="A1257" s="2">
        <v>43412</v>
      </c>
      <c r="B1257">
        <v>6.53</v>
      </c>
      <c r="C1257">
        <v>6.15</v>
      </c>
      <c r="D1257">
        <v>2.81</v>
      </c>
      <c r="E1257">
        <v>16.809999999999999</v>
      </c>
      <c r="F1257">
        <v>4.0599999999999996</v>
      </c>
      <c r="G1257">
        <v>10.55</v>
      </c>
      <c r="H1257">
        <v>4.97</v>
      </c>
      <c r="I1257">
        <v>14.41</v>
      </c>
    </row>
    <row r="1258" spans="1:9" x14ac:dyDescent="0.25">
      <c r="A1258" s="2">
        <v>43413</v>
      </c>
      <c r="B1258">
        <v>7.06</v>
      </c>
      <c r="C1258">
        <v>6.25</v>
      </c>
      <c r="D1258">
        <v>3.39</v>
      </c>
      <c r="E1258">
        <v>17.27</v>
      </c>
      <c r="F1258">
        <v>4.08</v>
      </c>
      <c r="G1258">
        <v>10.89</v>
      </c>
      <c r="H1258">
        <v>5.0199999999999996</v>
      </c>
      <c r="I1258">
        <v>14.43</v>
      </c>
    </row>
    <row r="1259" spans="1:9" x14ac:dyDescent="0.25">
      <c r="A1259" s="2">
        <v>43416</v>
      </c>
      <c r="B1259">
        <v>7.03</v>
      </c>
      <c r="C1259">
        <v>6.24</v>
      </c>
      <c r="D1259">
        <v>3.55</v>
      </c>
      <c r="E1259">
        <v>17.5</v>
      </c>
      <c r="F1259">
        <v>4.33</v>
      </c>
      <c r="G1259">
        <v>11.07</v>
      </c>
      <c r="H1259">
        <v>4.9800000000000004</v>
      </c>
      <c r="I1259">
        <v>14.23</v>
      </c>
    </row>
    <row r="1260" spans="1:9" x14ac:dyDescent="0.25">
      <c r="A1260" s="2">
        <v>43417</v>
      </c>
      <c r="B1260">
        <v>6.85</v>
      </c>
      <c r="C1260">
        <v>6.31</v>
      </c>
      <c r="D1260">
        <v>3.5</v>
      </c>
      <c r="E1260">
        <v>17.25</v>
      </c>
      <c r="F1260">
        <v>4.38</v>
      </c>
      <c r="G1260">
        <v>10.91</v>
      </c>
      <c r="H1260">
        <v>4.96</v>
      </c>
      <c r="I1260">
        <v>13.87</v>
      </c>
    </row>
    <row r="1261" spans="1:9" x14ac:dyDescent="0.25">
      <c r="A1261" s="2">
        <v>43418</v>
      </c>
      <c r="B1261">
        <v>6.49</v>
      </c>
      <c r="C1261">
        <v>6.3</v>
      </c>
      <c r="D1261">
        <v>3.22</v>
      </c>
      <c r="E1261">
        <v>16.920000000000002</v>
      </c>
      <c r="F1261">
        <v>4.4000000000000004</v>
      </c>
      <c r="G1261">
        <v>10.62</v>
      </c>
      <c r="H1261">
        <v>4.99</v>
      </c>
      <c r="I1261">
        <v>14.18</v>
      </c>
    </row>
    <row r="1262" spans="1:9" x14ac:dyDescent="0.25">
      <c r="A1262" s="2">
        <v>43419</v>
      </c>
      <c r="B1262">
        <v>6.37</v>
      </c>
      <c r="C1262">
        <v>6.21</v>
      </c>
      <c r="D1262">
        <v>2.93</v>
      </c>
      <c r="E1262">
        <v>17.12</v>
      </c>
      <c r="F1262">
        <v>4.29</v>
      </c>
      <c r="G1262">
        <v>10.54</v>
      </c>
      <c r="H1262">
        <v>4.8499999999999996</v>
      </c>
      <c r="I1262">
        <v>13.82</v>
      </c>
    </row>
    <row r="1263" spans="1:9" x14ac:dyDescent="0.25">
      <c r="A1263" s="2">
        <v>43420</v>
      </c>
      <c r="B1263">
        <v>6.19</v>
      </c>
      <c r="C1263">
        <v>6.19</v>
      </c>
      <c r="D1263">
        <v>2.5299999999999998</v>
      </c>
      <c r="E1263">
        <v>16.690000000000001</v>
      </c>
      <c r="F1263">
        <v>4.18</v>
      </c>
      <c r="G1263">
        <v>10.46</v>
      </c>
      <c r="H1263">
        <v>4.84</v>
      </c>
      <c r="I1263">
        <v>13.71</v>
      </c>
    </row>
    <row r="1264" spans="1:9" x14ac:dyDescent="0.25">
      <c r="A1264" s="2">
        <v>43424</v>
      </c>
      <c r="B1264">
        <v>6.15</v>
      </c>
      <c r="C1264">
        <v>6.1</v>
      </c>
      <c r="D1264">
        <v>2.64</v>
      </c>
      <c r="E1264">
        <v>16.48</v>
      </c>
      <c r="F1264">
        <v>4.0199999999999996</v>
      </c>
      <c r="G1264">
        <v>10.07</v>
      </c>
      <c r="H1264">
        <v>4.83</v>
      </c>
      <c r="I1264">
        <v>13.57</v>
      </c>
    </row>
    <row r="1265" spans="1:9" x14ac:dyDescent="0.25">
      <c r="A1265" s="2">
        <v>43425</v>
      </c>
      <c r="B1265">
        <v>5.61</v>
      </c>
      <c r="C1265">
        <v>6.05</v>
      </c>
      <c r="D1265">
        <v>1.55</v>
      </c>
      <c r="E1265">
        <v>16.02</v>
      </c>
      <c r="F1265">
        <v>3.68</v>
      </c>
      <c r="G1265">
        <v>9.77</v>
      </c>
      <c r="H1265">
        <v>4.75</v>
      </c>
      <c r="I1265">
        <v>12.59</v>
      </c>
    </row>
    <row r="1266" spans="1:9" x14ac:dyDescent="0.25">
      <c r="A1266" s="2">
        <v>43426</v>
      </c>
      <c r="B1266">
        <v>5</v>
      </c>
      <c r="C1266">
        <v>5.94</v>
      </c>
      <c r="D1266">
        <v>1.19</v>
      </c>
      <c r="E1266">
        <v>15.35</v>
      </c>
      <c r="F1266">
        <v>3.5</v>
      </c>
      <c r="G1266">
        <v>8.9700000000000006</v>
      </c>
      <c r="H1266">
        <v>4.6500000000000004</v>
      </c>
      <c r="I1266">
        <v>13.07</v>
      </c>
    </row>
    <row r="1267" spans="1:9" x14ac:dyDescent="0.25">
      <c r="A1267" s="2">
        <v>43427</v>
      </c>
      <c r="B1267">
        <v>5.03</v>
      </c>
      <c r="C1267">
        <v>5.85</v>
      </c>
      <c r="D1267">
        <v>1.32</v>
      </c>
      <c r="E1267">
        <v>15.83</v>
      </c>
      <c r="F1267">
        <v>3.67</v>
      </c>
      <c r="G1267">
        <v>9.3800000000000008</v>
      </c>
      <c r="H1267">
        <v>4.68</v>
      </c>
      <c r="I1267">
        <v>12.7</v>
      </c>
    </row>
    <row r="1268" spans="1:9" x14ac:dyDescent="0.25">
      <c r="A1268" s="2">
        <v>43430</v>
      </c>
      <c r="B1268">
        <v>5.18</v>
      </c>
      <c r="C1268">
        <v>5.95</v>
      </c>
      <c r="D1268">
        <v>1.42</v>
      </c>
      <c r="E1268">
        <v>15.53</v>
      </c>
      <c r="F1268">
        <v>3.68</v>
      </c>
      <c r="G1268">
        <v>9.2799999999999994</v>
      </c>
      <c r="H1268">
        <v>4.7</v>
      </c>
      <c r="I1268">
        <v>12.94</v>
      </c>
    </row>
    <row r="1269" spans="1:9" x14ac:dyDescent="0.25">
      <c r="A1269" s="2">
        <v>43431</v>
      </c>
      <c r="B1269">
        <v>5.17</v>
      </c>
      <c r="C1269">
        <v>5.94</v>
      </c>
      <c r="D1269">
        <v>1.57</v>
      </c>
      <c r="E1269">
        <v>15.78</v>
      </c>
      <c r="F1269">
        <v>3.75</v>
      </c>
      <c r="G1269">
        <v>9.34</v>
      </c>
      <c r="H1269">
        <v>4.7300000000000004</v>
      </c>
      <c r="I1269">
        <v>13.37</v>
      </c>
    </row>
    <row r="1270" spans="1:9" x14ac:dyDescent="0.25">
      <c r="A1270" s="2">
        <v>43432</v>
      </c>
      <c r="B1270">
        <v>5.51</v>
      </c>
      <c r="C1270">
        <v>5.89</v>
      </c>
      <c r="D1270">
        <v>2.1</v>
      </c>
      <c r="E1270">
        <v>16.190000000000001</v>
      </c>
      <c r="F1270">
        <v>3.76</v>
      </c>
      <c r="G1270">
        <v>9.6999999999999993</v>
      </c>
      <c r="H1270">
        <v>4.71</v>
      </c>
      <c r="I1270">
        <v>13.42</v>
      </c>
    </row>
    <row r="1271" spans="1:9" x14ac:dyDescent="0.25">
      <c r="A1271" s="2">
        <v>43433</v>
      </c>
      <c r="B1271">
        <v>5.56</v>
      </c>
      <c r="C1271">
        <v>5.82</v>
      </c>
      <c r="D1271">
        <v>2.42</v>
      </c>
      <c r="E1271">
        <v>16.239999999999998</v>
      </c>
      <c r="F1271">
        <v>3.75</v>
      </c>
      <c r="G1271">
        <v>9.7799999999999994</v>
      </c>
      <c r="H1271">
        <v>4.71</v>
      </c>
      <c r="I1271">
        <v>13.51</v>
      </c>
    </row>
    <row r="1272" spans="1:9" x14ac:dyDescent="0.25">
      <c r="A1272" s="2">
        <v>43434</v>
      </c>
      <c r="B1272">
        <v>5.94</v>
      </c>
      <c r="C1272">
        <v>5.75</v>
      </c>
      <c r="D1272">
        <v>2.92</v>
      </c>
      <c r="E1272">
        <v>16.440000000000001</v>
      </c>
      <c r="F1272">
        <v>3.77</v>
      </c>
      <c r="G1272">
        <v>9.9</v>
      </c>
      <c r="H1272">
        <v>4.6900000000000004</v>
      </c>
      <c r="I1272">
        <v>13.71</v>
      </c>
    </row>
    <row r="1273" spans="1:9" x14ac:dyDescent="0.25">
      <c r="A1273" s="2">
        <v>43437</v>
      </c>
      <c r="B1273">
        <v>6.01</v>
      </c>
      <c r="C1273">
        <v>5.85</v>
      </c>
      <c r="D1273">
        <v>2.84</v>
      </c>
      <c r="E1273">
        <v>16.7</v>
      </c>
      <c r="F1273">
        <v>3.89</v>
      </c>
      <c r="G1273">
        <v>10.09</v>
      </c>
      <c r="H1273">
        <v>4.8</v>
      </c>
      <c r="I1273">
        <v>13.65</v>
      </c>
    </row>
    <row r="1274" spans="1:9" x14ac:dyDescent="0.25">
      <c r="A1274" s="2">
        <v>43438</v>
      </c>
      <c r="B1274">
        <v>6.14</v>
      </c>
      <c r="C1274">
        <v>5.84</v>
      </c>
      <c r="D1274">
        <v>3.34</v>
      </c>
      <c r="E1274">
        <v>16.7</v>
      </c>
      <c r="F1274">
        <v>3.93</v>
      </c>
      <c r="G1274">
        <v>10.029999999999999</v>
      </c>
      <c r="H1274">
        <v>4.83</v>
      </c>
      <c r="I1274">
        <v>14.25</v>
      </c>
    </row>
    <row r="1275" spans="1:9" x14ac:dyDescent="0.25">
      <c r="A1275" s="2">
        <v>43439</v>
      </c>
      <c r="B1275">
        <v>6.58</v>
      </c>
      <c r="C1275">
        <v>5.93</v>
      </c>
      <c r="D1275">
        <v>3.6</v>
      </c>
      <c r="E1275">
        <v>17.38</v>
      </c>
      <c r="F1275">
        <v>4.0599999999999996</v>
      </c>
      <c r="G1275">
        <v>10.63</v>
      </c>
      <c r="H1275">
        <v>4.92</v>
      </c>
      <c r="I1275">
        <v>14.04</v>
      </c>
    </row>
    <row r="1276" spans="1:9" x14ac:dyDescent="0.25">
      <c r="A1276" s="2">
        <v>43440</v>
      </c>
      <c r="B1276">
        <v>5.98</v>
      </c>
      <c r="C1276">
        <v>6.05</v>
      </c>
      <c r="D1276">
        <v>2.8</v>
      </c>
      <c r="E1276">
        <v>17.18</v>
      </c>
      <c r="F1276">
        <v>4.07</v>
      </c>
      <c r="G1276">
        <v>10.35</v>
      </c>
      <c r="H1276">
        <v>4.9000000000000004</v>
      </c>
      <c r="I1276">
        <v>13.45</v>
      </c>
    </row>
    <row r="1277" spans="1:9" x14ac:dyDescent="0.25">
      <c r="A1277" s="2">
        <v>43441</v>
      </c>
      <c r="B1277">
        <v>5.68</v>
      </c>
      <c r="C1277">
        <v>6.03</v>
      </c>
      <c r="D1277">
        <v>2.2000000000000002</v>
      </c>
      <c r="E1277">
        <v>16.579999999999998</v>
      </c>
      <c r="F1277">
        <v>4.01</v>
      </c>
      <c r="G1277">
        <v>9.8800000000000008</v>
      </c>
      <c r="H1277">
        <v>4.8499999999999996</v>
      </c>
      <c r="I1277">
        <v>12.2</v>
      </c>
    </row>
    <row r="1278" spans="1:9" x14ac:dyDescent="0.25">
      <c r="A1278" s="2">
        <v>43444</v>
      </c>
      <c r="B1278">
        <v>5.08</v>
      </c>
      <c r="C1278">
        <v>5.93</v>
      </c>
      <c r="D1278">
        <v>1.87</v>
      </c>
      <c r="E1278">
        <v>15.3</v>
      </c>
      <c r="F1278">
        <v>3.89</v>
      </c>
      <c r="G1278">
        <v>8.6300000000000008</v>
      </c>
      <c r="H1278">
        <v>4.68</v>
      </c>
      <c r="I1278">
        <v>12.39</v>
      </c>
    </row>
    <row r="1279" spans="1:9" x14ac:dyDescent="0.25">
      <c r="A1279" s="2">
        <v>43445</v>
      </c>
      <c r="B1279">
        <v>4.6900000000000004</v>
      </c>
      <c r="C1279">
        <v>5.95</v>
      </c>
      <c r="D1279">
        <v>1.1000000000000001</v>
      </c>
      <c r="E1279">
        <v>15.47</v>
      </c>
      <c r="F1279">
        <v>3.95</v>
      </c>
      <c r="G1279">
        <v>8.6199999999999992</v>
      </c>
      <c r="H1279">
        <v>4.72</v>
      </c>
      <c r="I1279">
        <v>11.54</v>
      </c>
    </row>
    <row r="1280" spans="1:9" x14ac:dyDescent="0.25">
      <c r="A1280" s="2">
        <v>43446</v>
      </c>
      <c r="B1280">
        <v>4.49</v>
      </c>
      <c r="C1280">
        <v>5.96</v>
      </c>
      <c r="D1280">
        <v>1.2</v>
      </c>
      <c r="E1280">
        <v>14.74</v>
      </c>
      <c r="F1280">
        <v>3.89</v>
      </c>
      <c r="G1280">
        <v>7.83</v>
      </c>
      <c r="H1280">
        <v>4.63</v>
      </c>
      <c r="I1280">
        <v>12.22</v>
      </c>
    </row>
    <row r="1281" spans="1:9" x14ac:dyDescent="0.25">
      <c r="A1281" s="2">
        <v>43447</v>
      </c>
      <c r="B1281">
        <v>4.59</v>
      </c>
      <c r="C1281">
        <v>5.94</v>
      </c>
      <c r="D1281">
        <v>1.47</v>
      </c>
      <c r="E1281">
        <v>15.45</v>
      </c>
      <c r="F1281">
        <v>4</v>
      </c>
      <c r="G1281">
        <v>8.27</v>
      </c>
      <c r="H1281">
        <v>4.6500000000000004</v>
      </c>
      <c r="I1281">
        <v>12.83</v>
      </c>
    </row>
    <row r="1282" spans="1:9" x14ac:dyDescent="0.25">
      <c r="A1282" s="2">
        <v>43448</v>
      </c>
      <c r="B1282">
        <v>4.8499999999999996</v>
      </c>
      <c r="C1282">
        <v>5.98</v>
      </c>
      <c r="D1282">
        <v>1.69</v>
      </c>
      <c r="E1282">
        <v>15.99</v>
      </c>
      <c r="F1282">
        <v>4.09</v>
      </c>
      <c r="G1282">
        <v>8.7899999999999991</v>
      </c>
      <c r="H1282">
        <v>4.71</v>
      </c>
      <c r="I1282">
        <v>12.85</v>
      </c>
    </row>
    <row r="1283" spans="1:9" x14ac:dyDescent="0.25">
      <c r="A1283" s="2">
        <v>43451</v>
      </c>
      <c r="B1283">
        <v>4.9000000000000004</v>
      </c>
      <c r="C1283">
        <v>6.1</v>
      </c>
      <c r="D1283">
        <v>1.72</v>
      </c>
      <c r="E1283">
        <v>15.88</v>
      </c>
      <c r="F1283">
        <v>4.1100000000000003</v>
      </c>
      <c r="G1283">
        <v>8.92</v>
      </c>
      <c r="H1283">
        <v>4.75</v>
      </c>
      <c r="I1283">
        <v>12.64</v>
      </c>
    </row>
    <row r="1284" spans="1:9" x14ac:dyDescent="0.25">
      <c r="A1284" s="2">
        <v>43452</v>
      </c>
      <c r="B1284">
        <v>4.47</v>
      </c>
      <c r="C1284">
        <v>6.12</v>
      </c>
      <c r="D1284">
        <v>1.0900000000000001</v>
      </c>
      <c r="E1284">
        <v>15.67</v>
      </c>
      <c r="F1284">
        <v>4.2300000000000004</v>
      </c>
      <c r="G1284">
        <v>8.68</v>
      </c>
      <c r="H1284">
        <v>4.74</v>
      </c>
      <c r="I1284">
        <v>12.11</v>
      </c>
    </row>
    <row r="1285" spans="1:9" x14ac:dyDescent="0.25">
      <c r="A1285" s="2">
        <v>43453</v>
      </c>
      <c r="B1285">
        <v>4.05</v>
      </c>
      <c r="C1285">
        <v>6.15</v>
      </c>
      <c r="D1285">
        <v>0.44</v>
      </c>
      <c r="E1285">
        <v>15.16</v>
      </c>
      <c r="F1285">
        <v>4.1500000000000004</v>
      </c>
      <c r="G1285">
        <v>8.11</v>
      </c>
      <c r="H1285">
        <v>4.72</v>
      </c>
      <c r="I1285">
        <v>11.75</v>
      </c>
    </row>
    <row r="1286" spans="1:9" x14ac:dyDescent="0.25">
      <c r="A1286" s="2">
        <v>43454</v>
      </c>
      <c r="B1286">
        <v>4.0199999999999996</v>
      </c>
      <c r="C1286">
        <v>6.19</v>
      </c>
      <c r="D1286">
        <v>0.13</v>
      </c>
      <c r="E1286">
        <v>14.88</v>
      </c>
      <c r="F1286">
        <v>4.16</v>
      </c>
      <c r="G1286">
        <v>7.8</v>
      </c>
      <c r="H1286">
        <v>4.74</v>
      </c>
      <c r="I1286">
        <v>11.82</v>
      </c>
    </row>
    <row r="1287" spans="1:9" x14ac:dyDescent="0.25">
      <c r="A1287" s="2">
        <v>43455</v>
      </c>
      <c r="B1287">
        <v>3.76</v>
      </c>
      <c r="C1287">
        <v>6.27</v>
      </c>
      <c r="D1287">
        <v>-0.52</v>
      </c>
      <c r="E1287">
        <v>14.85</v>
      </c>
      <c r="F1287">
        <v>4.18</v>
      </c>
      <c r="G1287">
        <v>7.75</v>
      </c>
      <c r="H1287">
        <v>4.75</v>
      </c>
      <c r="I1287">
        <v>11.08</v>
      </c>
    </row>
    <row r="1288" spans="1:9" x14ac:dyDescent="0.25">
      <c r="A1288" s="2">
        <v>43461</v>
      </c>
      <c r="B1288">
        <v>3.3</v>
      </c>
      <c r="C1288">
        <v>6.23</v>
      </c>
      <c r="D1288">
        <v>-0.99</v>
      </c>
      <c r="E1288">
        <v>14.09</v>
      </c>
      <c r="F1288">
        <v>4.1100000000000003</v>
      </c>
      <c r="G1288">
        <v>7.15</v>
      </c>
      <c r="H1288">
        <v>4.7</v>
      </c>
      <c r="I1288">
        <v>10.9</v>
      </c>
    </row>
    <row r="1289" spans="1:9" x14ac:dyDescent="0.25">
      <c r="A1289" s="2">
        <v>43462</v>
      </c>
      <c r="B1289">
        <v>2.88</v>
      </c>
      <c r="C1289">
        <v>6.22</v>
      </c>
      <c r="D1289">
        <v>-1.73</v>
      </c>
      <c r="E1289">
        <v>13.55</v>
      </c>
      <c r="F1289">
        <v>3.96</v>
      </c>
      <c r="G1289">
        <v>6.81</v>
      </c>
      <c r="H1289">
        <v>4.6100000000000003</v>
      </c>
      <c r="I1289">
        <v>10.29</v>
      </c>
    </row>
    <row r="1290" spans="1:9" x14ac:dyDescent="0.25">
      <c r="A1290" s="2">
        <v>43465</v>
      </c>
      <c r="B1290">
        <v>3.43</v>
      </c>
      <c r="C1290">
        <v>6.19</v>
      </c>
      <c r="D1290">
        <v>-0.89</v>
      </c>
      <c r="E1290">
        <v>14.18</v>
      </c>
      <c r="F1290">
        <v>4.07</v>
      </c>
      <c r="G1290">
        <v>6.31</v>
      </c>
      <c r="H1290">
        <v>4.5999999999999996</v>
      </c>
      <c r="I1290">
        <v>11.12</v>
      </c>
    </row>
    <row r="1291" spans="1:9" x14ac:dyDescent="0.25">
      <c r="A1291" s="2">
        <v>43467</v>
      </c>
      <c r="B1291">
        <v>3.08</v>
      </c>
      <c r="C1291">
        <v>6.12</v>
      </c>
      <c r="D1291">
        <v>-1.01</v>
      </c>
      <c r="E1291">
        <v>13.54</v>
      </c>
      <c r="F1291">
        <v>4.0599999999999996</v>
      </c>
      <c r="G1291">
        <v>6.31</v>
      </c>
      <c r="H1291">
        <v>4.5999999999999996</v>
      </c>
      <c r="I1291">
        <v>10.93</v>
      </c>
    </row>
    <row r="1292" spans="1:9" x14ac:dyDescent="0.25">
      <c r="A1292" s="2">
        <v>43468</v>
      </c>
      <c r="B1292">
        <v>3.48</v>
      </c>
      <c r="C1292">
        <v>6.31</v>
      </c>
      <c r="D1292">
        <v>-0.77</v>
      </c>
      <c r="E1292">
        <v>14.18</v>
      </c>
      <c r="F1292">
        <v>4.07</v>
      </c>
      <c r="G1292">
        <v>7.06</v>
      </c>
      <c r="H1292">
        <v>4.71</v>
      </c>
      <c r="I1292">
        <v>11.19</v>
      </c>
    </row>
    <row r="1293" spans="1:9" x14ac:dyDescent="0.25">
      <c r="A1293" s="2">
        <v>43469</v>
      </c>
      <c r="B1293">
        <v>3.67</v>
      </c>
      <c r="C1293">
        <v>6.39</v>
      </c>
      <c r="D1293">
        <v>-0.37</v>
      </c>
      <c r="E1293">
        <v>14.33</v>
      </c>
      <c r="F1293">
        <v>4.22</v>
      </c>
      <c r="G1293">
        <v>7.29</v>
      </c>
      <c r="H1293">
        <v>4.87</v>
      </c>
      <c r="I1293">
        <v>10.72</v>
      </c>
    </row>
    <row r="1294" spans="1:9" x14ac:dyDescent="0.25">
      <c r="A1294" s="2">
        <v>43472</v>
      </c>
      <c r="B1294">
        <v>3.36</v>
      </c>
      <c r="C1294">
        <v>6.46</v>
      </c>
      <c r="D1294">
        <v>-0.84</v>
      </c>
      <c r="E1294">
        <v>13.93</v>
      </c>
      <c r="F1294">
        <v>4.2</v>
      </c>
      <c r="G1294">
        <v>7.05</v>
      </c>
      <c r="H1294">
        <v>4.93</v>
      </c>
      <c r="I1294">
        <v>11.71</v>
      </c>
    </row>
    <row r="1295" spans="1:9" x14ac:dyDescent="0.25">
      <c r="A1295" s="2">
        <v>43473</v>
      </c>
      <c r="B1295">
        <v>4.1500000000000004</v>
      </c>
      <c r="C1295">
        <v>6.46</v>
      </c>
      <c r="D1295">
        <v>-0.09</v>
      </c>
      <c r="E1295">
        <v>14.65</v>
      </c>
      <c r="F1295">
        <v>4.2699999999999996</v>
      </c>
      <c r="G1295">
        <v>7.71</v>
      </c>
      <c r="H1295">
        <v>5.03</v>
      </c>
      <c r="I1295">
        <v>11.71</v>
      </c>
    </row>
    <row r="1296" spans="1:9" x14ac:dyDescent="0.25">
      <c r="A1296" s="2">
        <v>43474</v>
      </c>
      <c r="B1296">
        <v>4.45</v>
      </c>
      <c r="C1296">
        <v>6.5</v>
      </c>
      <c r="D1296">
        <v>0.12</v>
      </c>
      <c r="E1296">
        <v>14.96</v>
      </c>
      <c r="F1296">
        <v>4.32</v>
      </c>
      <c r="G1296">
        <v>8.15</v>
      </c>
      <c r="H1296">
        <v>5.13</v>
      </c>
      <c r="I1296">
        <v>11.99</v>
      </c>
    </row>
    <row r="1297" spans="1:9" x14ac:dyDescent="0.25">
      <c r="A1297" s="2">
        <v>43475</v>
      </c>
      <c r="B1297">
        <v>4.75</v>
      </c>
      <c r="C1297">
        <v>6.45</v>
      </c>
      <c r="D1297">
        <v>0.41</v>
      </c>
      <c r="E1297">
        <v>15.14</v>
      </c>
      <c r="F1297">
        <v>4.3</v>
      </c>
      <c r="G1297">
        <v>8.41</v>
      </c>
      <c r="H1297">
        <v>5.1100000000000003</v>
      </c>
      <c r="I1297">
        <v>12.33</v>
      </c>
    </row>
    <row r="1298" spans="1:9" x14ac:dyDescent="0.25">
      <c r="A1298" s="2">
        <v>43476</v>
      </c>
      <c r="B1298">
        <v>4.96</v>
      </c>
      <c r="C1298">
        <v>6.53</v>
      </c>
      <c r="D1298">
        <v>0.45</v>
      </c>
      <c r="E1298">
        <v>15.55</v>
      </c>
      <c r="F1298">
        <v>4.3600000000000003</v>
      </c>
      <c r="G1298">
        <v>8.76</v>
      </c>
      <c r="H1298">
        <v>5.17</v>
      </c>
      <c r="I1298">
        <v>12.45</v>
      </c>
    </row>
    <row r="1299" spans="1:9" x14ac:dyDescent="0.25">
      <c r="A1299" s="2">
        <v>43479</v>
      </c>
      <c r="B1299">
        <v>4.95</v>
      </c>
      <c r="C1299">
        <v>6.56</v>
      </c>
      <c r="D1299">
        <v>0.68</v>
      </c>
      <c r="E1299">
        <v>15.7</v>
      </c>
      <c r="F1299">
        <v>4.4000000000000004</v>
      </c>
      <c r="G1299">
        <v>8.86</v>
      </c>
      <c r="H1299">
        <v>5.24</v>
      </c>
      <c r="I1299">
        <v>12.59</v>
      </c>
    </row>
    <row r="1300" spans="1:9" x14ac:dyDescent="0.25">
      <c r="A1300" s="2">
        <v>43480</v>
      </c>
      <c r="B1300">
        <v>5.13</v>
      </c>
      <c r="C1300">
        <v>6.67</v>
      </c>
      <c r="D1300">
        <v>0.88</v>
      </c>
      <c r="E1300">
        <v>15.8</v>
      </c>
      <c r="F1300">
        <v>4.43</v>
      </c>
      <c r="G1300">
        <v>9.01</v>
      </c>
      <c r="H1300">
        <v>5.3</v>
      </c>
      <c r="I1300">
        <v>12.47</v>
      </c>
    </row>
    <row r="1301" spans="1:9" x14ac:dyDescent="0.25">
      <c r="A1301" s="2">
        <v>43481</v>
      </c>
      <c r="B1301">
        <v>5.0199999999999996</v>
      </c>
      <c r="C1301">
        <v>6.73</v>
      </c>
      <c r="D1301">
        <v>0.92</v>
      </c>
      <c r="E1301">
        <v>15.67</v>
      </c>
      <c r="F1301">
        <v>4.45</v>
      </c>
      <c r="G1301">
        <v>8.86</v>
      </c>
      <c r="H1301">
        <v>5.31</v>
      </c>
      <c r="I1301">
        <v>12.8</v>
      </c>
    </row>
    <row r="1302" spans="1:9" x14ac:dyDescent="0.25">
      <c r="A1302" s="2">
        <v>43482</v>
      </c>
      <c r="B1302">
        <v>5.31</v>
      </c>
      <c r="C1302">
        <v>6.78</v>
      </c>
      <c r="D1302">
        <v>1.47</v>
      </c>
      <c r="E1302">
        <v>16.13</v>
      </c>
      <c r="F1302">
        <v>4.6100000000000003</v>
      </c>
      <c r="G1302">
        <v>9.1300000000000008</v>
      </c>
      <c r="H1302">
        <v>5.39</v>
      </c>
      <c r="I1302">
        <v>13.14</v>
      </c>
    </row>
    <row r="1303" spans="1:9" x14ac:dyDescent="0.25">
      <c r="A1303" s="2">
        <v>43483</v>
      </c>
      <c r="B1303">
        <v>5.53</v>
      </c>
      <c r="C1303">
        <v>6.86</v>
      </c>
      <c r="D1303">
        <v>1.64</v>
      </c>
      <c r="E1303">
        <v>16.5</v>
      </c>
      <c r="F1303">
        <v>4.7</v>
      </c>
      <c r="G1303">
        <v>9.52</v>
      </c>
      <c r="H1303">
        <v>5.48</v>
      </c>
      <c r="I1303">
        <v>13.11</v>
      </c>
    </row>
    <row r="1304" spans="1:9" x14ac:dyDescent="0.25">
      <c r="A1304" s="2">
        <v>43486</v>
      </c>
      <c r="B1304">
        <v>5.77</v>
      </c>
      <c r="C1304">
        <v>6.88</v>
      </c>
      <c r="D1304">
        <v>2.0099999999999998</v>
      </c>
      <c r="E1304">
        <v>16.47</v>
      </c>
      <c r="F1304">
        <v>4.6100000000000003</v>
      </c>
      <c r="G1304">
        <v>9.59</v>
      </c>
      <c r="H1304">
        <v>5.46</v>
      </c>
      <c r="I1304">
        <v>13.84</v>
      </c>
    </row>
    <row r="1305" spans="1:9" x14ac:dyDescent="0.25">
      <c r="A1305" s="2">
        <v>43487</v>
      </c>
      <c r="B1305">
        <v>6.32</v>
      </c>
      <c r="C1305">
        <v>7.01</v>
      </c>
      <c r="D1305">
        <v>2.5099999999999998</v>
      </c>
      <c r="E1305">
        <v>17.170000000000002</v>
      </c>
      <c r="F1305">
        <v>4.7300000000000004</v>
      </c>
      <c r="G1305">
        <v>10.32</v>
      </c>
      <c r="H1305">
        <v>5.52</v>
      </c>
      <c r="I1305">
        <v>13.74</v>
      </c>
    </row>
    <row r="1306" spans="1:9" x14ac:dyDescent="0.25">
      <c r="A1306" s="2">
        <v>43488</v>
      </c>
      <c r="B1306">
        <v>6.37</v>
      </c>
      <c r="C1306">
        <v>7.07</v>
      </c>
      <c r="D1306">
        <v>2.5299999999999998</v>
      </c>
      <c r="E1306">
        <v>17.2</v>
      </c>
      <c r="F1306">
        <v>4.7699999999999996</v>
      </c>
      <c r="G1306">
        <v>10.39</v>
      </c>
      <c r="H1306">
        <v>5.54</v>
      </c>
      <c r="I1306">
        <v>13.58</v>
      </c>
    </row>
    <row r="1307" spans="1:9" x14ac:dyDescent="0.25">
      <c r="A1307" s="2">
        <v>43489</v>
      </c>
      <c r="B1307">
        <v>6.12</v>
      </c>
      <c r="C1307">
        <v>7.09</v>
      </c>
      <c r="D1307">
        <v>2.19</v>
      </c>
      <c r="E1307">
        <v>16.940000000000001</v>
      </c>
      <c r="F1307">
        <v>4.76</v>
      </c>
      <c r="G1307">
        <v>10.19</v>
      </c>
      <c r="H1307">
        <v>5.52</v>
      </c>
      <c r="I1307">
        <v>13.46</v>
      </c>
    </row>
    <row r="1308" spans="1:9" x14ac:dyDescent="0.25">
      <c r="A1308" s="2">
        <v>43490</v>
      </c>
      <c r="B1308">
        <v>6.23</v>
      </c>
      <c r="C1308">
        <v>7.23</v>
      </c>
      <c r="D1308">
        <v>2.19</v>
      </c>
      <c r="E1308">
        <v>16.84</v>
      </c>
      <c r="F1308">
        <v>4.78</v>
      </c>
      <c r="G1308">
        <v>10.09</v>
      </c>
      <c r="H1308">
        <v>5.52</v>
      </c>
      <c r="I1308">
        <v>13.85</v>
      </c>
    </row>
    <row r="1309" spans="1:9" x14ac:dyDescent="0.25">
      <c r="A1309" s="2">
        <v>43493</v>
      </c>
      <c r="B1309">
        <v>6.43</v>
      </c>
      <c r="C1309">
        <v>7.36</v>
      </c>
      <c r="D1309">
        <v>2.5099999999999998</v>
      </c>
      <c r="E1309">
        <v>17.18</v>
      </c>
      <c r="F1309">
        <v>4.96</v>
      </c>
      <c r="G1309">
        <v>10.34</v>
      </c>
      <c r="H1309">
        <v>5.67</v>
      </c>
      <c r="I1309">
        <v>14.15</v>
      </c>
    </row>
    <row r="1310" spans="1:9" x14ac:dyDescent="0.25">
      <c r="A1310" s="2">
        <v>43494</v>
      </c>
      <c r="B1310">
        <v>6.65</v>
      </c>
      <c r="C1310">
        <v>7.33</v>
      </c>
      <c r="D1310">
        <v>2.48</v>
      </c>
      <c r="E1310">
        <v>17.489999999999998</v>
      </c>
      <c r="F1310">
        <v>4.9400000000000004</v>
      </c>
      <c r="G1310">
        <v>10.65</v>
      </c>
      <c r="H1310">
        <v>5.71</v>
      </c>
      <c r="I1310">
        <v>13.79</v>
      </c>
    </row>
    <row r="1311" spans="1:9" x14ac:dyDescent="0.25">
      <c r="A1311" s="2">
        <v>43495</v>
      </c>
      <c r="B1311">
        <v>6.4</v>
      </c>
      <c r="C1311">
        <v>7.32</v>
      </c>
      <c r="D1311">
        <v>2.19</v>
      </c>
      <c r="E1311">
        <v>17.05</v>
      </c>
      <c r="F1311">
        <v>4.8099999999999996</v>
      </c>
      <c r="G1311">
        <v>10.220000000000001</v>
      </c>
      <c r="H1311">
        <v>5.64</v>
      </c>
      <c r="I1311">
        <v>13.96</v>
      </c>
    </row>
    <row r="1312" spans="1:9" x14ac:dyDescent="0.25">
      <c r="A1312" s="2">
        <v>43496</v>
      </c>
      <c r="B1312">
        <v>6.45</v>
      </c>
      <c r="C1312">
        <v>7.35</v>
      </c>
      <c r="D1312">
        <v>2.35</v>
      </c>
      <c r="E1312">
        <v>17.239999999999998</v>
      </c>
      <c r="F1312">
        <v>4.93</v>
      </c>
      <c r="G1312">
        <v>10.42</v>
      </c>
      <c r="H1312">
        <v>5.72</v>
      </c>
      <c r="I1312">
        <v>14.16</v>
      </c>
    </row>
    <row r="1313" spans="1:9" x14ac:dyDescent="0.25">
      <c r="A1313" s="2">
        <v>43497</v>
      </c>
      <c r="B1313">
        <v>6.69</v>
      </c>
      <c r="C1313">
        <v>7.44</v>
      </c>
      <c r="D1313">
        <v>2.8</v>
      </c>
      <c r="E1313">
        <v>17.510000000000002</v>
      </c>
      <c r="F1313">
        <v>4.9800000000000004</v>
      </c>
      <c r="G1313">
        <v>10.59</v>
      </c>
      <c r="H1313">
        <v>5.79</v>
      </c>
      <c r="I1313">
        <v>14.46</v>
      </c>
    </row>
    <row r="1314" spans="1:9" x14ac:dyDescent="0.25">
      <c r="A1314" s="2">
        <v>43500</v>
      </c>
      <c r="B1314">
        <v>7.02</v>
      </c>
      <c r="C1314">
        <v>7.68</v>
      </c>
      <c r="D1314">
        <v>3.12</v>
      </c>
      <c r="E1314">
        <v>18</v>
      </c>
      <c r="F1314">
        <v>5.24</v>
      </c>
      <c r="G1314">
        <v>11.01</v>
      </c>
      <c r="H1314">
        <v>6.07</v>
      </c>
      <c r="I1314">
        <v>14.54</v>
      </c>
    </row>
    <row r="1315" spans="1:9" x14ac:dyDescent="0.25">
      <c r="A1315" s="2">
        <v>43501</v>
      </c>
      <c r="B1315">
        <v>7.18</v>
      </c>
      <c r="C1315">
        <v>7.83</v>
      </c>
      <c r="D1315">
        <v>3.17</v>
      </c>
      <c r="E1315">
        <v>18.03</v>
      </c>
      <c r="F1315">
        <v>5.21</v>
      </c>
      <c r="G1315">
        <v>11.13</v>
      </c>
      <c r="H1315">
        <v>6.09</v>
      </c>
      <c r="I1315">
        <v>14.66</v>
      </c>
    </row>
    <row r="1316" spans="1:9" x14ac:dyDescent="0.25">
      <c r="A1316" s="2">
        <v>43502</v>
      </c>
      <c r="B1316">
        <v>7.38</v>
      </c>
      <c r="C1316">
        <v>7.83</v>
      </c>
      <c r="D1316">
        <v>3.57</v>
      </c>
      <c r="E1316">
        <v>18.16</v>
      </c>
      <c r="F1316">
        <v>5.21</v>
      </c>
      <c r="G1316">
        <v>11.25</v>
      </c>
      <c r="H1316">
        <v>6.1</v>
      </c>
      <c r="I1316">
        <v>15.17</v>
      </c>
    </row>
    <row r="1317" spans="1:9" x14ac:dyDescent="0.25">
      <c r="A1317" s="2">
        <v>43503</v>
      </c>
      <c r="B1317">
        <v>7.8</v>
      </c>
      <c r="C1317">
        <v>8</v>
      </c>
      <c r="D1317">
        <v>3.96</v>
      </c>
      <c r="E1317">
        <v>18.690000000000001</v>
      </c>
      <c r="F1317">
        <v>5.4</v>
      </c>
      <c r="G1317">
        <v>11.84</v>
      </c>
      <c r="H1317">
        <v>6.19</v>
      </c>
      <c r="I1317">
        <v>15.19</v>
      </c>
    </row>
    <row r="1318" spans="1:9" x14ac:dyDescent="0.25">
      <c r="A1318" s="2">
        <v>43504</v>
      </c>
      <c r="B1318">
        <v>7.81</v>
      </c>
      <c r="C1318">
        <v>8.1199999999999992</v>
      </c>
      <c r="D1318">
        <v>3.96</v>
      </c>
      <c r="E1318">
        <v>18.649999999999999</v>
      </c>
      <c r="F1318">
        <v>5.39</v>
      </c>
      <c r="G1318">
        <v>12</v>
      </c>
      <c r="H1318">
        <v>6.25</v>
      </c>
      <c r="I1318">
        <v>14.62</v>
      </c>
    </row>
    <row r="1319" spans="1:9" x14ac:dyDescent="0.25">
      <c r="A1319" s="2">
        <v>43507</v>
      </c>
      <c r="B1319">
        <v>7.5</v>
      </c>
      <c r="C1319">
        <v>8.1199999999999992</v>
      </c>
      <c r="D1319">
        <v>3.68</v>
      </c>
      <c r="E1319">
        <v>18.21</v>
      </c>
      <c r="F1319">
        <v>5.35</v>
      </c>
      <c r="G1319">
        <v>11.5</v>
      </c>
      <c r="H1319">
        <v>6.24</v>
      </c>
      <c r="I1319">
        <v>14.46</v>
      </c>
    </row>
    <row r="1320" spans="1:9" x14ac:dyDescent="0.25">
      <c r="A1320" s="2">
        <v>43508</v>
      </c>
      <c r="B1320">
        <v>7.35</v>
      </c>
      <c r="C1320">
        <v>8.1300000000000008</v>
      </c>
      <c r="D1320">
        <v>3.85</v>
      </c>
      <c r="E1320">
        <v>18.09</v>
      </c>
      <c r="F1320">
        <v>5.31</v>
      </c>
      <c r="G1320">
        <v>11.2</v>
      </c>
      <c r="H1320">
        <v>6.28</v>
      </c>
      <c r="I1320">
        <v>14.75</v>
      </c>
    </row>
    <row r="1321" spans="1:9" x14ac:dyDescent="0.25">
      <c r="A1321" s="2">
        <v>43509</v>
      </c>
      <c r="B1321">
        <v>7.45</v>
      </c>
      <c r="C1321">
        <v>8.0500000000000007</v>
      </c>
      <c r="D1321">
        <v>4.1100000000000003</v>
      </c>
      <c r="E1321">
        <v>18.420000000000002</v>
      </c>
      <c r="F1321">
        <v>5.3</v>
      </c>
      <c r="G1321">
        <v>11.79</v>
      </c>
      <c r="H1321">
        <v>6.21</v>
      </c>
      <c r="I1321">
        <v>14.95</v>
      </c>
    </row>
    <row r="1322" spans="1:9" x14ac:dyDescent="0.25">
      <c r="A1322" s="2">
        <v>43510</v>
      </c>
      <c r="B1322">
        <v>7.75</v>
      </c>
      <c r="C1322">
        <v>8.01</v>
      </c>
      <c r="D1322">
        <v>4.49</v>
      </c>
      <c r="E1322">
        <v>18.75</v>
      </c>
      <c r="F1322">
        <v>5.35</v>
      </c>
      <c r="G1322">
        <v>12.09</v>
      </c>
      <c r="H1322">
        <v>6.21</v>
      </c>
      <c r="I1322">
        <v>15.11</v>
      </c>
    </row>
    <row r="1323" spans="1:9" x14ac:dyDescent="0.25">
      <c r="A1323" s="2">
        <v>43511</v>
      </c>
      <c r="B1323">
        <v>7.92</v>
      </c>
      <c r="C1323">
        <v>8.11</v>
      </c>
      <c r="D1323">
        <v>4.6900000000000004</v>
      </c>
      <c r="E1323">
        <v>18.95</v>
      </c>
      <c r="F1323">
        <v>5.46</v>
      </c>
      <c r="G1323">
        <v>12.35</v>
      </c>
      <c r="H1323">
        <v>6.21</v>
      </c>
      <c r="I1323">
        <v>15.06</v>
      </c>
    </row>
    <row r="1324" spans="1:9" x14ac:dyDescent="0.25">
      <c r="A1324" s="2">
        <v>43514</v>
      </c>
      <c r="B1324">
        <v>8.02</v>
      </c>
      <c r="C1324">
        <v>8.11</v>
      </c>
      <c r="D1324">
        <v>4.84</v>
      </c>
      <c r="E1324">
        <v>18.850000000000001</v>
      </c>
      <c r="F1324">
        <v>5.42</v>
      </c>
      <c r="G1324">
        <v>12.24</v>
      </c>
      <c r="H1324">
        <v>6.18</v>
      </c>
      <c r="I1324">
        <v>15.49</v>
      </c>
    </row>
    <row r="1325" spans="1:9" x14ac:dyDescent="0.25">
      <c r="A1325" s="2">
        <v>43515</v>
      </c>
      <c r="B1325">
        <v>8.2799999999999994</v>
      </c>
      <c r="C1325">
        <v>8.11</v>
      </c>
      <c r="D1325">
        <v>5.16</v>
      </c>
      <c r="E1325">
        <v>19.14</v>
      </c>
      <c r="F1325">
        <v>5.48</v>
      </c>
      <c r="G1325">
        <v>12.69</v>
      </c>
      <c r="H1325">
        <v>6.23</v>
      </c>
      <c r="I1325">
        <v>15.52</v>
      </c>
    </row>
    <row r="1326" spans="1:9" x14ac:dyDescent="0.25">
      <c r="A1326" s="2">
        <v>43516</v>
      </c>
      <c r="B1326">
        <v>8.3699999999999992</v>
      </c>
      <c r="C1326">
        <v>8.19</v>
      </c>
      <c r="D1326">
        <v>5.22</v>
      </c>
      <c r="E1326">
        <v>19.23</v>
      </c>
      <c r="F1326">
        <v>5.46</v>
      </c>
      <c r="G1326">
        <v>12.8</v>
      </c>
      <c r="H1326">
        <v>6.24</v>
      </c>
      <c r="I1326">
        <v>15.53</v>
      </c>
    </row>
    <row r="1327" spans="1:9" x14ac:dyDescent="0.25">
      <c r="A1327" s="2">
        <v>43517</v>
      </c>
      <c r="B1327">
        <v>8.41</v>
      </c>
      <c r="C1327">
        <v>8.24</v>
      </c>
      <c r="D1327">
        <v>5.13</v>
      </c>
      <c r="E1327">
        <v>19.25</v>
      </c>
      <c r="F1327">
        <v>5.52</v>
      </c>
      <c r="G1327">
        <v>12.81</v>
      </c>
      <c r="H1327">
        <v>6.29</v>
      </c>
      <c r="I1327">
        <v>15.73</v>
      </c>
    </row>
    <row r="1328" spans="1:9" x14ac:dyDescent="0.25">
      <c r="A1328" s="2">
        <v>43518</v>
      </c>
      <c r="B1328">
        <v>8.5299999999999994</v>
      </c>
      <c r="C1328">
        <v>8.2100000000000009</v>
      </c>
      <c r="D1328">
        <v>5.2</v>
      </c>
      <c r="E1328">
        <v>19.440000000000001</v>
      </c>
      <c r="F1328">
        <v>5.49</v>
      </c>
      <c r="G1328">
        <v>13.06</v>
      </c>
      <c r="H1328">
        <v>6.34</v>
      </c>
      <c r="I1328">
        <v>15.62</v>
      </c>
    </row>
    <row r="1329" spans="1:9" x14ac:dyDescent="0.25">
      <c r="A1329" s="2">
        <v>43521</v>
      </c>
      <c r="B1329">
        <v>8.48</v>
      </c>
      <c r="C1329">
        <v>8.1999999999999993</v>
      </c>
      <c r="D1329">
        <v>5.13</v>
      </c>
      <c r="E1329">
        <v>19.32</v>
      </c>
      <c r="F1329">
        <v>5.45</v>
      </c>
      <c r="G1329">
        <v>13.02</v>
      </c>
      <c r="H1329">
        <v>6.28</v>
      </c>
      <c r="I1329">
        <v>15.86</v>
      </c>
    </row>
    <row r="1330" spans="1:9" x14ac:dyDescent="0.25">
      <c r="A1330" s="2">
        <v>43522</v>
      </c>
      <c r="B1330">
        <v>8.65</v>
      </c>
      <c r="C1330">
        <v>8.27</v>
      </c>
      <c r="D1330">
        <v>5.41</v>
      </c>
      <c r="E1330">
        <v>19.649999999999999</v>
      </c>
      <c r="F1330">
        <v>5.56</v>
      </c>
      <c r="G1330">
        <v>13.24</v>
      </c>
      <c r="H1330">
        <v>6.37</v>
      </c>
      <c r="I1330">
        <v>16.07</v>
      </c>
    </row>
    <row r="1331" spans="1:9" x14ac:dyDescent="0.25">
      <c r="A1331" s="2">
        <v>43523</v>
      </c>
      <c r="B1331">
        <v>8.73</v>
      </c>
      <c r="C1331">
        <v>8.33</v>
      </c>
      <c r="D1331">
        <v>5.44</v>
      </c>
      <c r="E1331">
        <v>19.96</v>
      </c>
      <c r="F1331">
        <v>5.62</v>
      </c>
      <c r="G1331">
        <v>13.49</v>
      </c>
      <c r="H1331">
        <v>6.42</v>
      </c>
      <c r="I1331">
        <v>16.07</v>
      </c>
    </row>
    <row r="1332" spans="1:9" x14ac:dyDescent="0.25">
      <c r="A1332" s="2">
        <v>43524</v>
      </c>
      <c r="B1332">
        <v>8.77</v>
      </c>
      <c r="C1332">
        <v>8.39</v>
      </c>
      <c r="D1332">
        <v>5.32</v>
      </c>
      <c r="E1332">
        <v>19.920000000000002</v>
      </c>
      <c r="F1332">
        <v>5.67</v>
      </c>
      <c r="G1332">
        <v>13.48</v>
      </c>
      <c r="H1332">
        <v>6.43</v>
      </c>
      <c r="I1332">
        <v>15.96</v>
      </c>
    </row>
    <row r="1333" spans="1:9" x14ac:dyDescent="0.25">
      <c r="A1333" s="2">
        <v>43525</v>
      </c>
      <c r="B1333">
        <v>8.67</v>
      </c>
      <c r="C1333">
        <v>8.33</v>
      </c>
      <c r="D1333">
        <v>5.14</v>
      </c>
      <c r="E1333">
        <v>19.73</v>
      </c>
      <c r="F1333">
        <v>5.69</v>
      </c>
      <c r="G1333">
        <v>13.39</v>
      </c>
      <c r="H1333">
        <v>6.47</v>
      </c>
      <c r="I1333">
        <v>15.91</v>
      </c>
    </row>
    <row r="1334" spans="1:9" x14ac:dyDescent="0.25">
      <c r="A1334" s="2">
        <v>43528</v>
      </c>
      <c r="B1334">
        <v>8.64</v>
      </c>
      <c r="C1334">
        <v>8.2899999999999991</v>
      </c>
      <c r="D1334">
        <v>4.96</v>
      </c>
      <c r="E1334">
        <v>19.579999999999998</v>
      </c>
      <c r="F1334">
        <v>5.67</v>
      </c>
      <c r="G1334">
        <v>13.28</v>
      </c>
      <c r="H1334">
        <v>6.4</v>
      </c>
      <c r="I1334">
        <v>16.03</v>
      </c>
    </row>
    <row r="1335" spans="1:9" x14ac:dyDescent="0.25">
      <c r="A1335" s="2">
        <v>43529</v>
      </c>
      <c r="B1335">
        <v>8.86</v>
      </c>
      <c r="C1335">
        <v>8.2799999999999994</v>
      </c>
      <c r="D1335">
        <v>5.26</v>
      </c>
      <c r="E1335">
        <v>19.690000000000001</v>
      </c>
      <c r="F1335">
        <v>5.64</v>
      </c>
      <c r="G1335">
        <v>13.38</v>
      </c>
      <c r="H1335">
        <v>6.33</v>
      </c>
      <c r="I1335">
        <v>16.18</v>
      </c>
    </row>
    <row r="1336" spans="1:9" x14ac:dyDescent="0.25">
      <c r="A1336" s="2">
        <v>43530</v>
      </c>
      <c r="B1336">
        <v>8.89</v>
      </c>
      <c r="C1336">
        <v>8.32</v>
      </c>
      <c r="D1336">
        <v>5.41</v>
      </c>
      <c r="E1336">
        <v>19.87</v>
      </c>
      <c r="F1336">
        <v>5.69</v>
      </c>
      <c r="G1336">
        <v>13.63</v>
      </c>
      <c r="H1336">
        <v>6.4</v>
      </c>
      <c r="I1336">
        <v>16.350000000000001</v>
      </c>
    </row>
    <row r="1337" spans="1:9" x14ac:dyDescent="0.25">
      <c r="A1337" s="2">
        <v>43531</v>
      </c>
      <c r="B1337">
        <v>8.9</v>
      </c>
      <c r="C1337">
        <v>8.3699999999999992</v>
      </c>
      <c r="D1337">
        <v>5.46</v>
      </c>
      <c r="E1337">
        <v>19.989999999999998</v>
      </c>
      <c r="F1337">
        <v>5.67</v>
      </c>
      <c r="G1337">
        <v>13.69</v>
      </c>
      <c r="H1337">
        <v>6.43</v>
      </c>
      <c r="I1337">
        <v>16.29</v>
      </c>
    </row>
    <row r="1338" spans="1:9" x14ac:dyDescent="0.25">
      <c r="A1338" s="2">
        <v>43532</v>
      </c>
      <c r="B1338">
        <v>8.9</v>
      </c>
      <c r="C1338">
        <v>8.4600000000000009</v>
      </c>
      <c r="D1338">
        <v>5.42</v>
      </c>
      <c r="E1338">
        <v>19.98</v>
      </c>
      <c r="F1338">
        <v>5.75</v>
      </c>
      <c r="G1338">
        <v>13.63</v>
      </c>
      <c r="H1338">
        <v>6.43</v>
      </c>
      <c r="I1338">
        <v>16.170000000000002</v>
      </c>
    </row>
    <row r="1339" spans="1:9" x14ac:dyDescent="0.25">
      <c r="A1339" s="2">
        <v>43535</v>
      </c>
      <c r="B1339">
        <v>8.66</v>
      </c>
      <c r="C1339">
        <v>8.5399999999999991</v>
      </c>
      <c r="D1339">
        <v>5.49</v>
      </c>
      <c r="E1339">
        <v>19.850000000000001</v>
      </c>
      <c r="F1339">
        <v>5.85</v>
      </c>
      <c r="G1339">
        <v>13.44</v>
      </c>
      <c r="H1339">
        <v>6.46</v>
      </c>
      <c r="I1339">
        <v>15.78</v>
      </c>
    </row>
    <row r="1340" spans="1:9" x14ac:dyDescent="0.25">
      <c r="A1340" s="2">
        <v>43536</v>
      </c>
      <c r="B1340">
        <v>8.42</v>
      </c>
      <c r="C1340">
        <v>8.48</v>
      </c>
      <c r="D1340">
        <v>5.41</v>
      </c>
      <c r="E1340">
        <v>19.36</v>
      </c>
      <c r="F1340">
        <v>5.72</v>
      </c>
      <c r="G1340">
        <v>12.99</v>
      </c>
      <c r="H1340">
        <v>6.41</v>
      </c>
      <c r="I1340">
        <v>16.16</v>
      </c>
    </row>
    <row r="1341" spans="1:9" x14ac:dyDescent="0.25">
      <c r="A1341" s="2">
        <v>43537</v>
      </c>
      <c r="B1341">
        <v>8.74</v>
      </c>
      <c r="C1341">
        <v>8.52</v>
      </c>
      <c r="D1341">
        <v>5.86</v>
      </c>
      <c r="E1341">
        <v>19.989999999999998</v>
      </c>
      <c r="F1341">
        <v>5.89</v>
      </c>
      <c r="G1341">
        <v>13.36</v>
      </c>
      <c r="H1341">
        <v>6.47</v>
      </c>
      <c r="I1341">
        <v>16.2</v>
      </c>
    </row>
    <row r="1342" spans="1:9" x14ac:dyDescent="0.25">
      <c r="A1342" s="2">
        <v>43538</v>
      </c>
      <c r="B1342">
        <v>8.8800000000000008</v>
      </c>
      <c r="C1342">
        <v>8.6300000000000008</v>
      </c>
      <c r="D1342">
        <v>5.88</v>
      </c>
      <c r="E1342">
        <v>20.100000000000001</v>
      </c>
      <c r="F1342">
        <v>5.92</v>
      </c>
      <c r="G1342">
        <v>13.5</v>
      </c>
      <c r="H1342">
        <v>6.53</v>
      </c>
      <c r="I1342">
        <v>16.329999999999998</v>
      </c>
    </row>
    <row r="1343" spans="1:9" x14ac:dyDescent="0.25">
      <c r="A1343" s="2">
        <v>43539</v>
      </c>
      <c r="B1343">
        <v>9.0399999999999991</v>
      </c>
      <c r="C1343">
        <v>8.69</v>
      </c>
      <c r="D1343">
        <v>6.01</v>
      </c>
      <c r="E1343">
        <v>20.22</v>
      </c>
      <c r="F1343">
        <v>5.92</v>
      </c>
      <c r="G1343">
        <v>13.69</v>
      </c>
      <c r="H1343">
        <v>6.54</v>
      </c>
      <c r="I1343">
        <v>16.41</v>
      </c>
    </row>
    <row r="1344" spans="1:9" x14ac:dyDescent="0.25">
      <c r="A1344" s="2">
        <v>43542</v>
      </c>
      <c r="B1344">
        <v>9.14</v>
      </c>
      <c r="C1344">
        <v>8.68</v>
      </c>
      <c r="D1344">
        <v>6.06</v>
      </c>
      <c r="E1344">
        <v>20.190000000000001</v>
      </c>
      <c r="F1344">
        <v>5.89</v>
      </c>
      <c r="G1344">
        <v>13.85</v>
      </c>
      <c r="H1344">
        <v>6.53</v>
      </c>
      <c r="I1344">
        <v>16.68</v>
      </c>
    </row>
    <row r="1345" spans="1:9" x14ac:dyDescent="0.25">
      <c r="A1345" s="2">
        <v>43543</v>
      </c>
      <c r="B1345">
        <v>9.26</v>
      </c>
      <c r="C1345">
        <v>8.7799999999999994</v>
      </c>
      <c r="D1345">
        <v>6.26</v>
      </c>
      <c r="E1345">
        <v>20.53</v>
      </c>
      <c r="F1345">
        <v>5.96</v>
      </c>
      <c r="G1345">
        <v>14.17</v>
      </c>
      <c r="H1345">
        <v>6.6</v>
      </c>
      <c r="I1345">
        <v>16.79</v>
      </c>
    </row>
    <row r="1346" spans="1:9" x14ac:dyDescent="0.25">
      <c r="A1346" s="2">
        <v>43544</v>
      </c>
      <c r="B1346">
        <v>9.4499999999999993</v>
      </c>
      <c r="C1346">
        <v>8.82</v>
      </c>
      <c r="D1346">
        <v>6.48</v>
      </c>
      <c r="E1346">
        <v>20.76</v>
      </c>
      <c r="F1346">
        <v>6.01</v>
      </c>
      <c r="G1346">
        <v>14.28</v>
      </c>
      <c r="H1346">
        <v>6.67</v>
      </c>
      <c r="I1346">
        <v>17.03</v>
      </c>
    </row>
    <row r="1347" spans="1:9" x14ac:dyDescent="0.25">
      <c r="A1347" s="2">
        <v>43545</v>
      </c>
      <c r="B1347">
        <v>9.4700000000000006</v>
      </c>
      <c r="C1347">
        <v>8.85</v>
      </c>
      <c r="D1347">
        <v>6.37</v>
      </c>
      <c r="E1347">
        <v>20.94</v>
      </c>
      <c r="F1347">
        <v>6.04</v>
      </c>
      <c r="G1347">
        <v>14.6</v>
      </c>
      <c r="H1347">
        <v>6.7</v>
      </c>
      <c r="I1347">
        <v>16.64</v>
      </c>
    </row>
    <row r="1348" spans="1:9" x14ac:dyDescent="0.25">
      <c r="A1348" s="2">
        <v>43546</v>
      </c>
      <c r="B1348">
        <v>9.36</v>
      </c>
      <c r="C1348">
        <v>8.98</v>
      </c>
      <c r="D1348">
        <v>6.32</v>
      </c>
      <c r="E1348">
        <v>20.55</v>
      </c>
      <c r="F1348">
        <v>5.95</v>
      </c>
      <c r="G1348">
        <v>14.28</v>
      </c>
      <c r="H1348">
        <v>6.76</v>
      </c>
      <c r="I1348">
        <v>16.72</v>
      </c>
    </row>
    <row r="1349" spans="1:9" x14ac:dyDescent="0.25">
      <c r="A1349" s="2">
        <v>43549</v>
      </c>
      <c r="B1349">
        <v>9.56</v>
      </c>
      <c r="C1349">
        <v>9.17</v>
      </c>
      <c r="D1349">
        <v>6.8</v>
      </c>
      <c r="E1349">
        <v>20.95</v>
      </c>
      <c r="F1349">
        <v>6.23</v>
      </c>
      <c r="G1349">
        <v>14.38</v>
      </c>
      <c r="H1349">
        <v>6.86</v>
      </c>
      <c r="I1349">
        <v>16.5</v>
      </c>
    </row>
    <row r="1350" spans="1:9" x14ac:dyDescent="0.25">
      <c r="A1350" s="2">
        <v>43550</v>
      </c>
      <c r="B1350">
        <v>9.15</v>
      </c>
      <c r="C1350">
        <v>9.2200000000000006</v>
      </c>
      <c r="D1350">
        <v>6.49</v>
      </c>
      <c r="E1350">
        <v>20.56</v>
      </c>
      <c r="F1350">
        <v>6.25</v>
      </c>
      <c r="G1350">
        <v>14.07</v>
      </c>
      <c r="H1350">
        <v>6.84</v>
      </c>
      <c r="I1350">
        <v>16.36</v>
      </c>
    </row>
    <row r="1351" spans="1:9" x14ac:dyDescent="0.25">
      <c r="A1351" s="2">
        <v>43551</v>
      </c>
      <c r="B1351">
        <v>9.11</v>
      </c>
      <c r="C1351">
        <v>9.31</v>
      </c>
      <c r="D1351">
        <v>6.36</v>
      </c>
      <c r="E1351">
        <v>20.23</v>
      </c>
      <c r="F1351">
        <v>6.21</v>
      </c>
      <c r="G1351">
        <v>13.78</v>
      </c>
      <c r="H1351">
        <v>6.88</v>
      </c>
      <c r="I1351">
        <v>16.510000000000002</v>
      </c>
    </row>
    <row r="1352" spans="1:9" x14ac:dyDescent="0.25">
      <c r="A1352" s="2">
        <v>43552</v>
      </c>
      <c r="B1352">
        <v>9.4600000000000009</v>
      </c>
      <c r="C1352">
        <v>9.42</v>
      </c>
      <c r="D1352">
        <v>6.83</v>
      </c>
      <c r="E1352">
        <v>20.68</v>
      </c>
      <c r="F1352">
        <v>6.43</v>
      </c>
      <c r="G1352">
        <v>14.12</v>
      </c>
      <c r="H1352">
        <v>6.9</v>
      </c>
      <c r="I1352">
        <v>16.55</v>
      </c>
    </row>
    <row r="1353" spans="1:9" x14ac:dyDescent="0.25">
      <c r="A1353" s="2">
        <v>43553</v>
      </c>
      <c r="B1353">
        <v>9.4600000000000009</v>
      </c>
      <c r="C1353">
        <v>9.4600000000000009</v>
      </c>
      <c r="D1353">
        <v>7</v>
      </c>
      <c r="E1353">
        <v>20.67</v>
      </c>
      <c r="F1353">
        <v>6.48</v>
      </c>
      <c r="G1353">
        <v>14.16</v>
      </c>
      <c r="H1353">
        <v>6.93</v>
      </c>
      <c r="I1353">
        <v>16.57</v>
      </c>
    </row>
    <row r="1354" spans="1:9" x14ac:dyDescent="0.25">
      <c r="A1354" s="2">
        <v>43556</v>
      </c>
      <c r="B1354">
        <v>9.5500000000000007</v>
      </c>
      <c r="C1354">
        <v>9.44</v>
      </c>
      <c r="D1354">
        <v>7.06</v>
      </c>
      <c r="E1354">
        <v>20.8</v>
      </c>
      <c r="F1354">
        <v>6.5</v>
      </c>
      <c r="G1354">
        <v>14.16</v>
      </c>
      <c r="H1354">
        <v>6.88</v>
      </c>
      <c r="I1354">
        <v>16.829999999999998</v>
      </c>
    </row>
    <row r="1355" spans="1:9" x14ac:dyDescent="0.25">
      <c r="A1355" s="2">
        <v>43557</v>
      </c>
      <c r="B1355">
        <v>9.7799999999999994</v>
      </c>
      <c r="C1355">
        <v>9.48</v>
      </c>
      <c r="D1355">
        <v>7.45</v>
      </c>
      <c r="E1355">
        <v>21.3</v>
      </c>
      <c r="F1355">
        <v>6.64</v>
      </c>
      <c r="G1355">
        <v>14.5</v>
      </c>
      <c r="H1355">
        <v>6.97</v>
      </c>
      <c r="I1355">
        <v>17.260000000000002</v>
      </c>
    </row>
    <row r="1356" spans="1:9" x14ac:dyDescent="0.25">
      <c r="A1356" s="2">
        <v>43558</v>
      </c>
      <c r="B1356">
        <v>10.210000000000001</v>
      </c>
      <c r="C1356">
        <v>9.5399999999999991</v>
      </c>
      <c r="D1356">
        <v>7.92</v>
      </c>
      <c r="E1356">
        <v>21.84</v>
      </c>
      <c r="F1356">
        <v>6.71</v>
      </c>
      <c r="G1356">
        <v>14.99</v>
      </c>
      <c r="H1356">
        <v>7.04</v>
      </c>
      <c r="I1356">
        <v>17.420000000000002</v>
      </c>
    </row>
    <row r="1357" spans="1:9" x14ac:dyDescent="0.25">
      <c r="A1357" s="2">
        <v>43559</v>
      </c>
      <c r="B1357">
        <v>10.32</v>
      </c>
      <c r="C1357">
        <v>9.4600000000000009</v>
      </c>
      <c r="D1357">
        <v>8.0399999999999991</v>
      </c>
      <c r="E1357">
        <v>22.04</v>
      </c>
      <c r="F1357">
        <v>6.76</v>
      </c>
      <c r="G1357">
        <v>15.24</v>
      </c>
      <c r="H1357">
        <v>7.08</v>
      </c>
      <c r="I1357">
        <v>17.72</v>
      </c>
    </row>
    <row r="1358" spans="1:9" x14ac:dyDescent="0.25">
      <c r="A1358" s="2">
        <v>43560</v>
      </c>
      <c r="B1358">
        <v>10.53</v>
      </c>
      <c r="C1358">
        <v>9.51</v>
      </c>
      <c r="D1358">
        <v>8.09</v>
      </c>
      <c r="E1358">
        <v>22.22</v>
      </c>
      <c r="F1358">
        <v>6.7</v>
      </c>
      <c r="G1358">
        <v>15.48</v>
      </c>
      <c r="H1358">
        <v>7.06</v>
      </c>
      <c r="I1358">
        <v>17.73</v>
      </c>
    </row>
    <row r="1359" spans="1:9" x14ac:dyDescent="0.25">
      <c r="A1359" s="2">
        <v>43563</v>
      </c>
      <c r="B1359">
        <v>10.64</v>
      </c>
      <c r="C1359">
        <v>9.52</v>
      </c>
      <c r="D1359">
        <v>8.16</v>
      </c>
      <c r="E1359">
        <v>22.24</v>
      </c>
      <c r="F1359">
        <v>6.74</v>
      </c>
      <c r="G1359">
        <v>15.51</v>
      </c>
      <c r="H1359">
        <v>7.08</v>
      </c>
      <c r="I1359">
        <v>17.88</v>
      </c>
    </row>
    <row r="1360" spans="1:9" x14ac:dyDescent="0.25">
      <c r="A1360" s="2">
        <v>43564</v>
      </c>
      <c r="B1360">
        <v>10.75</v>
      </c>
      <c r="C1360">
        <v>9.5399999999999991</v>
      </c>
      <c r="D1360">
        <v>8.1999999999999993</v>
      </c>
      <c r="E1360">
        <v>22.42</v>
      </c>
      <c r="F1360">
        <v>6.77</v>
      </c>
      <c r="G1360">
        <v>15.61</v>
      </c>
      <c r="H1360">
        <v>7.14</v>
      </c>
      <c r="I1360">
        <v>17.77</v>
      </c>
    </row>
    <row r="1361" spans="1:9" x14ac:dyDescent="0.25">
      <c r="A1361" s="2">
        <v>43565</v>
      </c>
      <c r="B1361">
        <v>10.65</v>
      </c>
      <c r="C1361">
        <v>9.5299999999999994</v>
      </c>
      <c r="D1361">
        <v>8.08</v>
      </c>
      <c r="E1361">
        <v>22.31</v>
      </c>
      <c r="F1361">
        <v>6.72</v>
      </c>
      <c r="G1361">
        <v>15.47</v>
      </c>
      <c r="H1361">
        <v>7.1</v>
      </c>
      <c r="I1361">
        <v>17.600000000000001</v>
      </c>
    </row>
    <row r="1362" spans="1:9" x14ac:dyDescent="0.25">
      <c r="A1362" s="2">
        <v>43566</v>
      </c>
      <c r="B1362">
        <v>10.59</v>
      </c>
      <c r="C1362">
        <v>9.61</v>
      </c>
      <c r="D1362">
        <v>8</v>
      </c>
      <c r="E1362">
        <v>22.23</v>
      </c>
      <c r="F1362">
        <v>6.74</v>
      </c>
      <c r="G1362">
        <v>15.35</v>
      </c>
      <c r="H1362">
        <v>7.13</v>
      </c>
      <c r="I1362">
        <v>17.760000000000002</v>
      </c>
    </row>
    <row r="1363" spans="1:9" x14ac:dyDescent="0.25">
      <c r="A1363" s="2">
        <v>43567</v>
      </c>
      <c r="B1363">
        <v>10.75</v>
      </c>
      <c r="C1363">
        <v>9.6999999999999993</v>
      </c>
      <c r="D1363">
        <v>8.2200000000000006</v>
      </c>
      <c r="E1363">
        <v>22.43</v>
      </c>
      <c r="F1363">
        <v>6.77</v>
      </c>
      <c r="G1363">
        <v>15.45</v>
      </c>
      <c r="H1363">
        <v>7.23</v>
      </c>
      <c r="I1363">
        <v>17.829999999999998</v>
      </c>
    </row>
    <row r="1364" spans="1:9" x14ac:dyDescent="0.25">
      <c r="A1364" s="2">
        <v>43570</v>
      </c>
      <c r="B1364">
        <v>10.62</v>
      </c>
      <c r="C1364">
        <v>9.5399999999999991</v>
      </c>
      <c r="D1364">
        <v>8.02</v>
      </c>
      <c r="E1364">
        <v>22.27</v>
      </c>
      <c r="F1364">
        <v>6.69</v>
      </c>
      <c r="G1364">
        <v>15.41</v>
      </c>
      <c r="H1364">
        <v>7.2</v>
      </c>
      <c r="I1364">
        <v>17.899999999999999</v>
      </c>
    </row>
    <row r="1365" spans="1:9" x14ac:dyDescent="0.25">
      <c r="A1365" s="2">
        <v>43571</v>
      </c>
      <c r="B1365">
        <v>10.74</v>
      </c>
      <c r="C1365">
        <v>9.51</v>
      </c>
      <c r="D1365">
        <v>7.96</v>
      </c>
      <c r="E1365">
        <v>22.22</v>
      </c>
      <c r="F1365">
        <v>6.59</v>
      </c>
      <c r="G1365">
        <v>15.37</v>
      </c>
      <c r="H1365">
        <v>7.1</v>
      </c>
      <c r="I1365">
        <v>17.899999999999999</v>
      </c>
    </row>
    <row r="1366" spans="1:9" x14ac:dyDescent="0.25">
      <c r="A1366" s="2">
        <v>43572</v>
      </c>
      <c r="B1366">
        <v>10.8</v>
      </c>
      <c r="C1366">
        <v>9.5299999999999994</v>
      </c>
      <c r="D1366">
        <v>8.07</v>
      </c>
      <c r="E1366">
        <v>22.22</v>
      </c>
      <c r="F1366">
        <v>6.59</v>
      </c>
      <c r="G1366">
        <v>15.44</v>
      </c>
      <c r="H1366">
        <v>7.07</v>
      </c>
      <c r="I1366">
        <v>18.190000000000001</v>
      </c>
    </row>
    <row r="1367" spans="1:9" x14ac:dyDescent="0.25">
      <c r="A1367" s="2">
        <v>43573</v>
      </c>
      <c r="B1367">
        <v>10.86</v>
      </c>
      <c r="C1367">
        <v>9.52</v>
      </c>
      <c r="D1367">
        <v>8.08</v>
      </c>
      <c r="E1367">
        <v>22.41</v>
      </c>
      <c r="F1367">
        <v>6.64</v>
      </c>
      <c r="G1367">
        <v>15.58</v>
      </c>
      <c r="H1367">
        <v>7.06</v>
      </c>
      <c r="I1367">
        <v>18.239999999999998</v>
      </c>
    </row>
    <row r="1368" spans="1:9" x14ac:dyDescent="0.25">
      <c r="A1368" s="2">
        <v>43578</v>
      </c>
      <c r="B1368">
        <v>10.94</v>
      </c>
      <c r="C1368">
        <v>9.61</v>
      </c>
      <c r="D1368">
        <v>8.1300000000000008</v>
      </c>
      <c r="E1368">
        <v>22.38</v>
      </c>
      <c r="F1368">
        <v>6.66</v>
      </c>
      <c r="G1368">
        <v>15.63</v>
      </c>
      <c r="H1368">
        <v>7.11</v>
      </c>
      <c r="I1368">
        <v>18.41</v>
      </c>
    </row>
    <row r="1369" spans="1:9" x14ac:dyDescent="0.25">
      <c r="A1369" s="2">
        <v>43579</v>
      </c>
      <c r="B1369">
        <v>11.07</v>
      </c>
      <c r="C1369">
        <v>9.65</v>
      </c>
      <c r="D1369">
        <v>8.5399999999999991</v>
      </c>
      <c r="E1369">
        <v>22.65</v>
      </c>
      <c r="F1369">
        <v>6.78</v>
      </c>
      <c r="G1369">
        <v>15.78</v>
      </c>
      <c r="H1369">
        <v>7.19</v>
      </c>
      <c r="I1369">
        <v>18.510000000000002</v>
      </c>
    </row>
    <row r="1370" spans="1:9" x14ac:dyDescent="0.25">
      <c r="A1370" s="2">
        <v>43580</v>
      </c>
      <c r="B1370">
        <v>11.41</v>
      </c>
      <c r="C1370">
        <v>9.77</v>
      </c>
      <c r="D1370">
        <v>8.99</v>
      </c>
      <c r="E1370">
        <v>22.87</v>
      </c>
      <c r="F1370">
        <v>6.84</v>
      </c>
      <c r="G1370">
        <v>15.99</v>
      </c>
      <c r="H1370">
        <v>7.19</v>
      </c>
      <c r="I1370">
        <v>18.45</v>
      </c>
    </row>
    <row r="1371" spans="1:9" x14ac:dyDescent="0.25">
      <c r="A1371" s="2">
        <v>43581</v>
      </c>
      <c r="B1371">
        <v>11.54</v>
      </c>
      <c r="C1371">
        <v>9.9</v>
      </c>
      <c r="D1371">
        <v>9.11</v>
      </c>
      <c r="E1371">
        <v>22.93</v>
      </c>
      <c r="F1371">
        <v>6.92</v>
      </c>
      <c r="G1371">
        <v>16.079999999999998</v>
      </c>
      <c r="H1371">
        <v>7.21</v>
      </c>
      <c r="I1371">
        <v>18.350000000000001</v>
      </c>
    </row>
    <row r="1372" spans="1:9" x14ac:dyDescent="0.25">
      <c r="A1372" s="2">
        <v>43584</v>
      </c>
      <c r="B1372">
        <v>11.53</v>
      </c>
      <c r="C1372">
        <v>9.84</v>
      </c>
      <c r="D1372">
        <v>9.23</v>
      </c>
      <c r="E1372">
        <v>22.89</v>
      </c>
      <c r="F1372">
        <v>6.93</v>
      </c>
      <c r="G1372">
        <v>16.02</v>
      </c>
      <c r="H1372">
        <v>7.13</v>
      </c>
      <c r="I1372">
        <v>18.45</v>
      </c>
    </row>
    <row r="1373" spans="1:9" x14ac:dyDescent="0.25">
      <c r="A1373" s="2">
        <v>43585</v>
      </c>
      <c r="B1373">
        <v>11.65</v>
      </c>
      <c r="C1373">
        <v>9.92</v>
      </c>
      <c r="D1373">
        <v>9.41</v>
      </c>
      <c r="E1373">
        <v>23.03</v>
      </c>
      <c r="F1373">
        <v>7.02</v>
      </c>
      <c r="G1373">
        <v>16.12</v>
      </c>
      <c r="H1373">
        <v>7.2</v>
      </c>
      <c r="I1373">
        <v>18.53</v>
      </c>
    </row>
    <row r="1374" spans="1:9" x14ac:dyDescent="0.25">
      <c r="A1374" s="2">
        <v>43587</v>
      </c>
      <c r="B1374">
        <v>11.6</v>
      </c>
      <c r="C1374">
        <v>9.82</v>
      </c>
      <c r="D1374">
        <v>9.26</v>
      </c>
      <c r="E1374">
        <v>23.13</v>
      </c>
      <c r="F1374">
        <v>7</v>
      </c>
      <c r="G1374">
        <v>16.21</v>
      </c>
      <c r="H1374">
        <v>7.2</v>
      </c>
      <c r="I1374">
        <v>18.43</v>
      </c>
    </row>
    <row r="1375" spans="1:9" x14ac:dyDescent="0.25">
      <c r="A1375" s="2">
        <v>43588</v>
      </c>
      <c r="B1375">
        <v>11.65</v>
      </c>
      <c r="C1375">
        <v>9.9600000000000009</v>
      </c>
      <c r="D1375">
        <v>8.9600000000000009</v>
      </c>
      <c r="E1375">
        <v>22.92</v>
      </c>
      <c r="F1375">
        <v>7</v>
      </c>
      <c r="G1375">
        <v>16</v>
      </c>
      <c r="H1375">
        <v>7.17</v>
      </c>
      <c r="I1375">
        <v>18.309999999999999</v>
      </c>
    </row>
    <row r="1376" spans="1:9" x14ac:dyDescent="0.25">
      <c r="A1376" s="2">
        <v>43592</v>
      </c>
      <c r="B1376">
        <v>11.52</v>
      </c>
      <c r="C1376">
        <v>9.92</v>
      </c>
      <c r="D1376">
        <v>9.09</v>
      </c>
      <c r="E1376">
        <v>22.82</v>
      </c>
      <c r="F1376">
        <v>6.94</v>
      </c>
      <c r="G1376">
        <v>15.75</v>
      </c>
      <c r="H1376">
        <v>7.08</v>
      </c>
      <c r="I1376">
        <v>18.55</v>
      </c>
    </row>
    <row r="1377" spans="1:9" x14ac:dyDescent="0.25">
      <c r="A1377" s="2">
        <v>43593</v>
      </c>
      <c r="B1377">
        <v>11.49</v>
      </c>
      <c r="C1377">
        <v>10.02</v>
      </c>
      <c r="D1377">
        <v>9.19</v>
      </c>
      <c r="E1377">
        <v>22.66</v>
      </c>
      <c r="F1377">
        <v>7.01</v>
      </c>
      <c r="G1377">
        <v>15.58</v>
      </c>
      <c r="H1377">
        <v>7.17</v>
      </c>
      <c r="I1377">
        <v>17.78</v>
      </c>
    </row>
    <row r="1378" spans="1:9" x14ac:dyDescent="0.25">
      <c r="A1378" s="2">
        <v>43594</v>
      </c>
      <c r="B1378">
        <v>11.11</v>
      </c>
      <c r="C1378">
        <v>10</v>
      </c>
      <c r="D1378">
        <v>8.48</v>
      </c>
      <c r="E1378">
        <v>22.15</v>
      </c>
      <c r="F1378">
        <v>6.99</v>
      </c>
      <c r="G1378">
        <v>15.24</v>
      </c>
      <c r="H1378">
        <v>7.11</v>
      </c>
      <c r="I1378">
        <v>17.68</v>
      </c>
    </row>
    <row r="1379" spans="1:9" x14ac:dyDescent="0.25">
      <c r="A1379" s="2">
        <v>43595</v>
      </c>
      <c r="B1379">
        <v>10.91</v>
      </c>
      <c r="C1379">
        <v>9.94</v>
      </c>
      <c r="D1379">
        <v>8.27</v>
      </c>
      <c r="E1379">
        <v>21.93</v>
      </c>
      <c r="F1379">
        <v>6.84</v>
      </c>
      <c r="G1379">
        <v>15</v>
      </c>
      <c r="H1379">
        <v>7.1</v>
      </c>
      <c r="I1379">
        <v>17.09</v>
      </c>
    </row>
    <row r="1380" spans="1:9" x14ac:dyDescent="0.25">
      <c r="A1380" s="2">
        <v>43598</v>
      </c>
      <c r="B1380">
        <v>10.79</v>
      </c>
      <c r="C1380">
        <v>9.8699999999999992</v>
      </c>
      <c r="D1380">
        <v>7.75</v>
      </c>
      <c r="E1380">
        <v>21.23</v>
      </c>
      <c r="F1380">
        <v>6.66</v>
      </c>
      <c r="G1380">
        <v>14.43</v>
      </c>
      <c r="H1380">
        <v>6.98</v>
      </c>
      <c r="I1380">
        <v>17.059999999999999</v>
      </c>
    </row>
    <row r="1381" spans="1:9" x14ac:dyDescent="0.25">
      <c r="A1381" s="2">
        <v>43599</v>
      </c>
      <c r="B1381">
        <v>10.65</v>
      </c>
      <c r="C1381">
        <v>9.85</v>
      </c>
      <c r="D1381">
        <v>7.68</v>
      </c>
      <c r="E1381">
        <v>21.16</v>
      </c>
      <c r="F1381">
        <v>6.67</v>
      </c>
      <c r="G1381">
        <v>14.44</v>
      </c>
      <c r="H1381">
        <v>7.03</v>
      </c>
      <c r="I1381">
        <v>16.72</v>
      </c>
    </row>
    <row r="1382" spans="1:9" x14ac:dyDescent="0.25">
      <c r="A1382" s="2">
        <v>43600</v>
      </c>
      <c r="B1382">
        <v>10.06</v>
      </c>
      <c r="C1382">
        <v>9.86</v>
      </c>
      <c r="D1382">
        <v>7.18</v>
      </c>
      <c r="E1382">
        <v>20.47</v>
      </c>
      <c r="F1382">
        <v>6.57</v>
      </c>
      <c r="G1382">
        <v>13.95</v>
      </c>
      <c r="H1382">
        <v>6.96</v>
      </c>
      <c r="I1382">
        <v>17.03</v>
      </c>
    </row>
    <row r="1383" spans="1:9" x14ac:dyDescent="0.25">
      <c r="A1383" s="2">
        <v>43601</v>
      </c>
      <c r="B1383">
        <v>10.45</v>
      </c>
      <c r="C1383">
        <v>9.94</v>
      </c>
      <c r="D1383">
        <v>7.59</v>
      </c>
      <c r="E1383">
        <v>20.8</v>
      </c>
      <c r="F1383">
        <v>6.66</v>
      </c>
      <c r="G1383">
        <v>14.24</v>
      </c>
      <c r="H1383">
        <v>7.03</v>
      </c>
      <c r="I1383">
        <v>17.170000000000002</v>
      </c>
    </row>
    <row r="1384" spans="1:9" x14ac:dyDescent="0.25">
      <c r="A1384" s="2">
        <v>43602</v>
      </c>
      <c r="B1384">
        <v>10.68</v>
      </c>
      <c r="C1384">
        <v>9.9499999999999993</v>
      </c>
      <c r="D1384">
        <v>8.0500000000000007</v>
      </c>
      <c r="E1384">
        <v>21.04</v>
      </c>
      <c r="F1384">
        <v>6.75</v>
      </c>
      <c r="G1384">
        <v>14.59</v>
      </c>
      <c r="H1384">
        <v>7.09</v>
      </c>
      <c r="I1384">
        <v>17.510000000000002</v>
      </c>
    </row>
    <row r="1385" spans="1:9" x14ac:dyDescent="0.25">
      <c r="A1385" s="2">
        <v>43605</v>
      </c>
      <c r="B1385">
        <v>11.08</v>
      </c>
      <c r="C1385">
        <v>10</v>
      </c>
      <c r="D1385">
        <v>8.41</v>
      </c>
      <c r="E1385">
        <v>21.48</v>
      </c>
      <c r="F1385">
        <v>6.82</v>
      </c>
      <c r="G1385">
        <v>15.14</v>
      </c>
      <c r="H1385">
        <v>7.16</v>
      </c>
      <c r="I1385">
        <v>17.260000000000002</v>
      </c>
    </row>
    <row r="1386" spans="1:9" x14ac:dyDescent="0.25">
      <c r="A1386" s="2">
        <v>43606</v>
      </c>
      <c r="B1386">
        <v>10.89</v>
      </c>
      <c r="C1386">
        <v>9.99</v>
      </c>
      <c r="D1386">
        <v>8.24</v>
      </c>
      <c r="E1386">
        <v>21.18</v>
      </c>
      <c r="F1386">
        <v>6.86</v>
      </c>
      <c r="G1386">
        <v>15.46</v>
      </c>
      <c r="H1386">
        <v>7.11</v>
      </c>
      <c r="I1386">
        <v>17.07</v>
      </c>
    </row>
    <row r="1387" spans="1:9" x14ac:dyDescent="0.25">
      <c r="A1387" s="2">
        <v>43607</v>
      </c>
      <c r="B1387">
        <v>10.73</v>
      </c>
      <c r="C1387">
        <v>9.9499999999999993</v>
      </c>
      <c r="D1387">
        <v>8.1</v>
      </c>
      <c r="E1387">
        <v>20.76</v>
      </c>
      <c r="F1387">
        <v>6.81</v>
      </c>
      <c r="G1387">
        <v>15.09</v>
      </c>
      <c r="H1387">
        <v>7.1</v>
      </c>
      <c r="I1387">
        <v>17.29</v>
      </c>
    </row>
    <row r="1388" spans="1:9" x14ac:dyDescent="0.25">
      <c r="A1388" s="2">
        <v>43608</v>
      </c>
      <c r="B1388">
        <v>10.87</v>
      </c>
      <c r="C1388">
        <v>9.94</v>
      </c>
      <c r="D1388">
        <v>8.17</v>
      </c>
      <c r="E1388">
        <v>21.07</v>
      </c>
      <c r="F1388">
        <v>6.91</v>
      </c>
      <c r="G1388">
        <v>15.24</v>
      </c>
      <c r="H1388">
        <v>7.12</v>
      </c>
      <c r="I1388">
        <v>17.28</v>
      </c>
    </row>
    <row r="1389" spans="1:9" x14ac:dyDescent="0.25">
      <c r="A1389" s="2">
        <v>43609</v>
      </c>
      <c r="B1389">
        <v>10.9</v>
      </c>
      <c r="C1389">
        <v>10.039999999999999</v>
      </c>
      <c r="D1389">
        <v>8.07</v>
      </c>
      <c r="E1389">
        <v>21.12</v>
      </c>
      <c r="F1389">
        <v>6.94</v>
      </c>
      <c r="G1389">
        <v>15.33</v>
      </c>
      <c r="H1389">
        <v>7.21</v>
      </c>
      <c r="I1389">
        <v>16.93</v>
      </c>
    </row>
    <row r="1390" spans="1:9" x14ac:dyDescent="0.25">
      <c r="A1390" s="2">
        <v>43612</v>
      </c>
      <c r="B1390">
        <v>10.55</v>
      </c>
      <c r="C1390">
        <v>10.08</v>
      </c>
      <c r="D1390">
        <v>7.67</v>
      </c>
      <c r="E1390">
        <v>20.52</v>
      </c>
      <c r="F1390">
        <v>6.84</v>
      </c>
      <c r="G1390">
        <v>14.86</v>
      </c>
      <c r="H1390">
        <v>7.17</v>
      </c>
      <c r="I1390">
        <v>16.95</v>
      </c>
    </row>
    <row r="1391" spans="1:9" x14ac:dyDescent="0.25">
      <c r="A1391" s="2">
        <v>43613</v>
      </c>
      <c r="B1391">
        <v>10.64</v>
      </c>
      <c r="C1391">
        <v>10.08</v>
      </c>
      <c r="D1391">
        <v>7.68</v>
      </c>
      <c r="E1391">
        <v>20.53</v>
      </c>
      <c r="F1391">
        <v>6.83</v>
      </c>
      <c r="G1391">
        <v>14.88</v>
      </c>
      <c r="H1391">
        <v>7.19</v>
      </c>
      <c r="I1391">
        <v>16.989999999999998</v>
      </c>
    </row>
    <row r="1392" spans="1:9" x14ac:dyDescent="0.25">
      <c r="A1392" s="2">
        <v>43614</v>
      </c>
      <c r="B1392">
        <v>10.69</v>
      </c>
      <c r="C1392">
        <v>10.119999999999999</v>
      </c>
      <c r="D1392">
        <v>7.71</v>
      </c>
      <c r="E1392">
        <v>20.62</v>
      </c>
      <c r="F1392">
        <v>6.85</v>
      </c>
      <c r="G1392">
        <v>14.92</v>
      </c>
      <c r="H1392">
        <v>7.18</v>
      </c>
      <c r="I1392">
        <v>17.04</v>
      </c>
    </row>
    <row r="1393" spans="1:9" x14ac:dyDescent="0.25">
      <c r="A1393" s="2">
        <v>43615</v>
      </c>
      <c r="B1393">
        <v>10.62</v>
      </c>
      <c r="C1393">
        <v>10.23</v>
      </c>
      <c r="D1393">
        <v>7.59</v>
      </c>
      <c r="E1393">
        <v>20.68</v>
      </c>
      <c r="F1393">
        <v>6.91</v>
      </c>
      <c r="G1393">
        <v>14.99</v>
      </c>
      <c r="H1393">
        <v>7.22</v>
      </c>
      <c r="I1393">
        <v>16.91</v>
      </c>
    </row>
    <row r="1394" spans="1:9" x14ac:dyDescent="0.25">
      <c r="A1394" s="2">
        <v>43616</v>
      </c>
      <c r="B1394">
        <v>10.36</v>
      </c>
      <c r="C1394">
        <v>10.31</v>
      </c>
      <c r="D1394">
        <v>7.38</v>
      </c>
      <c r="E1394">
        <v>20.420000000000002</v>
      </c>
      <c r="F1394">
        <v>6.94</v>
      </c>
      <c r="G1394">
        <v>14.6</v>
      </c>
      <c r="H1394">
        <v>7.25</v>
      </c>
      <c r="I1394">
        <v>17.05</v>
      </c>
    </row>
    <row r="1395" spans="1:9" x14ac:dyDescent="0.25">
      <c r="A1395" s="2">
        <v>43619</v>
      </c>
      <c r="B1395">
        <v>10.37</v>
      </c>
      <c r="C1395">
        <v>10.36</v>
      </c>
      <c r="D1395">
        <v>7.34</v>
      </c>
      <c r="E1395">
        <v>20.64</v>
      </c>
      <c r="F1395">
        <v>7.09</v>
      </c>
      <c r="G1395">
        <v>14.77</v>
      </c>
      <c r="H1395">
        <v>7.32</v>
      </c>
      <c r="I1395">
        <v>16.899999999999999</v>
      </c>
    </row>
    <row r="1396" spans="1:9" x14ac:dyDescent="0.25">
      <c r="A1396" s="2">
        <v>43620</v>
      </c>
      <c r="B1396">
        <v>10.210000000000001</v>
      </c>
      <c r="C1396">
        <v>10.45</v>
      </c>
      <c r="D1396">
        <v>6.95</v>
      </c>
      <c r="E1396">
        <v>20.399999999999999</v>
      </c>
      <c r="F1396">
        <v>7.05</v>
      </c>
      <c r="G1396">
        <v>14.49</v>
      </c>
      <c r="H1396">
        <v>7.35</v>
      </c>
      <c r="I1396">
        <v>16.850000000000001</v>
      </c>
    </row>
    <row r="1397" spans="1:9" x14ac:dyDescent="0.25">
      <c r="A1397" s="2">
        <v>43621</v>
      </c>
      <c r="B1397">
        <v>10.17</v>
      </c>
      <c r="C1397">
        <v>10.48</v>
      </c>
      <c r="D1397">
        <v>6.84</v>
      </c>
      <c r="E1397">
        <v>20.27</v>
      </c>
      <c r="F1397">
        <v>6.94</v>
      </c>
      <c r="G1397">
        <v>14.46</v>
      </c>
      <c r="H1397">
        <v>7.37</v>
      </c>
      <c r="I1397">
        <v>16.97</v>
      </c>
    </row>
    <row r="1398" spans="1:9" x14ac:dyDescent="0.25">
      <c r="A1398" s="2">
        <v>43622</v>
      </c>
      <c r="B1398">
        <v>10.68</v>
      </c>
      <c r="C1398">
        <v>10.59</v>
      </c>
      <c r="D1398">
        <v>7.45</v>
      </c>
      <c r="E1398">
        <v>20.61</v>
      </c>
      <c r="F1398">
        <v>7.05</v>
      </c>
      <c r="G1398">
        <v>14.57</v>
      </c>
      <c r="H1398">
        <v>7.49</v>
      </c>
      <c r="I1398">
        <v>17.059999999999999</v>
      </c>
    </row>
    <row r="1399" spans="1:9" x14ac:dyDescent="0.25">
      <c r="A1399" s="2">
        <v>43623</v>
      </c>
      <c r="B1399">
        <v>10.97</v>
      </c>
      <c r="C1399">
        <v>10.65</v>
      </c>
      <c r="D1399">
        <v>7.79</v>
      </c>
      <c r="E1399">
        <v>20.92</v>
      </c>
      <c r="F1399">
        <v>7.26</v>
      </c>
      <c r="G1399">
        <v>14.94</v>
      </c>
      <c r="H1399">
        <v>7.58</v>
      </c>
      <c r="I1399">
        <v>17.11</v>
      </c>
    </row>
    <row r="1400" spans="1:9" x14ac:dyDescent="0.25">
      <c r="A1400" s="2">
        <v>43626</v>
      </c>
      <c r="B1400">
        <v>11.14</v>
      </c>
      <c r="C1400">
        <v>10.73</v>
      </c>
      <c r="D1400">
        <v>8.08</v>
      </c>
      <c r="E1400">
        <v>20.98</v>
      </c>
      <c r="F1400">
        <v>7.28</v>
      </c>
      <c r="G1400">
        <v>15.09</v>
      </c>
      <c r="H1400">
        <v>7.6</v>
      </c>
      <c r="I1400">
        <v>17.399999999999999</v>
      </c>
    </row>
    <row r="1401" spans="1:9" x14ac:dyDescent="0.25">
      <c r="A1401" s="2">
        <v>43627</v>
      </c>
      <c r="B1401">
        <v>11.29</v>
      </c>
      <c r="C1401">
        <v>10.79</v>
      </c>
      <c r="D1401">
        <v>8.43</v>
      </c>
      <c r="E1401">
        <v>21.33</v>
      </c>
      <c r="F1401">
        <v>7.4</v>
      </c>
      <c r="G1401">
        <v>15.32</v>
      </c>
      <c r="H1401">
        <v>7.73</v>
      </c>
      <c r="I1401">
        <v>17.600000000000001</v>
      </c>
    </row>
    <row r="1402" spans="1:9" x14ac:dyDescent="0.25">
      <c r="A1402" s="2">
        <v>43628</v>
      </c>
      <c r="B1402">
        <v>11.47</v>
      </c>
      <c r="C1402">
        <v>10.81</v>
      </c>
      <c r="D1402">
        <v>8.67</v>
      </c>
      <c r="E1402">
        <v>21.57</v>
      </c>
      <c r="F1402">
        <v>7.47</v>
      </c>
      <c r="G1402">
        <v>15.73</v>
      </c>
      <c r="H1402">
        <v>7.84</v>
      </c>
      <c r="I1402">
        <v>17.899999999999999</v>
      </c>
    </row>
    <row r="1403" spans="1:9" x14ac:dyDescent="0.25">
      <c r="A1403" s="2">
        <v>43629</v>
      </c>
      <c r="B1403">
        <v>11.75</v>
      </c>
      <c r="C1403">
        <v>10.85</v>
      </c>
      <c r="D1403">
        <v>8.68</v>
      </c>
      <c r="E1403">
        <v>21.98</v>
      </c>
      <c r="F1403">
        <v>7.53</v>
      </c>
      <c r="G1403">
        <v>16.170000000000002</v>
      </c>
      <c r="H1403">
        <v>7.94</v>
      </c>
      <c r="I1403">
        <v>17.87</v>
      </c>
    </row>
    <row r="1404" spans="1:9" x14ac:dyDescent="0.25">
      <c r="A1404" s="2">
        <v>43630</v>
      </c>
      <c r="B1404">
        <v>11.75</v>
      </c>
      <c r="C1404">
        <v>10.95</v>
      </c>
      <c r="D1404">
        <v>8.68</v>
      </c>
      <c r="E1404">
        <v>21.71</v>
      </c>
      <c r="F1404">
        <v>7.4</v>
      </c>
      <c r="G1404">
        <v>16.03</v>
      </c>
      <c r="H1404">
        <v>7.97</v>
      </c>
      <c r="I1404">
        <v>17.95</v>
      </c>
    </row>
    <row r="1405" spans="1:9" x14ac:dyDescent="0.25">
      <c r="A1405" s="2">
        <v>43633</v>
      </c>
      <c r="B1405">
        <v>11.92</v>
      </c>
      <c r="C1405">
        <v>11.01</v>
      </c>
      <c r="D1405">
        <v>8.9700000000000006</v>
      </c>
      <c r="E1405">
        <v>21.9</v>
      </c>
      <c r="F1405">
        <v>7.49</v>
      </c>
      <c r="G1405">
        <v>16.23</v>
      </c>
      <c r="H1405">
        <v>8.0399999999999991</v>
      </c>
      <c r="I1405">
        <v>17.96</v>
      </c>
    </row>
    <row r="1406" spans="1:9" x14ac:dyDescent="0.25">
      <c r="A1406" s="2">
        <v>43634</v>
      </c>
      <c r="B1406">
        <v>11.85</v>
      </c>
      <c r="C1406">
        <v>11.08</v>
      </c>
      <c r="D1406">
        <v>9.1</v>
      </c>
      <c r="E1406">
        <v>21.95</v>
      </c>
      <c r="F1406">
        <v>7.65</v>
      </c>
      <c r="G1406">
        <v>16.28</v>
      </c>
      <c r="H1406">
        <v>8.08</v>
      </c>
      <c r="I1406">
        <v>17.93</v>
      </c>
    </row>
    <row r="1407" spans="1:9" x14ac:dyDescent="0.25">
      <c r="A1407" s="2">
        <v>43635</v>
      </c>
      <c r="B1407">
        <v>12.06</v>
      </c>
      <c r="C1407">
        <v>11.28</v>
      </c>
      <c r="D1407">
        <v>9.4</v>
      </c>
      <c r="E1407">
        <v>21.95</v>
      </c>
      <c r="F1407">
        <v>7.67</v>
      </c>
      <c r="G1407">
        <v>16.239999999999998</v>
      </c>
      <c r="H1407">
        <v>8.06</v>
      </c>
      <c r="I1407">
        <v>18.649999999999999</v>
      </c>
    </row>
    <row r="1408" spans="1:9" x14ac:dyDescent="0.25">
      <c r="A1408" s="2">
        <v>43636</v>
      </c>
      <c r="B1408">
        <v>12.49</v>
      </c>
      <c r="C1408">
        <v>11.41</v>
      </c>
      <c r="D1408">
        <v>10.08</v>
      </c>
      <c r="E1408">
        <v>22.99</v>
      </c>
      <c r="F1408">
        <v>8.2200000000000006</v>
      </c>
      <c r="G1408">
        <v>16.989999999999998</v>
      </c>
      <c r="H1408">
        <v>8.34</v>
      </c>
      <c r="I1408">
        <v>18.7</v>
      </c>
    </row>
    <row r="1409" spans="1:9" x14ac:dyDescent="0.25">
      <c r="A1409" s="2">
        <v>43637</v>
      </c>
      <c r="B1409">
        <v>12.78</v>
      </c>
      <c r="C1409">
        <v>11.57</v>
      </c>
      <c r="D1409">
        <v>10.17</v>
      </c>
      <c r="E1409">
        <v>23.2</v>
      </c>
      <c r="F1409">
        <v>8.2799999999999994</v>
      </c>
      <c r="G1409">
        <v>17.14</v>
      </c>
      <c r="H1409">
        <v>8.41</v>
      </c>
      <c r="I1409">
        <v>19.02</v>
      </c>
    </row>
    <row r="1410" spans="1:9" x14ac:dyDescent="0.25">
      <c r="A1410" s="2">
        <v>43641</v>
      </c>
      <c r="B1410">
        <v>13.08</v>
      </c>
      <c r="C1410">
        <v>11.81</v>
      </c>
      <c r="D1410">
        <v>10.3</v>
      </c>
      <c r="E1410">
        <v>23.88</v>
      </c>
      <c r="F1410">
        <v>8.5500000000000007</v>
      </c>
      <c r="G1410">
        <v>17.559999999999999</v>
      </c>
      <c r="H1410">
        <v>8.69</v>
      </c>
      <c r="I1410">
        <v>18.95</v>
      </c>
    </row>
    <row r="1411" spans="1:9" x14ac:dyDescent="0.25">
      <c r="A1411" s="2">
        <v>43642</v>
      </c>
      <c r="B1411">
        <v>12.89</v>
      </c>
      <c r="C1411">
        <v>11.84</v>
      </c>
      <c r="D1411">
        <v>9.73</v>
      </c>
      <c r="E1411">
        <v>23.34</v>
      </c>
      <c r="F1411">
        <v>8.26</v>
      </c>
      <c r="G1411">
        <v>17.21</v>
      </c>
      <c r="H1411">
        <v>8.67</v>
      </c>
      <c r="I1411">
        <v>18.66</v>
      </c>
    </row>
    <row r="1412" spans="1:9" x14ac:dyDescent="0.25">
      <c r="A1412" s="2">
        <v>43643</v>
      </c>
      <c r="B1412">
        <v>12.69</v>
      </c>
      <c r="C1412">
        <v>11.9</v>
      </c>
      <c r="D1412">
        <v>9.5399999999999991</v>
      </c>
      <c r="E1412">
        <v>23.18</v>
      </c>
      <c r="F1412">
        <v>8.32</v>
      </c>
      <c r="G1412">
        <v>17.149999999999999</v>
      </c>
      <c r="H1412">
        <v>8.7200000000000006</v>
      </c>
      <c r="I1412">
        <v>18.63</v>
      </c>
    </row>
    <row r="1413" spans="1:9" x14ac:dyDescent="0.25">
      <c r="A1413" s="2">
        <v>43644</v>
      </c>
      <c r="B1413">
        <v>12.58</v>
      </c>
      <c r="C1413">
        <v>11.79</v>
      </c>
      <c r="D1413">
        <v>9.4</v>
      </c>
      <c r="E1413">
        <v>23.11</v>
      </c>
      <c r="F1413">
        <v>8.26</v>
      </c>
      <c r="G1413">
        <v>16.98</v>
      </c>
      <c r="H1413">
        <v>8.67</v>
      </c>
      <c r="I1413">
        <v>18.63</v>
      </c>
    </row>
    <row r="1414" spans="1:9" x14ac:dyDescent="0.25">
      <c r="A1414" s="2">
        <v>43647</v>
      </c>
      <c r="B1414">
        <v>12.77</v>
      </c>
      <c r="C1414">
        <v>11.86</v>
      </c>
      <c r="D1414">
        <v>9.6199999999999992</v>
      </c>
      <c r="E1414">
        <v>23.34</v>
      </c>
      <c r="F1414">
        <v>8.34</v>
      </c>
      <c r="G1414">
        <v>17.03</v>
      </c>
      <c r="H1414">
        <v>8.7200000000000006</v>
      </c>
      <c r="I1414">
        <v>18.829999999999998</v>
      </c>
    </row>
    <row r="1415" spans="1:9" x14ac:dyDescent="0.25">
      <c r="A1415" s="2">
        <v>43648</v>
      </c>
      <c r="B1415">
        <v>13.08</v>
      </c>
      <c r="C1415">
        <v>12</v>
      </c>
      <c r="D1415">
        <v>10.08</v>
      </c>
      <c r="E1415">
        <v>23.51</v>
      </c>
      <c r="F1415">
        <v>8.4499999999999993</v>
      </c>
      <c r="G1415">
        <v>17.329999999999998</v>
      </c>
      <c r="H1415">
        <v>8.81</v>
      </c>
      <c r="I1415">
        <v>19.3</v>
      </c>
    </row>
    <row r="1416" spans="1:9" x14ac:dyDescent="0.25">
      <c r="A1416" s="2">
        <v>43649</v>
      </c>
      <c r="B1416">
        <v>13.59</v>
      </c>
      <c r="C1416">
        <v>12.15</v>
      </c>
      <c r="D1416">
        <v>10.57</v>
      </c>
      <c r="E1416">
        <v>24.35</v>
      </c>
      <c r="F1416">
        <v>8.81</v>
      </c>
      <c r="G1416">
        <v>18</v>
      </c>
      <c r="H1416">
        <v>8.98</v>
      </c>
      <c r="I1416">
        <v>19.41</v>
      </c>
    </row>
    <row r="1417" spans="1:9" x14ac:dyDescent="0.25">
      <c r="A1417" s="2">
        <v>43650</v>
      </c>
      <c r="B1417">
        <v>13.8</v>
      </c>
      <c r="C1417">
        <v>12.28</v>
      </c>
      <c r="D1417">
        <v>11.18</v>
      </c>
      <c r="E1417">
        <v>24.56</v>
      </c>
      <c r="F1417">
        <v>8.93</v>
      </c>
      <c r="G1417">
        <v>18.14</v>
      </c>
      <c r="H1417">
        <v>9.02</v>
      </c>
      <c r="I1417">
        <v>19.8</v>
      </c>
    </row>
    <row r="1418" spans="1:9" x14ac:dyDescent="0.25">
      <c r="A1418" s="2">
        <v>43651</v>
      </c>
      <c r="B1418">
        <v>14.2</v>
      </c>
      <c r="C1418">
        <v>12.44</v>
      </c>
      <c r="D1418">
        <v>11.6</v>
      </c>
      <c r="E1418">
        <v>25</v>
      </c>
      <c r="F1418">
        <v>9.16</v>
      </c>
      <c r="G1418">
        <v>18.61</v>
      </c>
      <c r="H1418">
        <v>9.15</v>
      </c>
      <c r="I1418">
        <v>19.940000000000001</v>
      </c>
    </row>
    <row r="1419" spans="1:9" x14ac:dyDescent="0.25">
      <c r="A1419" s="2">
        <v>43654</v>
      </c>
      <c r="B1419">
        <v>14.21</v>
      </c>
      <c r="C1419">
        <v>12.51</v>
      </c>
      <c r="D1419">
        <v>11.64</v>
      </c>
      <c r="E1419">
        <v>25.18</v>
      </c>
      <c r="F1419">
        <v>9.25</v>
      </c>
      <c r="G1419">
        <v>18.75</v>
      </c>
      <c r="H1419">
        <v>9.19</v>
      </c>
      <c r="I1419">
        <v>19.8</v>
      </c>
    </row>
    <row r="1420" spans="1:9" x14ac:dyDescent="0.25">
      <c r="A1420" s="2">
        <v>43655</v>
      </c>
      <c r="B1420">
        <v>14.07</v>
      </c>
      <c r="C1420">
        <v>12.41</v>
      </c>
      <c r="D1420">
        <v>11.56</v>
      </c>
      <c r="E1420">
        <v>25.03</v>
      </c>
      <c r="F1420">
        <v>9.2200000000000006</v>
      </c>
      <c r="G1420">
        <v>18.600000000000001</v>
      </c>
      <c r="H1420">
        <v>9.19</v>
      </c>
      <c r="I1420">
        <v>19.739999999999998</v>
      </c>
    </row>
    <row r="1421" spans="1:9" x14ac:dyDescent="0.25">
      <c r="A1421" s="2">
        <v>43656</v>
      </c>
      <c r="B1421">
        <v>13.82</v>
      </c>
      <c r="C1421">
        <v>12.35</v>
      </c>
      <c r="D1421">
        <v>11.4</v>
      </c>
      <c r="E1421">
        <v>24.78</v>
      </c>
      <c r="F1421">
        <v>9.19</v>
      </c>
      <c r="G1421">
        <v>18.54</v>
      </c>
      <c r="H1421">
        <v>9.18</v>
      </c>
      <c r="I1421">
        <v>19.54</v>
      </c>
    </row>
    <row r="1422" spans="1:9" x14ac:dyDescent="0.25">
      <c r="A1422" s="2">
        <v>43657</v>
      </c>
      <c r="B1422">
        <v>13.66</v>
      </c>
      <c r="C1422">
        <v>12.18</v>
      </c>
      <c r="D1422">
        <v>11.35</v>
      </c>
      <c r="E1422">
        <v>24.44</v>
      </c>
      <c r="F1422">
        <v>9.08</v>
      </c>
      <c r="G1422">
        <v>18.309999999999999</v>
      </c>
      <c r="H1422">
        <v>9.1</v>
      </c>
      <c r="I1422">
        <v>19.57</v>
      </c>
    </row>
    <row r="1423" spans="1:9" x14ac:dyDescent="0.25">
      <c r="A1423" s="2">
        <v>43658</v>
      </c>
      <c r="B1423">
        <v>13.6</v>
      </c>
      <c r="C1423">
        <v>12.07</v>
      </c>
      <c r="D1423">
        <v>11.21</v>
      </c>
      <c r="E1423">
        <v>24.48</v>
      </c>
      <c r="F1423">
        <v>8.99</v>
      </c>
      <c r="G1423">
        <v>18.3</v>
      </c>
      <c r="H1423">
        <v>9.0500000000000007</v>
      </c>
      <c r="I1423">
        <v>19.59</v>
      </c>
    </row>
    <row r="1424" spans="1:9" x14ac:dyDescent="0.25">
      <c r="A1424" s="2">
        <v>43661</v>
      </c>
      <c r="B1424">
        <v>13.56</v>
      </c>
      <c r="C1424">
        <v>12.01</v>
      </c>
      <c r="D1424">
        <v>11.19</v>
      </c>
      <c r="E1424">
        <v>24.41</v>
      </c>
      <c r="F1424">
        <v>8.84</v>
      </c>
      <c r="G1424">
        <v>18.350000000000001</v>
      </c>
      <c r="H1424">
        <v>9.0500000000000007</v>
      </c>
      <c r="I1424">
        <v>19.649999999999999</v>
      </c>
    </row>
    <row r="1425" spans="1:9" x14ac:dyDescent="0.25">
      <c r="A1425" s="2">
        <v>43662</v>
      </c>
      <c r="B1425">
        <v>13.64</v>
      </c>
      <c r="C1425">
        <v>12.02</v>
      </c>
      <c r="D1425">
        <v>11.32</v>
      </c>
      <c r="E1425">
        <v>24.39</v>
      </c>
      <c r="F1425">
        <v>8.7799999999999994</v>
      </c>
      <c r="G1425">
        <v>18.38</v>
      </c>
      <c r="H1425">
        <v>9.0299999999999994</v>
      </c>
      <c r="I1425">
        <v>19.78</v>
      </c>
    </row>
    <row r="1426" spans="1:9" x14ac:dyDescent="0.25">
      <c r="A1426" s="2">
        <v>43663</v>
      </c>
      <c r="B1426">
        <v>13.77</v>
      </c>
      <c r="C1426">
        <v>12.15</v>
      </c>
      <c r="D1426">
        <v>11.53</v>
      </c>
      <c r="E1426">
        <v>24.62</v>
      </c>
      <c r="F1426">
        <v>8.92</v>
      </c>
      <c r="G1426">
        <v>18.59</v>
      </c>
      <c r="H1426">
        <v>9.15</v>
      </c>
      <c r="I1426">
        <v>19.95</v>
      </c>
    </row>
    <row r="1427" spans="1:9" x14ac:dyDescent="0.25">
      <c r="A1427" s="2">
        <v>43664</v>
      </c>
      <c r="B1427">
        <v>13.8</v>
      </c>
      <c r="C1427">
        <v>12.19</v>
      </c>
      <c r="D1427">
        <v>11.56</v>
      </c>
      <c r="E1427">
        <v>24.85</v>
      </c>
      <c r="F1427">
        <v>9.06</v>
      </c>
      <c r="G1427">
        <v>18.73</v>
      </c>
      <c r="H1427">
        <v>9.14</v>
      </c>
      <c r="I1427">
        <v>19.77</v>
      </c>
    </row>
    <row r="1428" spans="1:9" x14ac:dyDescent="0.25">
      <c r="A1428" s="2">
        <v>43665</v>
      </c>
      <c r="B1428">
        <v>13.61</v>
      </c>
      <c r="C1428">
        <v>12.25</v>
      </c>
      <c r="D1428">
        <v>11.39</v>
      </c>
      <c r="E1428">
        <v>24.71</v>
      </c>
      <c r="F1428">
        <v>9.1</v>
      </c>
      <c r="G1428">
        <v>18.63</v>
      </c>
      <c r="H1428">
        <v>9.2100000000000009</v>
      </c>
      <c r="I1428">
        <v>19.62</v>
      </c>
    </row>
    <row r="1429" spans="1:9" x14ac:dyDescent="0.25">
      <c r="A1429" s="2">
        <v>43668</v>
      </c>
      <c r="B1429">
        <v>13.59</v>
      </c>
      <c r="C1429">
        <v>12.29</v>
      </c>
      <c r="D1429">
        <v>11.54</v>
      </c>
      <c r="E1429">
        <v>24.53</v>
      </c>
      <c r="F1429">
        <v>9.0399999999999991</v>
      </c>
      <c r="G1429">
        <v>18.46</v>
      </c>
      <c r="H1429">
        <v>9.26</v>
      </c>
      <c r="I1429">
        <v>19.760000000000002</v>
      </c>
    </row>
    <row r="1430" spans="1:9" x14ac:dyDescent="0.25">
      <c r="A1430" s="2">
        <v>43669</v>
      </c>
      <c r="B1430">
        <v>13.57</v>
      </c>
      <c r="C1430">
        <v>12.4</v>
      </c>
      <c r="D1430">
        <v>11.45</v>
      </c>
      <c r="E1430">
        <v>24.75</v>
      </c>
      <c r="F1430">
        <v>9.14</v>
      </c>
      <c r="G1430">
        <v>18.760000000000002</v>
      </c>
      <c r="H1430">
        <v>9.33</v>
      </c>
      <c r="I1430">
        <v>19.73</v>
      </c>
    </row>
    <row r="1431" spans="1:9" x14ac:dyDescent="0.25">
      <c r="A1431" s="2">
        <v>43670</v>
      </c>
      <c r="B1431">
        <v>13.73</v>
      </c>
      <c r="C1431">
        <v>12.51</v>
      </c>
      <c r="D1431">
        <v>11.72</v>
      </c>
      <c r="E1431">
        <v>24.75</v>
      </c>
      <c r="F1431">
        <v>9.24</v>
      </c>
      <c r="G1431">
        <v>18.739999999999998</v>
      </c>
      <c r="H1431">
        <v>9.3699999999999992</v>
      </c>
      <c r="I1431">
        <v>20.09</v>
      </c>
    </row>
    <row r="1432" spans="1:9" x14ac:dyDescent="0.25">
      <c r="A1432" s="2">
        <v>43671</v>
      </c>
      <c r="B1432">
        <v>14.04</v>
      </c>
      <c r="C1432">
        <v>12.56</v>
      </c>
      <c r="D1432">
        <v>12.34</v>
      </c>
      <c r="E1432">
        <v>25.32</v>
      </c>
      <c r="F1432">
        <v>9.57</v>
      </c>
      <c r="G1432">
        <v>19.14</v>
      </c>
      <c r="H1432">
        <v>9.42</v>
      </c>
      <c r="I1432">
        <v>20.29</v>
      </c>
    </row>
    <row r="1433" spans="1:9" x14ac:dyDescent="0.25">
      <c r="A1433" s="2">
        <v>43672</v>
      </c>
      <c r="B1433">
        <v>14.38</v>
      </c>
      <c r="C1433">
        <v>12.77</v>
      </c>
      <c r="D1433">
        <v>12.48</v>
      </c>
      <c r="E1433">
        <v>25.63</v>
      </c>
      <c r="F1433">
        <v>9.74</v>
      </c>
      <c r="G1433">
        <v>19.3</v>
      </c>
      <c r="H1433">
        <v>9.5299999999999994</v>
      </c>
      <c r="I1433">
        <v>20.190000000000001</v>
      </c>
    </row>
    <row r="1434" spans="1:9" x14ac:dyDescent="0.25">
      <c r="A1434" s="2">
        <v>43675</v>
      </c>
      <c r="B1434">
        <v>14.05</v>
      </c>
      <c r="C1434">
        <v>12.69</v>
      </c>
      <c r="D1434">
        <v>12.38</v>
      </c>
      <c r="E1434">
        <v>25.55</v>
      </c>
      <c r="F1434">
        <v>9.7899999999999991</v>
      </c>
      <c r="G1434">
        <v>19.170000000000002</v>
      </c>
      <c r="H1434">
        <v>9.5</v>
      </c>
      <c r="I1434">
        <v>20.28</v>
      </c>
    </row>
    <row r="1435" spans="1:9" x14ac:dyDescent="0.25">
      <c r="A1435" s="2">
        <v>43676</v>
      </c>
      <c r="B1435">
        <v>14.38</v>
      </c>
      <c r="C1435">
        <v>12.79</v>
      </c>
      <c r="D1435">
        <v>12.64</v>
      </c>
      <c r="E1435">
        <v>25.68</v>
      </c>
      <c r="F1435">
        <v>9.8000000000000007</v>
      </c>
      <c r="G1435">
        <v>19.23</v>
      </c>
      <c r="H1435">
        <v>9.5</v>
      </c>
      <c r="I1435">
        <v>20.2</v>
      </c>
    </row>
    <row r="1436" spans="1:9" x14ac:dyDescent="0.25">
      <c r="A1436" s="2">
        <v>43677</v>
      </c>
      <c r="B1436">
        <v>14.21</v>
      </c>
      <c r="C1436">
        <v>12.81</v>
      </c>
      <c r="D1436">
        <v>12.52</v>
      </c>
      <c r="E1436">
        <v>25.59</v>
      </c>
      <c r="F1436">
        <v>9.7799999999999994</v>
      </c>
      <c r="G1436">
        <v>19.3</v>
      </c>
      <c r="H1436">
        <v>9.56</v>
      </c>
      <c r="I1436">
        <v>19.75</v>
      </c>
    </row>
    <row r="1437" spans="1:9" x14ac:dyDescent="0.25">
      <c r="A1437" s="2">
        <v>43678</v>
      </c>
      <c r="B1437">
        <v>13.97</v>
      </c>
      <c r="C1437">
        <v>12.8</v>
      </c>
      <c r="D1437">
        <v>12.37</v>
      </c>
      <c r="E1437">
        <v>25.2</v>
      </c>
      <c r="F1437">
        <v>9.66</v>
      </c>
      <c r="G1437">
        <v>18.850000000000001</v>
      </c>
      <c r="H1437">
        <v>9.52</v>
      </c>
      <c r="I1437">
        <v>19.84</v>
      </c>
    </row>
    <row r="1438" spans="1:9" x14ac:dyDescent="0.25">
      <c r="A1438" s="2">
        <v>43679</v>
      </c>
      <c r="B1438">
        <v>13.87</v>
      </c>
      <c r="C1438">
        <v>12.92</v>
      </c>
      <c r="D1438">
        <v>12.4</v>
      </c>
      <c r="E1438">
        <v>25.16</v>
      </c>
      <c r="F1438">
        <v>9.7200000000000006</v>
      </c>
      <c r="G1438">
        <v>19.010000000000002</v>
      </c>
      <c r="H1438">
        <v>9.58</v>
      </c>
      <c r="I1438">
        <v>20</v>
      </c>
    </row>
    <row r="1439" spans="1:9" x14ac:dyDescent="0.25">
      <c r="A1439" s="2">
        <v>43682</v>
      </c>
      <c r="B1439">
        <v>13.75</v>
      </c>
      <c r="C1439">
        <v>13.02</v>
      </c>
      <c r="D1439">
        <v>12.11</v>
      </c>
      <c r="E1439">
        <v>25.32</v>
      </c>
      <c r="F1439">
        <v>9.94</v>
      </c>
      <c r="G1439">
        <v>19.149999999999999</v>
      </c>
      <c r="H1439">
        <v>9.59</v>
      </c>
      <c r="I1439">
        <v>18.78</v>
      </c>
    </row>
    <row r="1440" spans="1:9" x14ac:dyDescent="0.25">
      <c r="A1440" s="2">
        <v>43683</v>
      </c>
      <c r="B1440">
        <v>13.23</v>
      </c>
      <c r="C1440">
        <v>13.08</v>
      </c>
      <c r="D1440">
        <v>11.23</v>
      </c>
      <c r="E1440">
        <v>24.16</v>
      </c>
      <c r="F1440">
        <v>9.75</v>
      </c>
      <c r="G1440">
        <v>18.010000000000002</v>
      </c>
      <c r="H1440">
        <v>9.49</v>
      </c>
      <c r="I1440">
        <v>17.68</v>
      </c>
    </row>
    <row r="1441" spans="1:9" x14ac:dyDescent="0.25">
      <c r="A1441" s="2">
        <v>43684</v>
      </c>
      <c r="B1441">
        <v>12.24</v>
      </c>
      <c r="C1441">
        <v>13.14</v>
      </c>
      <c r="D1441">
        <v>10.32</v>
      </c>
      <c r="E1441">
        <v>22.73</v>
      </c>
      <c r="F1441">
        <v>9.36</v>
      </c>
      <c r="G1441">
        <v>16.91</v>
      </c>
      <c r="H1441">
        <v>9.2899999999999991</v>
      </c>
      <c r="I1441">
        <v>17.39</v>
      </c>
    </row>
    <row r="1442" spans="1:9" x14ac:dyDescent="0.25">
      <c r="A1442" s="2">
        <v>43685</v>
      </c>
      <c r="B1442">
        <v>12.64</v>
      </c>
      <c r="C1442">
        <v>13.31</v>
      </c>
      <c r="D1442">
        <v>10.199999999999999</v>
      </c>
      <c r="E1442">
        <v>22.64</v>
      </c>
      <c r="F1442">
        <v>9.43</v>
      </c>
      <c r="G1442">
        <v>16.5</v>
      </c>
      <c r="H1442">
        <v>9.34</v>
      </c>
      <c r="I1442">
        <v>17.52</v>
      </c>
    </row>
    <row r="1443" spans="1:9" x14ac:dyDescent="0.25">
      <c r="A1443" s="2">
        <v>43686</v>
      </c>
      <c r="B1443">
        <v>12.65</v>
      </c>
      <c r="C1443">
        <v>13.4</v>
      </c>
      <c r="D1443">
        <v>10.6</v>
      </c>
      <c r="E1443">
        <v>22.92</v>
      </c>
      <c r="F1443">
        <v>9.61</v>
      </c>
      <c r="G1443">
        <v>16.63</v>
      </c>
      <c r="H1443">
        <v>9.4700000000000006</v>
      </c>
      <c r="I1443">
        <v>18.28</v>
      </c>
    </row>
    <row r="1444" spans="1:9" x14ac:dyDescent="0.25">
      <c r="A1444" s="2">
        <v>43689</v>
      </c>
      <c r="B1444">
        <v>13.21</v>
      </c>
      <c r="C1444">
        <v>13.4</v>
      </c>
      <c r="D1444">
        <v>11.13</v>
      </c>
      <c r="E1444">
        <v>23.72</v>
      </c>
      <c r="F1444">
        <v>9.7200000000000006</v>
      </c>
      <c r="G1444">
        <v>17.350000000000001</v>
      </c>
      <c r="H1444">
        <v>9.5399999999999991</v>
      </c>
      <c r="I1444">
        <v>17.899999999999999</v>
      </c>
    </row>
    <row r="1445" spans="1:9" x14ac:dyDescent="0.25">
      <c r="A1445" s="2">
        <v>43690</v>
      </c>
      <c r="B1445">
        <v>13.05</v>
      </c>
      <c r="C1445">
        <v>13.42</v>
      </c>
      <c r="D1445">
        <v>10.81</v>
      </c>
      <c r="E1445">
        <v>23.54</v>
      </c>
      <c r="F1445">
        <v>9.7899999999999991</v>
      </c>
      <c r="G1445">
        <v>17.29</v>
      </c>
      <c r="H1445">
        <v>9.58</v>
      </c>
      <c r="I1445">
        <v>17.48</v>
      </c>
    </row>
    <row r="1446" spans="1:9" x14ac:dyDescent="0.25">
      <c r="A1446" s="2">
        <v>43691</v>
      </c>
      <c r="B1446">
        <v>12.83</v>
      </c>
      <c r="C1446">
        <v>13.51</v>
      </c>
      <c r="D1446">
        <v>10.71</v>
      </c>
      <c r="E1446">
        <v>23.08</v>
      </c>
      <c r="F1446">
        <v>9.42</v>
      </c>
      <c r="G1446">
        <v>16.77</v>
      </c>
      <c r="H1446">
        <v>9.3699999999999992</v>
      </c>
      <c r="I1446">
        <v>17.84</v>
      </c>
    </row>
    <row r="1447" spans="1:9" x14ac:dyDescent="0.25">
      <c r="A1447" s="2">
        <v>43692</v>
      </c>
      <c r="B1447">
        <v>13.05</v>
      </c>
      <c r="C1447">
        <v>13.57</v>
      </c>
      <c r="D1447">
        <v>11.04</v>
      </c>
      <c r="E1447">
        <v>23.31</v>
      </c>
      <c r="F1447">
        <v>9.35</v>
      </c>
      <c r="G1447">
        <v>16.84</v>
      </c>
      <c r="H1447">
        <v>9.35</v>
      </c>
      <c r="I1447">
        <v>17.09</v>
      </c>
    </row>
    <row r="1448" spans="1:9" x14ac:dyDescent="0.25">
      <c r="A1448" s="2">
        <v>43693</v>
      </c>
      <c r="B1448">
        <v>12.65</v>
      </c>
      <c r="C1448">
        <v>13.7</v>
      </c>
      <c r="D1448">
        <v>10.52</v>
      </c>
      <c r="E1448">
        <v>22.9</v>
      </c>
      <c r="F1448">
        <v>9.44</v>
      </c>
      <c r="G1448">
        <v>16.489999999999998</v>
      </c>
      <c r="H1448">
        <v>9.31</v>
      </c>
      <c r="I1448">
        <v>17.09</v>
      </c>
    </row>
    <row r="1449" spans="1:9" x14ac:dyDescent="0.25">
      <c r="A1449" s="2">
        <v>43696</v>
      </c>
      <c r="B1449">
        <v>12.62</v>
      </c>
      <c r="C1449">
        <v>13.86</v>
      </c>
      <c r="D1449">
        <v>11.03</v>
      </c>
      <c r="E1449">
        <v>22.96</v>
      </c>
      <c r="F1449">
        <v>9.61</v>
      </c>
      <c r="G1449">
        <v>16.39</v>
      </c>
      <c r="H1449">
        <v>9.4499999999999993</v>
      </c>
      <c r="I1449">
        <v>17.68</v>
      </c>
    </row>
    <row r="1450" spans="1:9" x14ac:dyDescent="0.25">
      <c r="A1450" s="2">
        <v>43697</v>
      </c>
      <c r="B1450">
        <v>12.98</v>
      </c>
      <c r="C1450">
        <v>13.82</v>
      </c>
      <c r="D1450">
        <v>11.49</v>
      </c>
      <c r="E1450">
        <v>23.56</v>
      </c>
      <c r="F1450">
        <v>9.7899999999999991</v>
      </c>
      <c r="G1450">
        <v>16.95</v>
      </c>
      <c r="H1450">
        <v>9.5500000000000007</v>
      </c>
      <c r="I1450">
        <v>18.05</v>
      </c>
    </row>
    <row r="1451" spans="1:9" x14ac:dyDescent="0.25">
      <c r="A1451" s="2">
        <v>43698</v>
      </c>
      <c r="B1451">
        <v>13.42</v>
      </c>
      <c r="C1451">
        <v>13.83</v>
      </c>
      <c r="D1451">
        <v>11.85</v>
      </c>
      <c r="E1451">
        <v>23.96</v>
      </c>
      <c r="F1451">
        <v>9.7200000000000006</v>
      </c>
      <c r="G1451">
        <v>17.32</v>
      </c>
      <c r="H1451">
        <v>9.44</v>
      </c>
      <c r="I1451">
        <v>17.95</v>
      </c>
    </row>
    <row r="1452" spans="1:9" x14ac:dyDescent="0.25">
      <c r="A1452" s="2">
        <v>43699</v>
      </c>
      <c r="B1452">
        <v>13.35</v>
      </c>
      <c r="C1452">
        <v>13.85</v>
      </c>
      <c r="D1452">
        <v>11.8</v>
      </c>
      <c r="E1452">
        <v>23.94</v>
      </c>
      <c r="F1452">
        <v>9.8000000000000007</v>
      </c>
      <c r="G1452">
        <v>17.36</v>
      </c>
      <c r="H1452">
        <v>9.5</v>
      </c>
      <c r="I1452">
        <v>18.36</v>
      </c>
    </row>
    <row r="1453" spans="1:9" x14ac:dyDescent="0.25">
      <c r="A1453" s="2">
        <v>43700</v>
      </c>
      <c r="B1453">
        <v>13.59</v>
      </c>
      <c r="C1453">
        <v>13.83</v>
      </c>
      <c r="D1453">
        <v>12.03</v>
      </c>
      <c r="E1453">
        <v>24.24</v>
      </c>
      <c r="F1453">
        <v>9.8699999999999992</v>
      </c>
      <c r="G1453">
        <v>17.559999999999999</v>
      </c>
      <c r="H1453">
        <v>9.5399999999999991</v>
      </c>
      <c r="I1453">
        <v>18.13</v>
      </c>
    </row>
    <row r="1454" spans="1:9" x14ac:dyDescent="0.25">
      <c r="A1454" s="2">
        <v>43703</v>
      </c>
      <c r="B1454">
        <v>13.49</v>
      </c>
      <c r="C1454">
        <v>13.85</v>
      </c>
      <c r="D1454">
        <v>11.78</v>
      </c>
      <c r="E1454">
        <v>24.1</v>
      </c>
      <c r="F1454">
        <v>9.9499999999999993</v>
      </c>
      <c r="G1454">
        <v>17.52</v>
      </c>
      <c r="H1454">
        <v>9.5399999999999991</v>
      </c>
      <c r="I1454">
        <v>17.66</v>
      </c>
    </row>
    <row r="1455" spans="1:9" x14ac:dyDescent="0.25">
      <c r="A1455" s="2">
        <v>43704</v>
      </c>
      <c r="B1455">
        <v>13.18</v>
      </c>
      <c r="C1455">
        <v>13.96</v>
      </c>
      <c r="D1455">
        <v>11.62</v>
      </c>
      <c r="E1455">
        <v>23.51</v>
      </c>
      <c r="F1455">
        <v>9.92</v>
      </c>
      <c r="G1455">
        <v>17.11</v>
      </c>
      <c r="H1455">
        <v>9.56</v>
      </c>
      <c r="I1455">
        <v>17.73</v>
      </c>
    </row>
    <row r="1456" spans="1:9" x14ac:dyDescent="0.25">
      <c r="A1456" s="2">
        <v>43705</v>
      </c>
      <c r="B1456">
        <v>13.38</v>
      </c>
      <c r="C1456">
        <v>14.06</v>
      </c>
      <c r="D1456">
        <v>11.2</v>
      </c>
      <c r="E1456">
        <v>23.54</v>
      </c>
      <c r="F1456">
        <v>9.93</v>
      </c>
      <c r="G1456">
        <v>17.100000000000001</v>
      </c>
      <c r="H1456">
        <v>9.56</v>
      </c>
      <c r="I1456">
        <v>17.98</v>
      </c>
    </row>
    <row r="1457" spans="1:9" x14ac:dyDescent="0.25">
      <c r="A1457" s="2">
        <v>43706</v>
      </c>
      <c r="B1457">
        <v>13.48</v>
      </c>
      <c r="C1457">
        <v>14.22</v>
      </c>
      <c r="D1457">
        <v>11.53</v>
      </c>
      <c r="E1457">
        <v>23.76</v>
      </c>
      <c r="F1457">
        <v>10.050000000000001</v>
      </c>
      <c r="G1457">
        <v>17.149999999999999</v>
      </c>
      <c r="H1457">
        <v>9.58</v>
      </c>
      <c r="I1457">
        <v>17.84</v>
      </c>
    </row>
    <row r="1458" spans="1:9" x14ac:dyDescent="0.25">
      <c r="A1458" s="2">
        <v>43707</v>
      </c>
      <c r="B1458">
        <v>13.6</v>
      </c>
      <c r="C1458">
        <v>14.3</v>
      </c>
      <c r="D1458">
        <v>12.06</v>
      </c>
      <c r="E1458">
        <v>23.89</v>
      </c>
      <c r="F1458">
        <v>10.14</v>
      </c>
      <c r="G1458">
        <v>17.09</v>
      </c>
      <c r="H1458">
        <v>9.6199999999999992</v>
      </c>
      <c r="I1458">
        <v>18.27</v>
      </c>
    </row>
    <row r="1459" spans="1:9" x14ac:dyDescent="0.25">
      <c r="A1459" s="2">
        <v>43710</v>
      </c>
      <c r="B1459">
        <v>14.03</v>
      </c>
      <c r="C1459">
        <v>14.26</v>
      </c>
      <c r="D1459">
        <v>12.52</v>
      </c>
      <c r="E1459">
        <v>24.44</v>
      </c>
      <c r="F1459">
        <v>10.29</v>
      </c>
      <c r="G1459">
        <v>17.57</v>
      </c>
      <c r="H1459">
        <v>9.64</v>
      </c>
      <c r="I1459">
        <v>18.54</v>
      </c>
    </row>
    <row r="1460" spans="1:9" x14ac:dyDescent="0.25">
      <c r="A1460" s="2">
        <v>43711</v>
      </c>
      <c r="B1460">
        <v>14.33</v>
      </c>
      <c r="C1460">
        <v>14.26</v>
      </c>
      <c r="D1460">
        <v>12.8</v>
      </c>
      <c r="E1460">
        <v>24.93</v>
      </c>
      <c r="F1460">
        <v>10.51</v>
      </c>
      <c r="G1460">
        <v>18.07</v>
      </c>
      <c r="H1460">
        <v>9.73</v>
      </c>
      <c r="I1460">
        <v>18.670000000000002</v>
      </c>
    </row>
    <row r="1461" spans="1:9" x14ac:dyDescent="0.25">
      <c r="A1461" s="2">
        <v>43712</v>
      </c>
      <c r="B1461">
        <v>14.37</v>
      </c>
      <c r="C1461">
        <v>14.31</v>
      </c>
      <c r="D1461">
        <v>12.87</v>
      </c>
      <c r="E1461">
        <v>25.04</v>
      </c>
      <c r="F1461">
        <v>10.59</v>
      </c>
      <c r="G1461">
        <v>18.170000000000002</v>
      </c>
      <c r="H1461">
        <v>9.74</v>
      </c>
      <c r="I1461">
        <v>18.63</v>
      </c>
    </row>
    <row r="1462" spans="1:9" x14ac:dyDescent="0.25">
      <c r="A1462" s="2">
        <v>43713</v>
      </c>
      <c r="B1462">
        <v>14.21</v>
      </c>
      <c r="C1462">
        <v>14.25</v>
      </c>
      <c r="D1462">
        <v>12.85</v>
      </c>
      <c r="E1462">
        <v>25.02</v>
      </c>
      <c r="F1462">
        <v>10.69</v>
      </c>
      <c r="G1462">
        <v>18.16</v>
      </c>
      <c r="H1462">
        <v>9.81</v>
      </c>
      <c r="I1462">
        <v>18.899999999999999</v>
      </c>
    </row>
    <row r="1463" spans="1:9" x14ac:dyDescent="0.25">
      <c r="A1463" s="2">
        <v>43714</v>
      </c>
      <c r="B1463">
        <v>14.42</v>
      </c>
      <c r="C1463">
        <v>14.22</v>
      </c>
      <c r="D1463">
        <v>12.95</v>
      </c>
      <c r="E1463">
        <v>25.35</v>
      </c>
      <c r="F1463">
        <v>10.74</v>
      </c>
      <c r="G1463">
        <v>18.41</v>
      </c>
      <c r="H1463">
        <v>9.89</v>
      </c>
      <c r="I1463">
        <v>19.25</v>
      </c>
    </row>
    <row r="1464" spans="1:9" x14ac:dyDescent="0.25">
      <c r="A1464" s="2">
        <v>43717</v>
      </c>
      <c r="B1464">
        <v>14.63</v>
      </c>
      <c r="C1464">
        <v>14.11</v>
      </c>
      <c r="D1464">
        <v>13.22</v>
      </c>
      <c r="E1464">
        <v>25.68</v>
      </c>
      <c r="F1464">
        <v>10.62</v>
      </c>
      <c r="G1464">
        <v>18.75</v>
      </c>
      <c r="H1464">
        <v>9.81</v>
      </c>
      <c r="I1464">
        <v>19.39</v>
      </c>
    </row>
    <row r="1465" spans="1:9" x14ac:dyDescent="0.25">
      <c r="A1465" s="2">
        <v>43718</v>
      </c>
      <c r="B1465">
        <v>14.79</v>
      </c>
      <c r="C1465">
        <v>14.1</v>
      </c>
      <c r="D1465">
        <v>13.33</v>
      </c>
      <c r="E1465">
        <v>25.92</v>
      </c>
      <c r="F1465">
        <v>10.69</v>
      </c>
      <c r="G1465">
        <v>19</v>
      </c>
      <c r="H1465">
        <v>9.91</v>
      </c>
      <c r="I1465">
        <v>19.39</v>
      </c>
    </row>
    <row r="1466" spans="1:9" x14ac:dyDescent="0.25">
      <c r="A1466" s="2">
        <v>43719</v>
      </c>
      <c r="B1466">
        <v>14.65</v>
      </c>
      <c r="C1466">
        <v>13.96</v>
      </c>
      <c r="D1466">
        <v>13.03</v>
      </c>
      <c r="E1466">
        <v>25.75</v>
      </c>
      <c r="F1466">
        <v>10.53</v>
      </c>
      <c r="G1466">
        <v>18.95</v>
      </c>
      <c r="H1466">
        <v>9.7899999999999991</v>
      </c>
      <c r="I1466">
        <v>19.329999999999998</v>
      </c>
    </row>
    <row r="1467" spans="1:9" x14ac:dyDescent="0.25">
      <c r="A1467" s="2">
        <v>43720</v>
      </c>
      <c r="B1467">
        <v>14.51</v>
      </c>
      <c r="C1467">
        <v>13.77</v>
      </c>
      <c r="D1467">
        <v>13.22</v>
      </c>
      <c r="E1467">
        <v>25.46</v>
      </c>
      <c r="F1467">
        <v>10.25</v>
      </c>
      <c r="G1467">
        <v>18.670000000000002</v>
      </c>
      <c r="H1467">
        <v>9.68</v>
      </c>
      <c r="I1467">
        <v>19.7</v>
      </c>
    </row>
    <row r="1468" spans="1:9" x14ac:dyDescent="0.25">
      <c r="A1468" s="2">
        <v>43721</v>
      </c>
      <c r="B1468">
        <v>14.8</v>
      </c>
      <c r="C1468">
        <v>13.84</v>
      </c>
      <c r="D1468">
        <v>13.75</v>
      </c>
      <c r="E1468">
        <v>25.98</v>
      </c>
      <c r="F1468">
        <v>10.31</v>
      </c>
      <c r="G1468">
        <v>19.11</v>
      </c>
      <c r="H1468">
        <v>9.6999999999999993</v>
      </c>
      <c r="I1468">
        <v>19.850000000000001</v>
      </c>
    </row>
    <row r="1469" spans="1:9" x14ac:dyDescent="0.25">
      <c r="A1469" s="2">
        <v>43724</v>
      </c>
      <c r="B1469">
        <v>14.61</v>
      </c>
      <c r="C1469">
        <v>13.54</v>
      </c>
      <c r="D1469">
        <v>13.55</v>
      </c>
      <c r="E1469">
        <v>26.09</v>
      </c>
      <c r="F1469">
        <v>10.31</v>
      </c>
      <c r="G1469">
        <v>19.28</v>
      </c>
      <c r="H1469">
        <v>9.75</v>
      </c>
      <c r="I1469">
        <v>19.93</v>
      </c>
    </row>
    <row r="1470" spans="1:9" x14ac:dyDescent="0.25">
      <c r="A1470" s="2">
        <v>43725</v>
      </c>
      <c r="B1470">
        <v>14.56</v>
      </c>
      <c r="C1470">
        <v>13.47</v>
      </c>
      <c r="D1470">
        <v>13.31</v>
      </c>
      <c r="E1470">
        <v>25.79</v>
      </c>
      <c r="F1470">
        <v>9.84</v>
      </c>
      <c r="G1470">
        <v>19.16</v>
      </c>
      <c r="H1470">
        <v>9.56</v>
      </c>
      <c r="I1470">
        <v>19.86</v>
      </c>
    </row>
    <row r="1471" spans="1:9" x14ac:dyDescent="0.25">
      <c r="A1471" s="2">
        <v>43726</v>
      </c>
      <c r="B1471">
        <v>14.53</v>
      </c>
      <c r="C1471">
        <v>13.52</v>
      </c>
      <c r="D1471">
        <v>13.45</v>
      </c>
      <c r="E1471">
        <v>25.87</v>
      </c>
      <c r="F1471">
        <v>9.99</v>
      </c>
      <c r="G1471">
        <v>19.190000000000001</v>
      </c>
      <c r="H1471">
        <v>9.6300000000000008</v>
      </c>
      <c r="I1471">
        <v>19.690000000000001</v>
      </c>
    </row>
    <row r="1472" spans="1:9" x14ac:dyDescent="0.25">
      <c r="A1472" s="2">
        <v>43727</v>
      </c>
      <c r="B1472">
        <v>14.59</v>
      </c>
      <c r="C1472">
        <v>13.6</v>
      </c>
      <c r="D1472">
        <v>13.36</v>
      </c>
      <c r="E1472">
        <v>25.67</v>
      </c>
      <c r="F1472">
        <v>9.93</v>
      </c>
      <c r="G1472">
        <v>19</v>
      </c>
      <c r="H1472">
        <v>9.56</v>
      </c>
      <c r="I1472">
        <v>19.690000000000001</v>
      </c>
    </row>
    <row r="1473" spans="1:9" x14ac:dyDescent="0.25">
      <c r="A1473" s="2">
        <v>43728</v>
      </c>
      <c r="B1473">
        <v>14.67</v>
      </c>
      <c r="C1473">
        <v>13.62</v>
      </c>
      <c r="D1473">
        <v>13.48</v>
      </c>
      <c r="E1473">
        <v>25.72</v>
      </c>
      <c r="F1473">
        <v>10.02</v>
      </c>
      <c r="G1473">
        <v>19.09</v>
      </c>
      <c r="H1473">
        <v>9.64</v>
      </c>
      <c r="I1473">
        <v>19.89</v>
      </c>
    </row>
    <row r="1474" spans="1:9" x14ac:dyDescent="0.25">
      <c r="A1474" s="2">
        <v>43731</v>
      </c>
      <c r="B1474">
        <v>14.77</v>
      </c>
      <c r="C1474">
        <v>13.7</v>
      </c>
      <c r="D1474">
        <v>13.65</v>
      </c>
      <c r="E1474">
        <v>25.85</v>
      </c>
      <c r="F1474">
        <v>10.06</v>
      </c>
      <c r="G1474">
        <v>19.3</v>
      </c>
      <c r="H1474">
        <v>9.64</v>
      </c>
      <c r="I1474">
        <v>20</v>
      </c>
    </row>
    <row r="1475" spans="1:9" x14ac:dyDescent="0.25">
      <c r="A1475" s="2">
        <v>43732</v>
      </c>
      <c r="B1475">
        <v>14.87</v>
      </c>
      <c r="C1475">
        <v>13.87</v>
      </c>
      <c r="D1475">
        <v>13.77</v>
      </c>
      <c r="E1475">
        <v>26.01</v>
      </c>
      <c r="F1475">
        <v>10.23</v>
      </c>
      <c r="G1475">
        <v>19.43</v>
      </c>
      <c r="H1475">
        <v>9.6999999999999993</v>
      </c>
      <c r="I1475">
        <v>19.82</v>
      </c>
    </row>
    <row r="1476" spans="1:9" x14ac:dyDescent="0.25">
      <c r="A1476" s="2">
        <v>43733</v>
      </c>
      <c r="B1476">
        <v>14.85</v>
      </c>
      <c r="C1476">
        <v>13.98</v>
      </c>
      <c r="D1476">
        <v>13.94</v>
      </c>
      <c r="E1476">
        <v>26.03</v>
      </c>
      <c r="F1476">
        <v>10.36</v>
      </c>
      <c r="G1476">
        <v>19.28</v>
      </c>
      <c r="H1476">
        <v>9.83</v>
      </c>
      <c r="I1476">
        <v>19.78</v>
      </c>
    </row>
    <row r="1477" spans="1:9" x14ac:dyDescent="0.25">
      <c r="A1477" s="2">
        <v>43734</v>
      </c>
      <c r="B1477">
        <v>14.78</v>
      </c>
      <c r="C1477">
        <v>14.05</v>
      </c>
      <c r="D1477">
        <v>13.75</v>
      </c>
      <c r="E1477">
        <v>25.87</v>
      </c>
      <c r="F1477">
        <v>10.31</v>
      </c>
      <c r="G1477">
        <v>19.260000000000002</v>
      </c>
      <c r="H1477">
        <v>9.83</v>
      </c>
      <c r="I1477">
        <v>19.64</v>
      </c>
    </row>
    <row r="1478" spans="1:9" x14ac:dyDescent="0.25">
      <c r="A1478" s="2">
        <v>43735</v>
      </c>
      <c r="B1478">
        <v>14.7</v>
      </c>
      <c r="C1478">
        <v>13.97</v>
      </c>
      <c r="D1478">
        <v>13.89</v>
      </c>
      <c r="E1478">
        <v>25.67</v>
      </c>
      <c r="F1478">
        <v>10.210000000000001</v>
      </c>
      <c r="G1478">
        <v>18.899999999999999</v>
      </c>
      <c r="H1478">
        <v>9.6999999999999993</v>
      </c>
      <c r="I1478">
        <v>19.809999999999999</v>
      </c>
    </row>
    <row r="1479" spans="1:9" x14ac:dyDescent="0.25">
      <c r="A1479" s="2">
        <v>43738</v>
      </c>
      <c r="B1479">
        <v>14.84</v>
      </c>
      <c r="C1479">
        <v>13.94</v>
      </c>
      <c r="D1479">
        <v>14.03</v>
      </c>
      <c r="E1479">
        <v>25.92</v>
      </c>
      <c r="F1479">
        <v>10.33</v>
      </c>
      <c r="G1479">
        <v>19.190000000000001</v>
      </c>
      <c r="H1479">
        <v>9.74</v>
      </c>
      <c r="I1479">
        <v>19.96</v>
      </c>
    </row>
    <row r="1480" spans="1:9" x14ac:dyDescent="0.25">
      <c r="A1480" s="2">
        <v>43739</v>
      </c>
      <c r="B1480">
        <v>14.84</v>
      </c>
      <c r="C1480">
        <v>14</v>
      </c>
      <c r="D1480">
        <v>14.01</v>
      </c>
      <c r="E1480">
        <v>25.83</v>
      </c>
      <c r="F1480">
        <v>10.36</v>
      </c>
      <c r="G1480">
        <v>19.309999999999999</v>
      </c>
      <c r="H1480">
        <v>9.76</v>
      </c>
      <c r="I1480">
        <v>20.02</v>
      </c>
    </row>
    <row r="1481" spans="1:9" x14ac:dyDescent="0.25">
      <c r="A1481" s="2">
        <v>43740</v>
      </c>
      <c r="B1481">
        <v>14.91</v>
      </c>
      <c r="C1481">
        <v>13.94</v>
      </c>
      <c r="D1481">
        <v>14.17</v>
      </c>
      <c r="E1481">
        <v>25.99</v>
      </c>
      <c r="F1481">
        <v>10.43</v>
      </c>
      <c r="G1481">
        <v>19.32</v>
      </c>
      <c r="H1481">
        <v>9.7799999999999994</v>
      </c>
      <c r="I1481">
        <v>19.600000000000001</v>
      </c>
    </row>
    <row r="1482" spans="1:9" x14ac:dyDescent="0.25">
      <c r="A1482" s="2">
        <v>43741</v>
      </c>
      <c r="B1482">
        <v>14.71</v>
      </c>
      <c r="C1482">
        <v>14.02</v>
      </c>
      <c r="D1482">
        <v>13.29</v>
      </c>
      <c r="E1482">
        <v>25.63</v>
      </c>
      <c r="F1482">
        <v>10.34</v>
      </c>
      <c r="G1482">
        <v>19.05</v>
      </c>
      <c r="H1482">
        <v>9.7200000000000006</v>
      </c>
      <c r="I1482">
        <v>18.77</v>
      </c>
    </row>
    <row r="1483" spans="1:9" x14ac:dyDescent="0.25">
      <c r="A1483" s="2">
        <v>43742</v>
      </c>
      <c r="B1483">
        <v>14.04</v>
      </c>
      <c r="C1483">
        <v>14.1</v>
      </c>
      <c r="D1483">
        <v>12.41</v>
      </c>
      <c r="E1483">
        <v>24.64</v>
      </c>
      <c r="F1483">
        <v>10.16</v>
      </c>
      <c r="G1483">
        <v>18.489999999999998</v>
      </c>
      <c r="H1483">
        <v>9.66</v>
      </c>
      <c r="I1483">
        <v>18.8</v>
      </c>
    </row>
    <row r="1484" spans="1:9" x14ac:dyDescent="0.25">
      <c r="A1484" s="2">
        <v>43745</v>
      </c>
      <c r="B1484">
        <v>14.18</v>
      </c>
      <c r="C1484">
        <v>14.17</v>
      </c>
      <c r="D1484">
        <v>12.75</v>
      </c>
      <c r="E1484">
        <v>24.62</v>
      </c>
      <c r="F1484">
        <v>10.18</v>
      </c>
      <c r="G1484">
        <v>17.86</v>
      </c>
      <c r="H1484">
        <v>9.7899999999999991</v>
      </c>
      <c r="I1484">
        <v>19.13</v>
      </c>
    </row>
    <row r="1485" spans="1:9" x14ac:dyDescent="0.25">
      <c r="A1485" s="2">
        <v>43746</v>
      </c>
      <c r="B1485">
        <v>14.45</v>
      </c>
      <c r="C1485">
        <v>14.2</v>
      </c>
      <c r="D1485">
        <v>13.16</v>
      </c>
      <c r="E1485">
        <v>25.21</v>
      </c>
      <c r="F1485">
        <v>10.33</v>
      </c>
      <c r="G1485">
        <v>18.41</v>
      </c>
      <c r="H1485">
        <v>9.93</v>
      </c>
      <c r="I1485">
        <v>19.38</v>
      </c>
    </row>
    <row r="1486" spans="1:9" x14ac:dyDescent="0.25">
      <c r="A1486" s="2">
        <v>43747</v>
      </c>
      <c r="B1486">
        <v>14.39</v>
      </c>
      <c r="C1486">
        <v>14.18</v>
      </c>
      <c r="D1486">
        <v>12.9</v>
      </c>
      <c r="E1486">
        <v>25.25</v>
      </c>
      <c r="F1486">
        <v>10.3</v>
      </c>
      <c r="G1486">
        <v>18.62</v>
      </c>
      <c r="H1486">
        <v>9.8699999999999992</v>
      </c>
      <c r="I1486">
        <v>18.940000000000001</v>
      </c>
    </row>
    <row r="1487" spans="1:9" x14ac:dyDescent="0.25">
      <c r="A1487" s="2">
        <v>43748</v>
      </c>
      <c r="B1487">
        <v>14.12</v>
      </c>
      <c r="C1487">
        <v>14.14</v>
      </c>
      <c r="D1487">
        <v>12.58</v>
      </c>
      <c r="E1487">
        <v>24.85</v>
      </c>
      <c r="F1487">
        <v>10.29</v>
      </c>
      <c r="G1487">
        <v>18.23</v>
      </c>
      <c r="H1487">
        <v>9.8800000000000008</v>
      </c>
      <c r="I1487">
        <v>19.11</v>
      </c>
    </row>
    <row r="1488" spans="1:9" x14ac:dyDescent="0.25">
      <c r="A1488" s="2">
        <v>43749</v>
      </c>
      <c r="B1488">
        <v>14.13</v>
      </c>
      <c r="C1488">
        <v>13.93</v>
      </c>
      <c r="D1488">
        <v>12.59</v>
      </c>
      <c r="E1488">
        <v>24.91</v>
      </c>
      <c r="F1488">
        <v>10.18</v>
      </c>
      <c r="G1488">
        <v>18.190000000000001</v>
      </c>
      <c r="H1488">
        <v>9.7899999999999991</v>
      </c>
      <c r="I1488">
        <v>19.38</v>
      </c>
    </row>
    <row r="1489" spans="1:9" x14ac:dyDescent="0.25">
      <c r="A1489" s="2">
        <v>43752</v>
      </c>
      <c r="B1489">
        <v>14.13</v>
      </c>
      <c r="C1489">
        <v>13.74</v>
      </c>
      <c r="D1489">
        <v>12.68</v>
      </c>
      <c r="E1489">
        <v>24.96</v>
      </c>
      <c r="F1489">
        <v>9.99</v>
      </c>
      <c r="G1489">
        <v>18.309999999999999</v>
      </c>
      <c r="H1489">
        <v>9.67</v>
      </c>
      <c r="I1489">
        <v>20.14</v>
      </c>
    </row>
    <row r="1490" spans="1:9" x14ac:dyDescent="0.25">
      <c r="A1490" s="2">
        <v>43753</v>
      </c>
      <c r="B1490">
        <v>14.49</v>
      </c>
      <c r="C1490">
        <v>13.67</v>
      </c>
      <c r="D1490">
        <v>13.04</v>
      </c>
      <c r="E1490">
        <v>25.52</v>
      </c>
      <c r="F1490">
        <v>9.9499999999999993</v>
      </c>
      <c r="G1490">
        <v>18.989999999999998</v>
      </c>
      <c r="H1490">
        <v>9.66</v>
      </c>
      <c r="I1490">
        <v>19.95</v>
      </c>
    </row>
    <row r="1491" spans="1:9" x14ac:dyDescent="0.25">
      <c r="A1491" s="2">
        <v>43754</v>
      </c>
      <c r="B1491">
        <v>14.61</v>
      </c>
      <c r="C1491">
        <v>13.75</v>
      </c>
      <c r="D1491">
        <v>13.18</v>
      </c>
      <c r="E1491">
        <v>25.53</v>
      </c>
      <c r="F1491">
        <v>10</v>
      </c>
      <c r="G1491">
        <v>18.93</v>
      </c>
      <c r="H1491">
        <v>9.69</v>
      </c>
      <c r="I1491">
        <v>20.29</v>
      </c>
    </row>
    <row r="1492" spans="1:9" x14ac:dyDescent="0.25">
      <c r="A1492" s="2">
        <v>43755</v>
      </c>
      <c r="B1492">
        <v>14.83</v>
      </c>
      <c r="C1492">
        <v>13.65</v>
      </c>
      <c r="D1492">
        <v>13.35</v>
      </c>
      <c r="E1492">
        <v>25.82</v>
      </c>
      <c r="F1492">
        <v>9.99</v>
      </c>
      <c r="G1492">
        <v>19.170000000000002</v>
      </c>
      <c r="H1492">
        <v>9.61</v>
      </c>
      <c r="I1492">
        <v>20.28</v>
      </c>
    </row>
    <row r="1493" spans="1:9" x14ac:dyDescent="0.25">
      <c r="A1493" s="2">
        <v>43756</v>
      </c>
      <c r="B1493">
        <v>14.76</v>
      </c>
      <c r="C1493">
        <v>13.58</v>
      </c>
      <c r="D1493">
        <v>13.16</v>
      </c>
      <c r="E1493">
        <v>25.71</v>
      </c>
      <c r="F1493">
        <v>9.8699999999999992</v>
      </c>
      <c r="G1493">
        <v>19.11</v>
      </c>
      <c r="H1493">
        <v>9.56</v>
      </c>
      <c r="I1493">
        <v>20.21</v>
      </c>
    </row>
    <row r="1494" spans="1:9" x14ac:dyDescent="0.25">
      <c r="A1494" s="2">
        <v>43759</v>
      </c>
      <c r="B1494">
        <v>14.77</v>
      </c>
      <c r="C1494">
        <v>13.56</v>
      </c>
      <c r="D1494">
        <v>12.96</v>
      </c>
      <c r="E1494">
        <v>25.56</v>
      </c>
      <c r="F1494">
        <v>9.69</v>
      </c>
      <c r="G1494">
        <v>18.97</v>
      </c>
      <c r="H1494">
        <v>9.56</v>
      </c>
      <c r="I1494">
        <v>20.03</v>
      </c>
    </row>
    <row r="1495" spans="1:9" x14ac:dyDescent="0.25">
      <c r="A1495" s="2">
        <v>43760</v>
      </c>
      <c r="B1495">
        <v>14.61</v>
      </c>
      <c r="C1495">
        <v>13.51</v>
      </c>
      <c r="D1495">
        <v>12.72</v>
      </c>
      <c r="E1495">
        <v>25.33</v>
      </c>
      <c r="F1495">
        <v>9.68</v>
      </c>
      <c r="G1495">
        <v>18.84</v>
      </c>
      <c r="H1495">
        <v>9.6</v>
      </c>
      <c r="I1495">
        <v>20.16</v>
      </c>
    </row>
    <row r="1496" spans="1:9" x14ac:dyDescent="0.25">
      <c r="A1496" s="2">
        <v>43761</v>
      </c>
      <c r="B1496">
        <v>14.81</v>
      </c>
      <c r="C1496">
        <v>13.55</v>
      </c>
      <c r="D1496">
        <v>12.98</v>
      </c>
      <c r="E1496">
        <v>25.41</v>
      </c>
      <c r="F1496">
        <v>9.58</v>
      </c>
      <c r="G1496">
        <v>18.989999999999998</v>
      </c>
      <c r="H1496">
        <v>9.52</v>
      </c>
      <c r="I1496">
        <v>20.34</v>
      </c>
    </row>
    <row r="1497" spans="1:9" x14ac:dyDescent="0.25">
      <c r="A1497" s="2">
        <v>43762</v>
      </c>
      <c r="B1497">
        <v>14.86</v>
      </c>
      <c r="C1497">
        <v>13.66</v>
      </c>
      <c r="D1497">
        <v>13.04</v>
      </c>
      <c r="E1497">
        <v>25.61</v>
      </c>
      <c r="F1497">
        <v>9.69</v>
      </c>
      <c r="G1497">
        <v>19.170000000000002</v>
      </c>
      <c r="H1497">
        <v>9.65</v>
      </c>
      <c r="I1497">
        <v>20.38</v>
      </c>
    </row>
    <row r="1498" spans="1:9" x14ac:dyDescent="0.25">
      <c r="A1498" s="2">
        <v>43763</v>
      </c>
      <c r="B1498">
        <v>14.95</v>
      </c>
      <c r="C1498">
        <v>13.69</v>
      </c>
      <c r="D1498">
        <v>13.31</v>
      </c>
      <c r="E1498">
        <v>25.69</v>
      </c>
      <c r="F1498">
        <v>9.77</v>
      </c>
      <c r="G1498">
        <v>19.170000000000002</v>
      </c>
      <c r="H1498">
        <v>9.7100000000000009</v>
      </c>
      <c r="I1498">
        <v>20.62</v>
      </c>
    </row>
    <row r="1499" spans="1:9" x14ac:dyDescent="0.25">
      <c r="A1499" s="2">
        <v>43766</v>
      </c>
      <c r="B1499">
        <v>15.13</v>
      </c>
      <c r="C1499">
        <v>13.71</v>
      </c>
      <c r="D1499">
        <v>13.54</v>
      </c>
      <c r="E1499">
        <v>25.99</v>
      </c>
      <c r="F1499">
        <v>9.85</v>
      </c>
      <c r="G1499">
        <v>19.5</v>
      </c>
      <c r="H1499">
        <v>9.7899999999999991</v>
      </c>
      <c r="I1499">
        <v>20.68</v>
      </c>
    </row>
    <row r="1500" spans="1:9" x14ac:dyDescent="0.25">
      <c r="A1500" s="2">
        <v>43767</v>
      </c>
      <c r="B1500">
        <v>15.1</v>
      </c>
      <c r="C1500">
        <v>13.67</v>
      </c>
      <c r="D1500">
        <v>13.69</v>
      </c>
      <c r="E1500">
        <v>26.12</v>
      </c>
      <c r="F1500">
        <v>9.8800000000000008</v>
      </c>
      <c r="G1500">
        <v>19.66</v>
      </c>
      <c r="H1500">
        <v>9.8000000000000007</v>
      </c>
      <c r="I1500">
        <v>20.77</v>
      </c>
    </row>
    <row r="1501" spans="1:9" x14ac:dyDescent="0.25">
      <c r="A1501" s="2">
        <v>43768</v>
      </c>
      <c r="B1501">
        <v>15.17</v>
      </c>
      <c r="C1501">
        <v>13.58</v>
      </c>
      <c r="D1501">
        <v>13.73</v>
      </c>
      <c r="E1501">
        <v>26.24</v>
      </c>
      <c r="F1501">
        <v>9.75</v>
      </c>
      <c r="G1501">
        <v>19.850000000000001</v>
      </c>
      <c r="H1501">
        <v>9.73</v>
      </c>
      <c r="I1501">
        <v>20.71</v>
      </c>
    </row>
    <row r="1502" spans="1:9" x14ac:dyDescent="0.25">
      <c r="A1502" s="2">
        <v>43769</v>
      </c>
      <c r="B1502">
        <v>15.14</v>
      </c>
      <c r="C1502">
        <v>13.6</v>
      </c>
      <c r="D1502">
        <v>13.68</v>
      </c>
      <c r="E1502">
        <v>26.2</v>
      </c>
      <c r="F1502">
        <v>9.7200000000000006</v>
      </c>
      <c r="G1502">
        <v>19.829999999999998</v>
      </c>
      <c r="H1502">
        <v>9.73</v>
      </c>
      <c r="I1502">
        <v>20.67</v>
      </c>
    </row>
    <row r="1503" spans="1:9" x14ac:dyDescent="0.25">
      <c r="A1503" s="2">
        <v>43770</v>
      </c>
      <c r="B1503">
        <v>15.2</v>
      </c>
      <c r="C1503">
        <v>13.7</v>
      </c>
      <c r="D1503">
        <v>13.74</v>
      </c>
      <c r="E1503">
        <v>26.08</v>
      </c>
      <c r="F1503">
        <v>9.64</v>
      </c>
      <c r="G1503">
        <v>19.670000000000002</v>
      </c>
      <c r="H1503">
        <v>9.6300000000000008</v>
      </c>
      <c r="I1503">
        <v>20.55</v>
      </c>
    </row>
    <row r="1504" spans="1:9" x14ac:dyDescent="0.25">
      <c r="A1504" s="2">
        <v>43773</v>
      </c>
      <c r="B1504">
        <v>15.35</v>
      </c>
      <c r="C1504">
        <v>13.86</v>
      </c>
      <c r="D1504">
        <v>13.76</v>
      </c>
      <c r="E1504">
        <v>26.04</v>
      </c>
      <c r="F1504">
        <v>9.75</v>
      </c>
      <c r="G1504">
        <v>19.600000000000001</v>
      </c>
      <c r="H1504">
        <v>9.7200000000000006</v>
      </c>
      <c r="I1504">
        <v>20.86</v>
      </c>
    </row>
    <row r="1505" spans="1:9" x14ac:dyDescent="0.25">
      <c r="A1505" s="2">
        <v>43774</v>
      </c>
      <c r="B1505">
        <v>15.44</v>
      </c>
      <c r="C1505">
        <v>13.81</v>
      </c>
      <c r="D1505">
        <v>14.07</v>
      </c>
      <c r="E1505">
        <v>26.34</v>
      </c>
      <c r="F1505">
        <v>9.85</v>
      </c>
      <c r="G1505">
        <v>19.86</v>
      </c>
      <c r="H1505">
        <v>9.7100000000000009</v>
      </c>
      <c r="I1505">
        <v>21.25</v>
      </c>
    </row>
    <row r="1506" spans="1:9" x14ac:dyDescent="0.25">
      <c r="A1506" s="2">
        <v>43775</v>
      </c>
      <c r="B1506">
        <v>15.58</v>
      </c>
      <c r="C1506">
        <v>13.73</v>
      </c>
      <c r="D1506">
        <v>14.32</v>
      </c>
      <c r="E1506">
        <v>26.82</v>
      </c>
      <c r="F1506">
        <v>9.8800000000000008</v>
      </c>
      <c r="G1506">
        <v>20.28</v>
      </c>
      <c r="H1506">
        <v>9.7100000000000009</v>
      </c>
      <c r="I1506">
        <v>21.4</v>
      </c>
    </row>
    <row r="1507" spans="1:9" x14ac:dyDescent="0.25">
      <c r="A1507" s="2">
        <v>43776</v>
      </c>
      <c r="B1507">
        <v>15.64</v>
      </c>
      <c r="C1507">
        <v>13.67</v>
      </c>
      <c r="D1507">
        <v>14.51</v>
      </c>
      <c r="E1507">
        <v>27.09</v>
      </c>
      <c r="F1507">
        <v>9.8800000000000008</v>
      </c>
      <c r="G1507">
        <v>20.46</v>
      </c>
      <c r="H1507">
        <v>9.6999999999999993</v>
      </c>
      <c r="I1507">
        <v>21.48</v>
      </c>
    </row>
    <row r="1508" spans="1:9" x14ac:dyDescent="0.25">
      <c r="A1508" s="2">
        <v>43777</v>
      </c>
      <c r="B1508">
        <v>15.72</v>
      </c>
      <c r="C1508">
        <v>13.66</v>
      </c>
      <c r="D1508">
        <v>14.67</v>
      </c>
      <c r="E1508">
        <v>27.11</v>
      </c>
      <c r="F1508">
        <v>9.9</v>
      </c>
      <c r="G1508">
        <v>20.51</v>
      </c>
      <c r="H1508">
        <v>9.7200000000000006</v>
      </c>
      <c r="I1508">
        <v>21.62</v>
      </c>
    </row>
    <row r="1509" spans="1:9" x14ac:dyDescent="0.25">
      <c r="A1509" s="2">
        <v>43780</v>
      </c>
      <c r="B1509">
        <v>15.69</v>
      </c>
      <c r="C1509">
        <v>13.52</v>
      </c>
      <c r="D1509">
        <v>14.68</v>
      </c>
      <c r="E1509">
        <v>27.26</v>
      </c>
      <c r="F1509">
        <v>9.7799999999999994</v>
      </c>
      <c r="G1509">
        <v>20.7</v>
      </c>
      <c r="H1509">
        <v>9.57</v>
      </c>
      <c r="I1509">
        <v>21.49</v>
      </c>
    </row>
    <row r="1510" spans="1:9" x14ac:dyDescent="0.25">
      <c r="A1510" s="2">
        <v>43781</v>
      </c>
      <c r="B1510">
        <v>15.64</v>
      </c>
      <c r="C1510">
        <v>13.46</v>
      </c>
      <c r="D1510">
        <v>14.76</v>
      </c>
      <c r="E1510">
        <v>27.18</v>
      </c>
      <c r="F1510">
        <v>9.8000000000000007</v>
      </c>
      <c r="G1510">
        <v>20.61</v>
      </c>
      <c r="H1510">
        <v>9.5500000000000007</v>
      </c>
      <c r="I1510">
        <v>21.36</v>
      </c>
    </row>
    <row r="1511" spans="1:9" x14ac:dyDescent="0.25">
      <c r="A1511" s="2">
        <v>43782</v>
      </c>
      <c r="B1511">
        <v>15.63</v>
      </c>
      <c r="C1511">
        <v>13.48</v>
      </c>
      <c r="D1511">
        <v>14.74</v>
      </c>
      <c r="E1511">
        <v>26.93</v>
      </c>
      <c r="F1511">
        <v>9.6999999999999993</v>
      </c>
      <c r="G1511">
        <v>20.48</v>
      </c>
      <c r="H1511">
        <v>9.4700000000000006</v>
      </c>
      <c r="I1511">
        <v>21.52</v>
      </c>
    </row>
    <row r="1512" spans="1:9" x14ac:dyDescent="0.25">
      <c r="A1512" s="2">
        <v>43783</v>
      </c>
      <c r="B1512">
        <v>15.83</v>
      </c>
      <c r="C1512">
        <v>13.57</v>
      </c>
      <c r="D1512">
        <v>14.91</v>
      </c>
      <c r="E1512">
        <v>27.13</v>
      </c>
      <c r="F1512">
        <v>9.7200000000000006</v>
      </c>
      <c r="G1512">
        <v>20.64</v>
      </c>
      <c r="H1512">
        <v>9.42</v>
      </c>
      <c r="I1512">
        <v>21.36</v>
      </c>
    </row>
    <row r="1513" spans="1:9" x14ac:dyDescent="0.25">
      <c r="A1513" s="2">
        <v>43784</v>
      </c>
      <c r="B1513">
        <v>15.76</v>
      </c>
      <c r="C1513">
        <v>13.67</v>
      </c>
      <c r="D1513">
        <v>15.04</v>
      </c>
      <c r="E1513">
        <v>26.92</v>
      </c>
      <c r="F1513">
        <v>9.6999999999999993</v>
      </c>
      <c r="G1513">
        <v>20.54</v>
      </c>
      <c r="H1513">
        <v>9.42</v>
      </c>
      <c r="I1513">
        <v>21.27</v>
      </c>
    </row>
    <row r="1514" spans="1:9" x14ac:dyDescent="0.25">
      <c r="A1514" s="2">
        <v>43788</v>
      </c>
      <c r="B1514">
        <v>15.92</v>
      </c>
      <c r="C1514">
        <v>13.68</v>
      </c>
      <c r="D1514">
        <v>15.05</v>
      </c>
      <c r="E1514">
        <v>26.97</v>
      </c>
      <c r="F1514">
        <v>9.82</v>
      </c>
      <c r="G1514">
        <v>20.53</v>
      </c>
      <c r="H1514">
        <v>9.52</v>
      </c>
      <c r="I1514">
        <v>21.48</v>
      </c>
    </row>
    <row r="1515" spans="1:9" x14ac:dyDescent="0.25">
      <c r="A1515" s="2">
        <v>43789</v>
      </c>
      <c r="B1515">
        <v>16.09</v>
      </c>
      <c r="C1515">
        <v>13.69</v>
      </c>
      <c r="D1515">
        <v>15.12</v>
      </c>
      <c r="E1515">
        <v>27.03</v>
      </c>
      <c r="F1515">
        <v>9.59</v>
      </c>
      <c r="G1515">
        <v>20.68</v>
      </c>
      <c r="H1515">
        <v>9.51</v>
      </c>
      <c r="I1515">
        <v>21.45</v>
      </c>
    </row>
    <row r="1516" spans="1:9" x14ac:dyDescent="0.25">
      <c r="A1516" s="2">
        <v>43790</v>
      </c>
      <c r="B1516">
        <v>16.149999999999999</v>
      </c>
      <c r="C1516">
        <v>13.78</v>
      </c>
      <c r="D1516">
        <v>15.11</v>
      </c>
      <c r="E1516">
        <v>27.01</v>
      </c>
      <c r="F1516">
        <v>9.4499999999999993</v>
      </c>
      <c r="G1516">
        <v>20.68</v>
      </c>
      <c r="H1516">
        <v>9.4600000000000009</v>
      </c>
      <c r="I1516">
        <v>21.35</v>
      </c>
    </row>
    <row r="1517" spans="1:9" x14ac:dyDescent="0.25">
      <c r="A1517" s="2">
        <v>43791</v>
      </c>
      <c r="B1517">
        <v>16.010000000000002</v>
      </c>
      <c r="C1517">
        <v>13.78</v>
      </c>
      <c r="D1517">
        <v>14.9</v>
      </c>
      <c r="E1517">
        <v>26.9</v>
      </c>
      <c r="F1517">
        <v>9.5</v>
      </c>
      <c r="G1517">
        <v>20.63</v>
      </c>
      <c r="H1517">
        <v>9.5</v>
      </c>
      <c r="I1517">
        <v>21.14</v>
      </c>
    </row>
    <row r="1518" spans="1:9" x14ac:dyDescent="0.25">
      <c r="A1518" s="2">
        <v>43794</v>
      </c>
      <c r="B1518">
        <v>15.98</v>
      </c>
      <c r="C1518">
        <v>13.8</v>
      </c>
      <c r="D1518">
        <v>14.84</v>
      </c>
      <c r="E1518">
        <v>26.59</v>
      </c>
      <c r="F1518">
        <v>9.42</v>
      </c>
      <c r="G1518">
        <v>20.420000000000002</v>
      </c>
      <c r="H1518">
        <v>9.4600000000000009</v>
      </c>
      <c r="I1518">
        <v>21.33</v>
      </c>
    </row>
    <row r="1519" spans="1:9" x14ac:dyDescent="0.25">
      <c r="A1519" s="2">
        <v>43795</v>
      </c>
      <c r="B1519">
        <v>16.149999999999999</v>
      </c>
      <c r="C1519">
        <v>13.83</v>
      </c>
      <c r="D1519">
        <v>15.31</v>
      </c>
      <c r="E1519">
        <v>26.89</v>
      </c>
      <c r="F1519">
        <v>9.61</v>
      </c>
      <c r="G1519">
        <v>20.68</v>
      </c>
      <c r="H1519">
        <v>9.56</v>
      </c>
      <c r="I1519">
        <v>21.68</v>
      </c>
    </row>
    <row r="1520" spans="1:9" x14ac:dyDescent="0.25">
      <c r="A1520" s="2">
        <v>43796</v>
      </c>
      <c r="B1520">
        <v>16.47</v>
      </c>
      <c r="C1520">
        <v>13.94</v>
      </c>
      <c r="D1520">
        <v>15.74</v>
      </c>
      <c r="E1520">
        <v>27.46</v>
      </c>
      <c r="F1520">
        <v>9.76</v>
      </c>
      <c r="G1520">
        <v>21.1</v>
      </c>
      <c r="H1520">
        <v>9.57</v>
      </c>
      <c r="I1520">
        <v>21.75</v>
      </c>
    </row>
    <row r="1521" spans="1:9" x14ac:dyDescent="0.25">
      <c r="A1521" s="2">
        <v>43797</v>
      </c>
      <c r="B1521">
        <v>16.57</v>
      </c>
      <c r="C1521">
        <v>14.02</v>
      </c>
      <c r="D1521">
        <v>15.94</v>
      </c>
      <c r="E1521">
        <v>27.58</v>
      </c>
      <c r="F1521">
        <v>9.9</v>
      </c>
      <c r="G1521">
        <v>21.19</v>
      </c>
      <c r="H1521">
        <v>9.58</v>
      </c>
      <c r="I1521">
        <v>21.89</v>
      </c>
    </row>
    <row r="1522" spans="1:9" x14ac:dyDescent="0.25">
      <c r="A1522" s="2">
        <v>43798</v>
      </c>
      <c r="B1522">
        <v>16.690000000000001</v>
      </c>
      <c r="C1522">
        <v>14.01</v>
      </c>
      <c r="D1522">
        <v>16.100000000000001</v>
      </c>
      <c r="E1522">
        <v>27.77</v>
      </c>
      <c r="F1522">
        <v>9.9</v>
      </c>
      <c r="G1522">
        <v>21.33</v>
      </c>
      <c r="H1522">
        <v>9.5399999999999991</v>
      </c>
      <c r="I1522">
        <v>21.82</v>
      </c>
    </row>
    <row r="1523" spans="1:9" x14ac:dyDescent="0.25">
      <c r="A1523" s="2">
        <v>43801</v>
      </c>
      <c r="B1523">
        <v>16.73</v>
      </c>
      <c r="C1523">
        <v>14.03</v>
      </c>
      <c r="D1523">
        <v>16.04</v>
      </c>
      <c r="E1523">
        <v>27.72</v>
      </c>
      <c r="F1523">
        <v>9.89</v>
      </c>
      <c r="G1523">
        <v>21.32</v>
      </c>
      <c r="H1523">
        <v>9.5399999999999991</v>
      </c>
      <c r="I1523">
        <v>21.65</v>
      </c>
    </row>
    <row r="1524" spans="1:9" x14ac:dyDescent="0.25">
      <c r="A1524" s="2">
        <v>43802</v>
      </c>
      <c r="B1524">
        <v>16.329999999999998</v>
      </c>
      <c r="C1524">
        <v>13.88</v>
      </c>
      <c r="D1524">
        <v>15.46</v>
      </c>
      <c r="E1524">
        <v>27.38</v>
      </c>
      <c r="F1524">
        <v>9.81</v>
      </c>
      <c r="G1524">
        <v>21.18</v>
      </c>
      <c r="H1524">
        <v>9.5299999999999994</v>
      </c>
      <c r="I1524">
        <v>20.86</v>
      </c>
    </row>
    <row r="1525" spans="1:9" x14ac:dyDescent="0.25">
      <c r="A1525" s="2">
        <v>43803</v>
      </c>
      <c r="B1525">
        <v>16.079999999999998</v>
      </c>
      <c r="C1525">
        <v>13.88</v>
      </c>
      <c r="D1525">
        <v>14.64</v>
      </c>
      <c r="E1525">
        <v>26.65</v>
      </c>
      <c r="F1525">
        <v>9.48</v>
      </c>
      <c r="G1525">
        <v>20.51</v>
      </c>
      <c r="H1525">
        <v>9.32</v>
      </c>
      <c r="I1525">
        <v>20.7</v>
      </c>
    </row>
    <row r="1526" spans="1:9" x14ac:dyDescent="0.25">
      <c r="A1526" s="2">
        <v>43804</v>
      </c>
      <c r="B1526">
        <v>15.96</v>
      </c>
      <c r="C1526">
        <v>13.96</v>
      </c>
      <c r="D1526">
        <v>14.7</v>
      </c>
      <c r="E1526">
        <v>26.37</v>
      </c>
      <c r="F1526">
        <v>9.51</v>
      </c>
      <c r="G1526">
        <v>20.12</v>
      </c>
      <c r="H1526">
        <v>9.4499999999999993</v>
      </c>
      <c r="I1526">
        <v>21.11</v>
      </c>
    </row>
    <row r="1527" spans="1:9" x14ac:dyDescent="0.25">
      <c r="A1527" s="2">
        <v>43805</v>
      </c>
      <c r="B1527">
        <v>16.03</v>
      </c>
      <c r="C1527">
        <v>13.9</v>
      </c>
      <c r="D1527">
        <v>14.76</v>
      </c>
      <c r="E1527">
        <v>26.73</v>
      </c>
      <c r="F1527">
        <v>9.57</v>
      </c>
      <c r="G1527">
        <v>20.53</v>
      </c>
      <c r="H1527">
        <v>9.48</v>
      </c>
      <c r="I1527">
        <v>20.97</v>
      </c>
    </row>
    <row r="1528" spans="1:9" x14ac:dyDescent="0.25">
      <c r="A1528" s="2">
        <v>43808</v>
      </c>
      <c r="B1528">
        <v>16.100000000000001</v>
      </c>
      <c r="C1528">
        <v>13.84</v>
      </c>
      <c r="D1528">
        <v>14.97</v>
      </c>
      <c r="E1528">
        <v>26.7</v>
      </c>
      <c r="F1528">
        <v>9.56</v>
      </c>
      <c r="G1528">
        <v>20.52</v>
      </c>
      <c r="H1528">
        <v>9.4499999999999993</v>
      </c>
      <c r="I1528">
        <v>21.48</v>
      </c>
    </row>
    <row r="1529" spans="1:9" x14ac:dyDescent="0.25">
      <c r="A1529" s="2">
        <v>43809</v>
      </c>
      <c r="B1529">
        <v>16.38</v>
      </c>
      <c r="C1529">
        <v>13.86</v>
      </c>
      <c r="D1529">
        <v>15.42</v>
      </c>
      <c r="E1529">
        <v>27.34</v>
      </c>
      <c r="F1529">
        <v>9.75</v>
      </c>
      <c r="G1529">
        <v>21.11</v>
      </c>
      <c r="H1529">
        <v>9.56</v>
      </c>
      <c r="I1529">
        <v>21.4</v>
      </c>
    </row>
    <row r="1530" spans="1:9" x14ac:dyDescent="0.25">
      <c r="A1530" s="2">
        <v>43810</v>
      </c>
      <c r="B1530">
        <v>16.28</v>
      </c>
      <c r="C1530">
        <v>13.92</v>
      </c>
      <c r="D1530">
        <v>15.26</v>
      </c>
      <c r="E1530">
        <v>27.35</v>
      </c>
      <c r="F1530">
        <v>9.85</v>
      </c>
      <c r="G1530">
        <v>21.1</v>
      </c>
      <c r="H1530">
        <v>9.66</v>
      </c>
      <c r="I1530">
        <v>21.32</v>
      </c>
    </row>
    <row r="1531" spans="1:9" x14ac:dyDescent="0.25">
      <c r="A1531" s="2">
        <v>43811</v>
      </c>
      <c r="B1531">
        <v>16.29</v>
      </c>
      <c r="C1531">
        <v>13.97</v>
      </c>
      <c r="D1531">
        <v>15.19</v>
      </c>
      <c r="E1531">
        <v>27.22</v>
      </c>
      <c r="F1531">
        <v>9.85</v>
      </c>
      <c r="G1531">
        <v>20.91</v>
      </c>
      <c r="H1531">
        <v>9.65</v>
      </c>
      <c r="I1531">
        <v>21.49</v>
      </c>
    </row>
    <row r="1532" spans="1:9" x14ac:dyDescent="0.25">
      <c r="A1532" s="2">
        <v>43812</v>
      </c>
      <c r="B1532">
        <v>16.27</v>
      </c>
      <c r="C1532">
        <v>13.9</v>
      </c>
      <c r="D1532">
        <v>15.34</v>
      </c>
      <c r="E1532">
        <v>27.51</v>
      </c>
      <c r="F1532">
        <v>10.01</v>
      </c>
      <c r="G1532">
        <v>21.04</v>
      </c>
      <c r="H1532">
        <v>9.77</v>
      </c>
      <c r="I1532">
        <v>21.64</v>
      </c>
    </row>
    <row r="1533" spans="1:9" x14ac:dyDescent="0.25">
      <c r="A1533" s="2">
        <v>43815</v>
      </c>
      <c r="B1533">
        <v>16.440000000000001</v>
      </c>
      <c r="C1533">
        <v>13.87</v>
      </c>
      <c r="D1533">
        <v>15.3</v>
      </c>
      <c r="E1533">
        <v>27.72</v>
      </c>
      <c r="F1533">
        <v>9.9</v>
      </c>
      <c r="G1533">
        <v>21.19</v>
      </c>
      <c r="H1533">
        <v>9.74</v>
      </c>
      <c r="I1533">
        <v>21.87</v>
      </c>
    </row>
    <row r="1534" spans="1:9" x14ac:dyDescent="0.25">
      <c r="A1534" s="2">
        <v>43816</v>
      </c>
      <c r="B1534">
        <v>16.690000000000001</v>
      </c>
      <c r="C1534">
        <v>13.97</v>
      </c>
      <c r="D1534">
        <v>15.76</v>
      </c>
      <c r="E1534">
        <v>28.17</v>
      </c>
      <c r="F1534">
        <v>10.06</v>
      </c>
      <c r="G1534">
        <v>21.59</v>
      </c>
      <c r="H1534">
        <v>9.85</v>
      </c>
      <c r="I1534">
        <v>22.32</v>
      </c>
    </row>
    <row r="1535" spans="1:9" x14ac:dyDescent="0.25">
      <c r="A1535" s="2">
        <v>43817</v>
      </c>
      <c r="B1535">
        <v>16.84</v>
      </c>
      <c r="C1535">
        <v>14.01</v>
      </c>
      <c r="D1535">
        <v>16.010000000000002</v>
      </c>
      <c r="E1535">
        <v>28.54</v>
      </c>
      <c r="F1535">
        <v>10.09</v>
      </c>
      <c r="G1535">
        <v>22.07</v>
      </c>
      <c r="H1535">
        <v>9.92</v>
      </c>
      <c r="I1535">
        <v>22.21</v>
      </c>
    </row>
    <row r="1536" spans="1:9" x14ac:dyDescent="0.25">
      <c r="A1536" s="2">
        <v>43818</v>
      </c>
      <c r="B1536">
        <v>16.79</v>
      </c>
      <c r="C1536">
        <v>14.01</v>
      </c>
      <c r="D1536">
        <v>16.010000000000002</v>
      </c>
      <c r="E1536">
        <v>28.59</v>
      </c>
      <c r="F1536">
        <v>10.18</v>
      </c>
      <c r="G1536">
        <v>22.03</v>
      </c>
      <c r="H1536">
        <v>9.99</v>
      </c>
      <c r="I1536">
        <v>22.31</v>
      </c>
    </row>
    <row r="1537" spans="1:9" x14ac:dyDescent="0.25">
      <c r="A1537" s="2">
        <v>43819</v>
      </c>
      <c r="B1537">
        <v>16.84</v>
      </c>
      <c r="C1537">
        <v>14</v>
      </c>
      <c r="D1537">
        <v>15.93</v>
      </c>
      <c r="E1537">
        <v>28.8</v>
      </c>
      <c r="F1537">
        <v>10.33</v>
      </c>
      <c r="G1537">
        <v>22.1</v>
      </c>
      <c r="H1537">
        <v>10</v>
      </c>
      <c r="I1537">
        <v>22.29</v>
      </c>
    </row>
    <row r="1538" spans="1:9" x14ac:dyDescent="0.25">
      <c r="A1538" s="2">
        <v>43822</v>
      </c>
      <c r="B1538">
        <v>16.97</v>
      </c>
      <c r="C1538">
        <v>13.99</v>
      </c>
      <c r="D1538">
        <v>16.23</v>
      </c>
      <c r="E1538">
        <v>28.8</v>
      </c>
      <c r="F1538">
        <v>10.28</v>
      </c>
      <c r="G1538">
        <v>22.12</v>
      </c>
      <c r="H1538">
        <v>9.9700000000000006</v>
      </c>
      <c r="I1538">
        <v>22.69</v>
      </c>
    </row>
    <row r="1539" spans="1:9" x14ac:dyDescent="0.25">
      <c r="A1539" s="2">
        <v>43826</v>
      </c>
      <c r="B1539">
        <v>17.149999999999999</v>
      </c>
      <c r="C1539">
        <v>14.01</v>
      </c>
      <c r="D1539">
        <v>16.54</v>
      </c>
      <c r="E1539">
        <v>29.16</v>
      </c>
      <c r="F1539">
        <v>10.4</v>
      </c>
      <c r="G1539">
        <v>22.56</v>
      </c>
      <c r="H1539">
        <v>10.039999999999999</v>
      </c>
      <c r="I1539">
        <v>22.65</v>
      </c>
    </row>
    <row r="1540" spans="1:9" x14ac:dyDescent="0.25">
      <c r="A1540" s="2">
        <v>43829</v>
      </c>
      <c r="B1540">
        <v>17.22</v>
      </c>
      <c r="C1540">
        <v>14.05</v>
      </c>
      <c r="D1540">
        <v>16.440000000000001</v>
      </c>
      <c r="E1540">
        <v>29.31</v>
      </c>
      <c r="F1540">
        <v>10.53</v>
      </c>
      <c r="G1540">
        <v>22.66</v>
      </c>
      <c r="H1540">
        <v>10.1</v>
      </c>
      <c r="I1540">
        <v>22.67</v>
      </c>
    </row>
    <row r="1541" spans="1:9" x14ac:dyDescent="0.25">
      <c r="A1541" s="2">
        <v>43830</v>
      </c>
      <c r="B1541">
        <v>16.88</v>
      </c>
      <c r="C1541">
        <v>13.9</v>
      </c>
      <c r="D1541">
        <v>15.73</v>
      </c>
      <c r="E1541">
        <v>29.03</v>
      </c>
      <c r="F1541">
        <v>10.34</v>
      </c>
      <c r="G1541">
        <v>22.73</v>
      </c>
      <c r="H1541">
        <v>10.16</v>
      </c>
      <c r="I1541">
        <v>22.32</v>
      </c>
    </row>
    <row r="1542" spans="1:9" x14ac:dyDescent="0.25">
      <c r="A1542" s="2">
        <v>43832</v>
      </c>
      <c r="B1542">
        <v>17.100000000000001</v>
      </c>
      <c r="C1542">
        <v>13.99</v>
      </c>
      <c r="D1542">
        <v>16.239999999999998</v>
      </c>
      <c r="E1542">
        <v>29.4</v>
      </c>
      <c r="F1542">
        <v>10.53</v>
      </c>
      <c r="G1542">
        <v>22.73</v>
      </c>
      <c r="H1542">
        <v>10.16</v>
      </c>
      <c r="I1542">
        <v>22.35</v>
      </c>
    </row>
    <row r="1543" spans="1:9" x14ac:dyDescent="0.25">
      <c r="A1543" s="2">
        <v>43833</v>
      </c>
      <c r="B1543">
        <v>16.95</v>
      </c>
      <c r="C1543">
        <v>14</v>
      </c>
      <c r="D1543">
        <v>15.95</v>
      </c>
      <c r="E1543">
        <v>29.02</v>
      </c>
      <c r="F1543">
        <v>10.35</v>
      </c>
      <c r="G1543">
        <v>22.34</v>
      </c>
      <c r="H1543">
        <v>10.07</v>
      </c>
      <c r="I1543">
        <v>22.64</v>
      </c>
    </row>
    <row r="1544" spans="1:9" x14ac:dyDescent="0.25">
      <c r="A1544" s="2">
        <v>43836</v>
      </c>
      <c r="B1544">
        <v>17.36</v>
      </c>
      <c r="C1544">
        <v>14.2</v>
      </c>
      <c r="D1544">
        <v>16.45</v>
      </c>
      <c r="E1544">
        <v>29.51</v>
      </c>
      <c r="F1544">
        <v>10.48</v>
      </c>
      <c r="G1544">
        <v>22.61</v>
      </c>
      <c r="H1544">
        <v>10.16</v>
      </c>
      <c r="I1544">
        <v>22.66</v>
      </c>
    </row>
    <row r="1545" spans="1:9" x14ac:dyDescent="0.25">
      <c r="A1545" s="2">
        <v>43837</v>
      </c>
      <c r="B1545">
        <v>17.21</v>
      </c>
      <c r="C1545">
        <v>14.27</v>
      </c>
      <c r="D1545">
        <v>16.45</v>
      </c>
      <c r="E1545">
        <v>29.51</v>
      </c>
      <c r="F1545">
        <v>10.61</v>
      </c>
      <c r="G1545">
        <v>22.62</v>
      </c>
      <c r="H1545">
        <v>10.28</v>
      </c>
      <c r="I1545">
        <v>22.5</v>
      </c>
    </row>
    <row r="1546" spans="1:9" x14ac:dyDescent="0.25">
      <c r="A1546" s="2">
        <v>43838</v>
      </c>
      <c r="B1546">
        <v>17.190000000000001</v>
      </c>
      <c r="C1546">
        <v>14.28</v>
      </c>
      <c r="D1546">
        <v>16.489999999999998</v>
      </c>
      <c r="E1546">
        <v>29.15</v>
      </c>
      <c r="F1546">
        <v>10.5</v>
      </c>
      <c r="G1546">
        <v>22.34</v>
      </c>
      <c r="H1546">
        <v>10.26</v>
      </c>
      <c r="I1546">
        <v>22.67</v>
      </c>
    </row>
    <row r="1547" spans="1:9" x14ac:dyDescent="0.25">
      <c r="A1547" s="2">
        <v>43839</v>
      </c>
      <c r="B1547">
        <v>17.309999999999999</v>
      </c>
      <c r="C1547">
        <v>14.26</v>
      </c>
      <c r="D1547">
        <v>16.68</v>
      </c>
      <c r="E1547">
        <v>29.45</v>
      </c>
      <c r="F1547">
        <v>10.66</v>
      </c>
      <c r="G1547">
        <v>22.62</v>
      </c>
      <c r="H1547">
        <v>10.28</v>
      </c>
      <c r="I1547">
        <v>22.87</v>
      </c>
    </row>
    <row r="1548" spans="1:9" x14ac:dyDescent="0.25">
      <c r="A1548" s="2">
        <v>43840</v>
      </c>
      <c r="B1548">
        <v>17.41</v>
      </c>
      <c r="C1548">
        <v>14.12</v>
      </c>
      <c r="D1548">
        <v>16.850000000000001</v>
      </c>
      <c r="E1548">
        <v>29.67</v>
      </c>
      <c r="F1548">
        <v>10.72</v>
      </c>
      <c r="G1548">
        <v>22.71</v>
      </c>
      <c r="H1548">
        <v>10.28</v>
      </c>
      <c r="I1548">
        <v>23.01</v>
      </c>
    </row>
    <row r="1549" spans="1:9" x14ac:dyDescent="0.25">
      <c r="A1549" s="2">
        <v>43843</v>
      </c>
      <c r="B1549">
        <v>17.73</v>
      </c>
      <c r="C1549">
        <v>14.2</v>
      </c>
      <c r="D1549">
        <v>17.12</v>
      </c>
      <c r="E1549">
        <v>30.01</v>
      </c>
      <c r="F1549">
        <v>10.7</v>
      </c>
      <c r="G1549">
        <v>23.03</v>
      </c>
      <c r="H1549">
        <v>10.29</v>
      </c>
      <c r="I1549">
        <v>23.1</v>
      </c>
    </row>
    <row r="1550" spans="1:9" x14ac:dyDescent="0.25">
      <c r="A1550" s="2">
        <v>43844</v>
      </c>
      <c r="B1550">
        <v>17.690000000000001</v>
      </c>
      <c r="C1550">
        <v>14.23</v>
      </c>
      <c r="D1550">
        <v>16.97</v>
      </c>
      <c r="E1550">
        <v>30.15</v>
      </c>
      <c r="F1550">
        <v>10.76</v>
      </c>
      <c r="G1550">
        <v>23.07</v>
      </c>
      <c r="H1550">
        <v>10.37</v>
      </c>
      <c r="I1550">
        <v>23</v>
      </c>
    </row>
    <row r="1551" spans="1:9" x14ac:dyDescent="0.25">
      <c r="A1551" s="2">
        <v>43845</v>
      </c>
      <c r="B1551">
        <v>17.86</v>
      </c>
      <c r="C1551">
        <v>14.32</v>
      </c>
      <c r="D1551">
        <v>17.059999999999999</v>
      </c>
      <c r="E1551">
        <v>30.15</v>
      </c>
      <c r="F1551">
        <v>10.67</v>
      </c>
      <c r="G1551">
        <v>22.97</v>
      </c>
      <c r="H1551">
        <v>10.28</v>
      </c>
      <c r="I1551">
        <v>23.1</v>
      </c>
    </row>
    <row r="1552" spans="1:9" x14ac:dyDescent="0.25">
      <c r="A1552" s="2">
        <v>43846</v>
      </c>
      <c r="B1552">
        <v>17.87</v>
      </c>
      <c r="C1552">
        <v>14.4</v>
      </c>
      <c r="D1552">
        <v>17.149999999999999</v>
      </c>
      <c r="E1552">
        <v>30.24</v>
      </c>
      <c r="F1552">
        <v>10.69</v>
      </c>
      <c r="G1552">
        <v>23.14</v>
      </c>
      <c r="H1552">
        <v>10.33</v>
      </c>
      <c r="I1552">
        <v>23.12</v>
      </c>
    </row>
    <row r="1553" spans="1:9" x14ac:dyDescent="0.25">
      <c r="A1553" s="2">
        <v>43847</v>
      </c>
      <c r="B1553">
        <v>17.88</v>
      </c>
      <c r="C1553">
        <v>14.42</v>
      </c>
      <c r="D1553">
        <v>17.22</v>
      </c>
      <c r="E1553">
        <v>30.25</v>
      </c>
      <c r="F1553">
        <v>10.75</v>
      </c>
      <c r="G1553">
        <v>23.13</v>
      </c>
      <c r="H1553">
        <v>10.36</v>
      </c>
      <c r="I1553">
        <v>23.23</v>
      </c>
    </row>
    <row r="1554" spans="1:9" x14ac:dyDescent="0.25">
      <c r="A1554" s="2">
        <v>43850</v>
      </c>
      <c r="B1554">
        <v>18.12</v>
      </c>
      <c r="C1554">
        <v>14.47</v>
      </c>
      <c r="D1554">
        <v>17.670000000000002</v>
      </c>
      <c r="E1554">
        <v>30.39</v>
      </c>
      <c r="F1554">
        <v>10.77</v>
      </c>
      <c r="G1554">
        <v>23.33</v>
      </c>
      <c r="H1554">
        <v>10.41</v>
      </c>
      <c r="I1554">
        <v>23.58</v>
      </c>
    </row>
    <row r="1555" spans="1:9" x14ac:dyDescent="0.25">
      <c r="A1555" s="2">
        <v>43851</v>
      </c>
      <c r="B1555">
        <v>18.38</v>
      </c>
      <c r="C1555">
        <v>14.52</v>
      </c>
      <c r="D1555">
        <v>18.010000000000002</v>
      </c>
      <c r="E1555">
        <v>30.82</v>
      </c>
      <c r="F1555">
        <v>10.88</v>
      </c>
      <c r="G1555">
        <v>23.81</v>
      </c>
      <c r="H1555">
        <v>10.46</v>
      </c>
      <c r="I1555">
        <v>23.63</v>
      </c>
    </row>
    <row r="1556" spans="1:9" x14ac:dyDescent="0.25">
      <c r="A1556" s="2">
        <v>43852</v>
      </c>
      <c r="B1556">
        <v>18.45</v>
      </c>
      <c r="C1556">
        <v>14.61</v>
      </c>
      <c r="D1556">
        <v>18.010000000000002</v>
      </c>
      <c r="E1556">
        <v>30.87</v>
      </c>
      <c r="F1556">
        <v>10.92</v>
      </c>
      <c r="G1556">
        <v>23.83</v>
      </c>
      <c r="H1556">
        <v>10.46</v>
      </c>
      <c r="I1556">
        <v>23.68</v>
      </c>
    </row>
    <row r="1557" spans="1:9" x14ac:dyDescent="0.25">
      <c r="A1557" s="2">
        <v>43853</v>
      </c>
      <c r="B1557">
        <v>18.43</v>
      </c>
      <c r="C1557">
        <v>14.75</v>
      </c>
      <c r="D1557">
        <v>18.14</v>
      </c>
      <c r="E1557">
        <v>30.62</v>
      </c>
      <c r="F1557">
        <v>10.91</v>
      </c>
      <c r="G1557">
        <v>23.72</v>
      </c>
      <c r="H1557">
        <v>10.5</v>
      </c>
      <c r="I1557">
        <v>23.77</v>
      </c>
    </row>
    <row r="1558" spans="1:9" x14ac:dyDescent="0.25">
      <c r="A1558" s="2">
        <v>43854</v>
      </c>
      <c r="B1558">
        <v>18.559999999999999</v>
      </c>
      <c r="C1558">
        <v>14.86</v>
      </c>
      <c r="D1558">
        <v>18.23</v>
      </c>
      <c r="E1558">
        <v>30.8</v>
      </c>
      <c r="F1558">
        <v>10.99</v>
      </c>
      <c r="G1558">
        <v>23.87</v>
      </c>
      <c r="H1558">
        <v>10.59</v>
      </c>
      <c r="I1558">
        <v>23.66</v>
      </c>
    </row>
    <row r="1559" spans="1:9" x14ac:dyDescent="0.25">
      <c r="A1559" s="2">
        <v>43857</v>
      </c>
      <c r="B1559">
        <v>18.63</v>
      </c>
      <c r="C1559">
        <v>14.98</v>
      </c>
      <c r="D1559">
        <v>18.55</v>
      </c>
      <c r="E1559">
        <v>30.66</v>
      </c>
      <c r="F1559">
        <v>11.06</v>
      </c>
      <c r="G1559">
        <v>23.64</v>
      </c>
      <c r="H1559">
        <v>10.64</v>
      </c>
      <c r="I1559">
        <v>23.98</v>
      </c>
    </row>
    <row r="1560" spans="1:9" x14ac:dyDescent="0.25">
      <c r="A1560" s="2">
        <v>43858</v>
      </c>
      <c r="B1560">
        <v>18.54</v>
      </c>
      <c r="C1560">
        <v>15.14</v>
      </c>
      <c r="D1560">
        <v>18.28</v>
      </c>
      <c r="E1560">
        <v>30.8</v>
      </c>
      <c r="F1560">
        <v>11.12</v>
      </c>
      <c r="G1560">
        <v>24.01</v>
      </c>
      <c r="H1560">
        <v>10.71</v>
      </c>
      <c r="I1560">
        <v>23.2</v>
      </c>
    </row>
    <row r="1561" spans="1:9" x14ac:dyDescent="0.25">
      <c r="A1561" s="2">
        <v>43859</v>
      </c>
      <c r="B1561">
        <v>18.149999999999999</v>
      </c>
      <c r="C1561">
        <v>15.18</v>
      </c>
      <c r="D1561">
        <v>17.940000000000001</v>
      </c>
      <c r="E1561">
        <v>29.83</v>
      </c>
      <c r="F1561">
        <v>11.04</v>
      </c>
      <c r="G1561">
        <v>22.98</v>
      </c>
      <c r="H1561">
        <v>10.63</v>
      </c>
      <c r="I1561">
        <v>23.46</v>
      </c>
    </row>
    <row r="1562" spans="1:9" x14ac:dyDescent="0.25">
      <c r="A1562" s="2">
        <v>43860</v>
      </c>
      <c r="B1562">
        <v>18.399999999999999</v>
      </c>
      <c r="C1562">
        <v>15.21</v>
      </c>
      <c r="D1562">
        <v>18.29</v>
      </c>
      <c r="E1562">
        <v>30.32</v>
      </c>
      <c r="F1562">
        <v>11.3</v>
      </c>
      <c r="G1562">
        <v>23.27</v>
      </c>
      <c r="H1562">
        <v>10.67</v>
      </c>
      <c r="I1562">
        <v>23.66</v>
      </c>
    </row>
    <row r="1563" spans="1:9" x14ac:dyDescent="0.25">
      <c r="A1563" s="2">
        <v>43861</v>
      </c>
      <c r="B1563">
        <v>18.399999999999999</v>
      </c>
      <c r="C1563">
        <v>15.31</v>
      </c>
      <c r="D1563">
        <v>18.2</v>
      </c>
      <c r="E1563">
        <v>30.62</v>
      </c>
      <c r="F1563">
        <v>11.51</v>
      </c>
      <c r="G1563">
        <v>23.51</v>
      </c>
      <c r="H1563">
        <v>10.8</v>
      </c>
      <c r="I1563">
        <v>23.27</v>
      </c>
    </row>
    <row r="1564" spans="1:9" x14ac:dyDescent="0.25">
      <c r="A1564" s="2">
        <v>43864</v>
      </c>
      <c r="B1564">
        <v>18.260000000000002</v>
      </c>
      <c r="C1564">
        <v>15.39</v>
      </c>
      <c r="D1564">
        <v>18.02</v>
      </c>
      <c r="E1564">
        <v>29.93</v>
      </c>
      <c r="F1564">
        <v>11.42</v>
      </c>
      <c r="G1564">
        <v>22.95</v>
      </c>
      <c r="H1564">
        <v>10.72</v>
      </c>
      <c r="I1564">
        <v>22.89</v>
      </c>
    </row>
    <row r="1565" spans="1:9" x14ac:dyDescent="0.25">
      <c r="A1565" s="2">
        <v>43865</v>
      </c>
      <c r="B1565">
        <v>17.850000000000001</v>
      </c>
      <c r="C1565">
        <v>15.38</v>
      </c>
      <c r="D1565">
        <v>17.46</v>
      </c>
      <c r="E1565">
        <v>29.34</v>
      </c>
      <c r="F1565">
        <v>11.43</v>
      </c>
      <c r="G1565">
        <v>22.53</v>
      </c>
      <c r="H1565">
        <v>10.72</v>
      </c>
      <c r="I1565">
        <v>23.1</v>
      </c>
    </row>
    <row r="1566" spans="1:9" x14ac:dyDescent="0.25">
      <c r="A1566" s="2">
        <v>43866</v>
      </c>
      <c r="B1566">
        <v>18.13</v>
      </c>
      <c r="C1566">
        <v>15.36</v>
      </c>
      <c r="D1566">
        <v>17.82</v>
      </c>
      <c r="E1566">
        <v>29.56</v>
      </c>
      <c r="F1566">
        <v>11.48</v>
      </c>
      <c r="G1566">
        <v>22.58</v>
      </c>
      <c r="H1566">
        <v>10.79</v>
      </c>
      <c r="I1566">
        <v>23.81</v>
      </c>
    </row>
    <row r="1567" spans="1:9" x14ac:dyDescent="0.25">
      <c r="A1567" s="2">
        <v>43867</v>
      </c>
      <c r="B1567">
        <v>18.61</v>
      </c>
      <c r="C1567">
        <v>15.26</v>
      </c>
      <c r="D1567">
        <v>18.510000000000002</v>
      </c>
      <c r="E1567">
        <v>30.53</v>
      </c>
      <c r="F1567">
        <v>11.51</v>
      </c>
      <c r="G1567">
        <v>23.39</v>
      </c>
      <c r="H1567">
        <v>10.83</v>
      </c>
      <c r="I1567">
        <v>24.15</v>
      </c>
    </row>
    <row r="1568" spans="1:9" x14ac:dyDescent="0.25">
      <c r="A1568" s="2">
        <v>43868</v>
      </c>
      <c r="B1568">
        <v>18.98</v>
      </c>
      <c r="C1568">
        <v>15.25</v>
      </c>
      <c r="D1568">
        <v>19.02</v>
      </c>
      <c r="E1568">
        <v>31.04</v>
      </c>
      <c r="F1568">
        <v>11.62</v>
      </c>
      <c r="G1568">
        <v>24.07</v>
      </c>
      <c r="H1568">
        <v>10.87</v>
      </c>
      <c r="I1568">
        <v>24.49</v>
      </c>
    </row>
    <row r="1569" spans="1:9" x14ac:dyDescent="0.25">
      <c r="A1569" s="2">
        <v>43871</v>
      </c>
      <c r="B1569">
        <v>19.21</v>
      </c>
      <c r="C1569">
        <v>15.38</v>
      </c>
      <c r="D1569">
        <v>19.39</v>
      </c>
      <c r="E1569">
        <v>31.51</v>
      </c>
      <c r="F1569">
        <v>11.75</v>
      </c>
      <c r="G1569">
        <v>24.33</v>
      </c>
      <c r="H1569">
        <v>10.86</v>
      </c>
      <c r="I1569">
        <v>24.51</v>
      </c>
    </row>
    <row r="1570" spans="1:9" x14ac:dyDescent="0.25">
      <c r="A1570" s="2">
        <v>43872</v>
      </c>
      <c r="B1570">
        <v>19.170000000000002</v>
      </c>
      <c r="C1570">
        <v>15.54</v>
      </c>
      <c r="D1570">
        <v>19.420000000000002</v>
      </c>
      <c r="E1570">
        <v>31.36</v>
      </c>
      <c r="F1570">
        <v>11.85</v>
      </c>
      <c r="G1570">
        <v>24.25</v>
      </c>
      <c r="H1570">
        <v>10.87</v>
      </c>
      <c r="I1570">
        <v>24.68</v>
      </c>
    </row>
    <row r="1571" spans="1:9" x14ac:dyDescent="0.25">
      <c r="A1571" s="2">
        <v>43873</v>
      </c>
      <c r="B1571">
        <v>19.46</v>
      </c>
      <c r="C1571">
        <v>15.63</v>
      </c>
      <c r="D1571">
        <v>19.93</v>
      </c>
      <c r="E1571">
        <v>31.54</v>
      </c>
      <c r="F1571">
        <v>11.97</v>
      </c>
      <c r="G1571">
        <v>24.34</v>
      </c>
      <c r="H1571">
        <v>10.95</v>
      </c>
      <c r="I1571">
        <v>25</v>
      </c>
    </row>
    <row r="1572" spans="1:9" x14ac:dyDescent="0.25">
      <c r="A1572" s="2">
        <v>43874</v>
      </c>
      <c r="B1572">
        <v>19.579999999999998</v>
      </c>
      <c r="C1572">
        <v>15.57</v>
      </c>
      <c r="D1572">
        <v>20.12</v>
      </c>
      <c r="E1572">
        <v>32.04</v>
      </c>
      <c r="F1572">
        <v>12.05</v>
      </c>
      <c r="G1572">
        <v>24.87</v>
      </c>
      <c r="H1572">
        <v>11.02</v>
      </c>
      <c r="I1572">
        <v>25.34</v>
      </c>
    </row>
    <row r="1573" spans="1:9" x14ac:dyDescent="0.25">
      <c r="A1573" s="2">
        <v>43875</v>
      </c>
      <c r="B1573">
        <v>19.87</v>
      </c>
      <c r="C1573">
        <v>15.62</v>
      </c>
      <c r="D1573">
        <v>20.53</v>
      </c>
      <c r="E1573">
        <v>32.5</v>
      </c>
      <c r="F1573">
        <v>12.02</v>
      </c>
      <c r="G1573">
        <v>25.23</v>
      </c>
      <c r="H1573">
        <v>11.08</v>
      </c>
      <c r="I1573">
        <v>25.56</v>
      </c>
    </row>
    <row r="1574" spans="1:9" x14ac:dyDescent="0.25">
      <c r="A1574" s="2">
        <v>43878</v>
      </c>
      <c r="B1574">
        <v>20.059999999999999</v>
      </c>
      <c r="C1574">
        <v>15.73</v>
      </c>
      <c r="D1574">
        <v>20.73</v>
      </c>
      <c r="E1574">
        <v>32.64</v>
      </c>
      <c r="F1574">
        <v>12.18</v>
      </c>
      <c r="G1574">
        <v>25.33</v>
      </c>
      <c r="H1574">
        <v>11.13</v>
      </c>
      <c r="I1574">
        <v>25.61</v>
      </c>
    </row>
    <row r="1575" spans="1:9" x14ac:dyDescent="0.25">
      <c r="A1575" s="2">
        <v>43879</v>
      </c>
      <c r="B1575">
        <v>20.21</v>
      </c>
      <c r="C1575">
        <v>15.81</v>
      </c>
      <c r="D1575">
        <v>20.81</v>
      </c>
      <c r="E1575">
        <v>32.770000000000003</v>
      </c>
      <c r="F1575">
        <v>12.33</v>
      </c>
      <c r="G1575">
        <v>25.42</v>
      </c>
      <c r="H1575">
        <v>11.23</v>
      </c>
      <c r="I1575">
        <v>25.79</v>
      </c>
    </row>
    <row r="1576" spans="1:9" x14ac:dyDescent="0.25">
      <c r="A1576" s="2">
        <v>43880</v>
      </c>
      <c r="B1576">
        <v>20.28</v>
      </c>
      <c r="C1576">
        <v>15.91</v>
      </c>
      <c r="D1576">
        <v>20.84</v>
      </c>
      <c r="E1576">
        <v>32.950000000000003</v>
      </c>
      <c r="F1576">
        <v>12.38</v>
      </c>
      <c r="G1576">
        <v>25.56</v>
      </c>
      <c r="H1576">
        <v>11.23</v>
      </c>
      <c r="I1576">
        <v>25.61</v>
      </c>
    </row>
    <row r="1577" spans="1:9" x14ac:dyDescent="0.25">
      <c r="A1577" s="2">
        <v>43881</v>
      </c>
      <c r="B1577">
        <v>20.25</v>
      </c>
      <c r="C1577">
        <v>15.97</v>
      </c>
      <c r="D1577">
        <v>20.89</v>
      </c>
      <c r="E1577">
        <v>32.700000000000003</v>
      </c>
      <c r="F1577">
        <v>12.48</v>
      </c>
      <c r="G1577">
        <v>25.34</v>
      </c>
      <c r="H1577">
        <v>11.26</v>
      </c>
      <c r="I1577">
        <v>26.01</v>
      </c>
    </row>
    <row r="1578" spans="1:9" x14ac:dyDescent="0.25">
      <c r="A1578" s="2">
        <v>43882</v>
      </c>
      <c r="B1578">
        <v>20.51</v>
      </c>
      <c r="C1578">
        <v>16.03</v>
      </c>
      <c r="D1578">
        <v>21.09</v>
      </c>
      <c r="E1578">
        <v>33.18</v>
      </c>
      <c r="F1578">
        <v>12.59</v>
      </c>
      <c r="G1578">
        <v>25.81</v>
      </c>
      <c r="H1578">
        <v>11.33</v>
      </c>
      <c r="I1578">
        <v>25.53</v>
      </c>
    </row>
    <row r="1579" spans="1:9" x14ac:dyDescent="0.25">
      <c r="A1579" s="2">
        <v>43885</v>
      </c>
      <c r="B1579">
        <v>20.28</v>
      </c>
      <c r="C1579">
        <v>16.11</v>
      </c>
      <c r="D1579">
        <v>20.77</v>
      </c>
      <c r="E1579">
        <v>32.86</v>
      </c>
      <c r="F1579">
        <v>12.69</v>
      </c>
      <c r="G1579">
        <v>25.38</v>
      </c>
      <c r="H1579">
        <v>11.31</v>
      </c>
      <c r="I1579">
        <v>25.41</v>
      </c>
    </row>
    <row r="1580" spans="1:9" x14ac:dyDescent="0.25">
      <c r="A1580" s="2">
        <v>43886</v>
      </c>
      <c r="B1580">
        <v>19.77</v>
      </c>
      <c r="C1580">
        <v>16.23</v>
      </c>
      <c r="D1580">
        <v>19.920000000000002</v>
      </c>
      <c r="E1580">
        <v>32.4</v>
      </c>
      <c r="F1580">
        <v>12.68</v>
      </c>
      <c r="G1580">
        <v>25.11</v>
      </c>
      <c r="H1580">
        <v>11.29</v>
      </c>
      <c r="I1580">
        <v>23.93</v>
      </c>
    </row>
    <row r="1581" spans="1:9" x14ac:dyDescent="0.25">
      <c r="A1581" s="2">
        <v>43887</v>
      </c>
      <c r="B1581">
        <v>18.77</v>
      </c>
      <c r="C1581">
        <v>16.28</v>
      </c>
      <c r="D1581">
        <v>18.579999999999998</v>
      </c>
      <c r="E1581">
        <v>30.56</v>
      </c>
      <c r="F1581">
        <v>12.51</v>
      </c>
      <c r="G1581">
        <v>23.31</v>
      </c>
      <c r="H1581">
        <v>11.18</v>
      </c>
      <c r="I1581">
        <v>23.28</v>
      </c>
    </row>
    <row r="1582" spans="1:9" x14ac:dyDescent="0.25">
      <c r="A1582" s="2">
        <v>43888</v>
      </c>
      <c r="B1582">
        <v>17.88</v>
      </c>
      <c r="C1582">
        <v>16.18</v>
      </c>
      <c r="D1582">
        <v>17.3</v>
      </c>
      <c r="E1582">
        <v>29.76</v>
      </c>
      <c r="F1582">
        <v>12.37</v>
      </c>
      <c r="G1582">
        <v>22.51</v>
      </c>
      <c r="H1582">
        <v>11.13</v>
      </c>
      <c r="I1582">
        <v>22.89</v>
      </c>
    </row>
    <row r="1583" spans="1:9" x14ac:dyDescent="0.25">
      <c r="A1583" s="2">
        <v>43889</v>
      </c>
      <c r="B1583">
        <v>17.36</v>
      </c>
      <c r="C1583">
        <v>16.059999999999999</v>
      </c>
      <c r="D1583">
        <v>16.27</v>
      </c>
      <c r="E1583">
        <v>29.36</v>
      </c>
      <c r="F1583">
        <v>12.15</v>
      </c>
      <c r="G1583">
        <v>22</v>
      </c>
      <c r="H1583">
        <v>11.04</v>
      </c>
      <c r="I1583">
        <v>21.06</v>
      </c>
    </row>
    <row r="1584" spans="1:9" x14ac:dyDescent="0.25">
      <c r="A1584" s="2">
        <v>43892</v>
      </c>
      <c r="B1584">
        <v>15.78</v>
      </c>
      <c r="C1584">
        <v>15.92</v>
      </c>
      <c r="D1584">
        <v>13.89</v>
      </c>
      <c r="E1584">
        <v>27.1</v>
      </c>
      <c r="F1584">
        <v>11.38</v>
      </c>
      <c r="G1584">
        <v>20.07</v>
      </c>
      <c r="H1584">
        <v>10.62</v>
      </c>
      <c r="I1584">
        <v>19.260000000000002</v>
      </c>
    </row>
    <row r="1585" spans="1:9" x14ac:dyDescent="0.25">
      <c r="A1585" s="2">
        <v>43893</v>
      </c>
      <c r="B1585">
        <v>15.35</v>
      </c>
      <c r="C1585">
        <v>15.83</v>
      </c>
      <c r="D1585">
        <v>13.32</v>
      </c>
      <c r="E1585">
        <v>25.32</v>
      </c>
      <c r="F1585">
        <v>10.97</v>
      </c>
      <c r="G1585">
        <v>18.09</v>
      </c>
      <c r="H1585">
        <v>10.29</v>
      </c>
      <c r="I1585">
        <v>19.66</v>
      </c>
    </row>
    <row r="1586" spans="1:9" x14ac:dyDescent="0.25">
      <c r="A1586" s="2">
        <v>43894</v>
      </c>
      <c r="B1586">
        <v>16.07</v>
      </c>
      <c r="C1586">
        <v>15.92</v>
      </c>
      <c r="D1586">
        <v>14.23</v>
      </c>
      <c r="E1586">
        <v>25.99</v>
      </c>
      <c r="F1586">
        <v>10.91</v>
      </c>
      <c r="G1586">
        <v>18.350000000000001</v>
      </c>
      <c r="H1586">
        <v>10.4</v>
      </c>
      <c r="I1586">
        <v>20.399999999999999</v>
      </c>
    </row>
    <row r="1587" spans="1:9" x14ac:dyDescent="0.25">
      <c r="A1587" s="2">
        <v>43895</v>
      </c>
      <c r="B1587">
        <v>16.239999999999998</v>
      </c>
      <c r="C1587">
        <v>16.100000000000001</v>
      </c>
      <c r="D1587">
        <v>13.83</v>
      </c>
      <c r="E1587">
        <v>26.46</v>
      </c>
      <c r="F1587">
        <v>11.44</v>
      </c>
      <c r="G1587">
        <v>19.55</v>
      </c>
      <c r="H1587">
        <v>10.7</v>
      </c>
      <c r="I1587">
        <v>20.79</v>
      </c>
    </row>
    <row r="1588" spans="1:9" x14ac:dyDescent="0.25">
      <c r="A1588" s="2">
        <v>43896</v>
      </c>
      <c r="B1588">
        <v>16.829999999999998</v>
      </c>
      <c r="C1588">
        <v>16.190000000000001</v>
      </c>
      <c r="D1588">
        <v>14.84</v>
      </c>
      <c r="E1588">
        <v>27.36</v>
      </c>
      <c r="F1588">
        <v>11.78</v>
      </c>
      <c r="G1588">
        <v>20.11</v>
      </c>
      <c r="H1588">
        <v>10.9</v>
      </c>
      <c r="I1588">
        <v>20.55</v>
      </c>
    </row>
    <row r="1589" spans="1:9" x14ac:dyDescent="0.25">
      <c r="A1589" s="2">
        <v>43899</v>
      </c>
      <c r="B1589">
        <v>15.84</v>
      </c>
      <c r="C1589">
        <v>16.09</v>
      </c>
      <c r="D1589">
        <v>13.28</v>
      </c>
      <c r="E1589">
        <v>26.6</v>
      </c>
      <c r="F1589">
        <v>11.45</v>
      </c>
      <c r="G1589">
        <v>19.62</v>
      </c>
      <c r="H1589">
        <v>10.65</v>
      </c>
      <c r="I1589">
        <v>18.940000000000001</v>
      </c>
    </row>
    <row r="1590" spans="1:9" x14ac:dyDescent="0.25">
      <c r="A1590" s="2">
        <v>43900</v>
      </c>
      <c r="B1590">
        <v>14.18</v>
      </c>
      <c r="C1590">
        <v>15.85</v>
      </c>
      <c r="D1590">
        <v>11.38</v>
      </c>
      <c r="E1590">
        <v>24.44</v>
      </c>
      <c r="F1590">
        <v>10.62</v>
      </c>
      <c r="G1590">
        <v>17.46</v>
      </c>
      <c r="H1590">
        <v>10.29</v>
      </c>
      <c r="I1590">
        <v>16.48</v>
      </c>
    </row>
    <row r="1591" spans="1:9" x14ac:dyDescent="0.25">
      <c r="A1591" s="2">
        <v>43901</v>
      </c>
      <c r="B1591">
        <v>12.13</v>
      </c>
      <c r="C1591">
        <v>15.47</v>
      </c>
      <c r="D1591">
        <v>8.4600000000000009</v>
      </c>
      <c r="E1591">
        <v>19.829999999999998</v>
      </c>
      <c r="F1591">
        <v>8.35</v>
      </c>
      <c r="G1591">
        <v>13.27</v>
      </c>
      <c r="H1591">
        <v>9.0500000000000007</v>
      </c>
      <c r="I1591">
        <v>16.059999999999999</v>
      </c>
    </row>
    <row r="1592" spans="1:9" x14ac:dyDescent="0.25">
      <c r="A1592" s="2">
        <v>43902</v>
      </c>
      <c r="B1592">
        <v>12.06</v>
      </c>
      <c r="C1592">
        <v>14.56</v>
      </c>
      <c r="D1592">
        <v>9.31</v>
      </c>
      <c r="E1592">
        <v>20.18</v>
      </c>
      <c r="F1592">
        <v>7.86</v>
      </c>
      <c r="G1592">
        <v>13.16</v>
      </c>
      <c r="H1592">
        <v>8.7799999999999994</v>
      </c>
      <c r="I1592">
        <v>16.25</v>
      </c>
    </row>
    <row r="1593" spans="1:9" x14ac:dyDescent="0.25">
      <c r="A1593" s="2">
        <v>43903</v>
      </c>
      <c r="B1593">
        <v>9.5</v>
      </c>
      <c r="C1593">
        <v>13.84</v>
      </c>
      <c r="D1593">
        <v>7.24</v>
      </c>
      <c r="E1593">
        <v>14.03</v>
      </c>
      <c r="F1593">
        <v>4.74</v>
      </c>
      <c r="G1593">
        <v>12.32</v>
      </c>
      <c r="H1593">
        <v>8.33</v>
      </c>
      <c r="I1593">
        <v>12.21</v>
      </c>
    </row>
    <row r="1594" spans="1:9" x14ac:dyDescent="0.25">
      <c r="A1594" s="2">
        <v>43906</v>
      </c>
      <c r="B1594">
        <v>7.33</v>
      </c>
      <c r="C1594">
        <v>12.88</v>
      </c>
      <c r="D1594">
        <v>3.92</v>
      </c>
      <c r="E1594">
        <v>14.73</v>
      </c>
      <c r="F1594">
        <v>4.54</v>
      </c>
      <c r="G1594">
        <v>6.97</v>
      </c>
      <c r="H1594">
        <v>6.85</v>
      </c>
      <c r="I1594">
        <v>11.86</v>
      </c>
    </row>
    <row r="1595" spans="1:9" x14ac:dyDescent="0.25">
      <c r="A1595" s="2">
        <v>43907</v>
      </c>
      <c r="B1595">
        <v>7.04</v>
      </c>
      <c r="C1595">
        <v>11.52</v>
      </c>
      <c r="D1595">
        <v>4.71</v>
      </c>
      <c r="E1595">
        <v>11.46</v>
      </c>
      <c r="F1595">
        <v>2.64</v>
      </c>
      <c r="G1595">
        <v>7.56</v>
      </c>
      <c r="H1595">
        <v>6.57</v>
      </c>
      <c r="I1595">
        <v>9.52</v>
      </c>
    </row>
    <row r="1596" spans="1:9" x14ac:dyDescent="0.25">
      <c r="A1596" s="2">
        <v>43908</v>
      </c>
      <c r="B1596">
        <v>4.45</v>
      </c>
      <c r="C1596">
        <v>10.52</v>
      </c>
      <c r="D1596">
        <v>1.44</v>
      </c>
      <c r="E1596">
        <v>11.58</v>
      </c>
      <c r="F1596">
        <v>2.34</v>
      </c>
      <c r="G1596">
        <v>4.95</v>
      </c>
      <c r="H1596">
        <v>5.43</v>
      </c>
      <c r="I1596">
        <v>9.4499999999999993</v>
      </c>
    </row>
    <row r="1597" spans="1:9" x14ac:dyDescent="0.25">
      <c r="A1597" s="2">
        <v>43909</v>
      </c>
      <c r="B1597">
        <v>3</v>
      </c>
      <c r="C1597">
        <v>8.4</v>
      </c>
      <c r="D1597">
        <v>2.06</v>
      </c>
      <c r="E1597">
        <v>8.84</v>
      </c>
      <c r="F1597">
        <v>0.32</v>
      </c>
      <c r="G1597">
        <v>4.99</v>
      </c>
      <c r="H1597">
        <v>4.93</v>
      </c>
      <c r="I1597">
        <v>7.33</v>
      </c>
    </row>
    <row r="1598" spans="1:9" x14ac:dyDescent="0.25">
      <c r="A1598" s="2">
        <v>43910</v>
      </c>
      <c r="B1598">
        <v>1.24</v>
      </c>
      <c r="C1598">
        <v>6.54</v>
      </c>
      <c r="D1598">
        <v>0.5</v>
      </c>
      <c r="E1598">
        <v>8.67</v>
      </c>
      <c r="F1598">
        <v>-0.46</v>
      </c>
      <c r="G1598">
        <v>2.46</v>
      </c>
      <c r="H1598">
        <v>3.03</v>
      </c>
      <c r="I1598">
        <v>7.85</v>
      </c>
    </row>
    <row r="1599" spans="1:9" x14ac:dyDescent="0.25">
      <c r="A1599" s="2">
        <v>43913</v>
      </c>
      <c r="B1599">
        <v>1.47</v>
      </c>
      <c r="C1599">
        <v>6.04</v>
      </c>
      <c r="D1599">
        <v>1.27</v>
      </c>
      <c r="E1599">
        <v>10.029999999999999</v>
      </c>
      <c r="F1599">
        <v>1.04</v>
      </c>
      <c r="G1599">
        <v>2.3199999999999998</v>
      </c>
      <c r="H1599">
        <v>2.14</v>
      </c>
      <c r="I1599">
        <v>8.64</v>
      </c>
    </row>
    <row r="1600" spans="1:9" x14ac:dyDescent="0.25">
      <c r="A1600" s="2">
        <v>43914</v>
      </c>
      <c r="B1600">
        <v>0.55000000000000004</v>
      </c>
      <c r="C1600">
        <v>5.76</v>
      </c>
      <c r="D1600">
        <v>0.02</v>
      </c>
      <c r="E1600">
        <v>7.99</v>
      </c>
      <c r="F1600">
        <v>0.48</v>
      </c>
      <c r="G1600">
        <v>3.37</v>
      </c>
      <c r="H1600">
        <v>2.4900000000000002</v>
      </c>
      <c r="I1600">
        <v>6.37</v>
      </c>
    </row>
    <row r="1601" spans="1:9" x14ac:dyDescent="0.25">
      <c r="A1601" s="2">
        <v>43915</v>
      </c>
      <c r="B1601">
        <v>0.7</v>
      </c>
      <c r="C1601">
        <v>5.7</v>
      </c>
      <c r="D1601">
        <v>-0.41</v>
      </c>
      <c r="E1601">
        <v>10.8</v>
      </c>
      <c r="F1601">
        <v>0.97</v>
      </c>
      <c r="G1601">
        <v>1.06</v>
      </c>
      <c r="H1601">
        <v>1.85</v>
      </c>
      <c r="I1601">
        <v>8.9</v>
      </c>
    </row>
    <row r="1602" spans="1:9" x14ac:dyDescent="0.25">
      <c r="A1602" s="2">
        <v>43916</v>
      </c>
      <c r="B1602">
        <v>2.83</v>
      </c>
      <c r="C1602">
        <v>5.8</v>
      </c>
      <c r="D1602">
        <v>2.2400000000000002</v>
      </c>
      <c r="E1602">
        <v>12.69</v>
      </c>
      <c r="F1602">
        <v>2.13</v>
      </c>
      <c r="G1602">
        <v>3.56</v>
      </c>
      <c r="H1602">
        <v>2.0099999999999998</v>
      </c>
      <c r="I1602">
        <v>10.14</v>
      </c>
    </row>
    <row r="1603" spans="1:9" x14ac:dyDescent="0.25">
      <c r="A1603" s="2">
        <v>43917</v>
      </c>
      <c r="B1603">
        <v>3.86</v>
      </c>
      <c r="C1603">
        <v>6.34</v>
      </c>
      <c r="D1603">
        <v>3.13</v>
      </c>
      <c r="E1603">
        <v>14.03</v>
      </c>
      <c r="F1603">
        <v>2.89</v>
      </c>
      <c r="G1603">
        <v>5.27</v>
      </c>
      <c r="H1603">
        <v>2.4700000000000002</v>
      </c>
      <c r="I1603">
        <v>11.12</v>
      </c>
    </row>
    <row r="1604" spans="1:9" x14ac:dyDescent="0.25">
      <c r="A1604" s="2">
        <v>43920</v>
      </c>
      <c r="B1604">
        <v>5.03</v>
      </c>
      <c r="C1604">
        <v>7.09</v>
      </c>
      <c r="D1604">
        <v>4.3600000000000003</v>
      </c>
      <c r="E1604">
        <v>13.12</v>
      </c>
      <c r="F1604">
        <v>2.73</v>
      </c>
      <c r="G1604">
        <v>6.49</v>
      </c>
      <c r="H1604">
        <v>3.15</v>
      </c>
      <c r="I1604">
        <v>10.39</v>
      </c>
    </row>
    <row r="1605" spans="1:9" x14ac:dyDescent="0.25">
      <c r="A1605" s="2">
        <v>43921</v>
      </c>
      <c r="B1605">
        <v>4.78</v>
      </c>
      <c r="C1605">
        <v>7.75</v>
      </c>
      <c r="D1605">
        <v>3.89</v>
      </c>
      <c r="E1605">
        <v>13.32</v>
      </c>
      <c r="F1605">
        <v>2.5</v>
      </c>
      <c r="G1605">
        <v>5.97</v>
      </c>
      <c r="H1605">
        <v>3.54</v>
      </c>
      <c r="I1605">
        <v>10.96</v>
      </c>
    </row>
    <row r="1606" spans="1:9" x14ac:dyDescent="0.25">
      <c r="A1606" s="2">
        <v>43922</v>
      </c>
      <c r="B1606">
        <v>5.62</v>
      </c>
      <c r="C1606">
        <v>8.26</v>
      </c>
      <c r="D1606">
        <v>5.16</v>
      </c>
      <c r="E1606">
        <v>13.88</v>
      </c>
      <c r="F1606">
        <v>2.66</v>
      </c>
      <c r="G1606">
        <v>6.32</v>
      </c>
      <c r="H1606">
        <v>3.51</v>
      </c>
      <c r="I1606">
        <v>11.54</v>
      </c>
    </row>
    <row r="1607" spans="1:9" x14ac:dyDescent="0.25">
      <c r="A1607" s="2">
        <v>43923</v>
      </c>
      <c r="B1607">
        <v>5.19</v>
      </c>
      <c r="C1607">
        <v>8.2899999999999991</v>
      </c>
      <c r="D1607">
        <v>4.49</v>
      </c>
      <c r="E1607">
        <v>12.46</v>
      </c>
      <c r="F1607">
        <v>2.25</v>
      </c>
      <c r="G1607">
        <v>7.27</v>
      </c>
      <c r="H1607">
        <v>3.74</v>
      </c>
      <c r="I1607">
        <v>10.23</v>
      </c>
    </row>
    <row r="1608" spans="1:9" x14ac:dyDescent="0.25">
      <c r="A1608" s="2">
        <v>43924</v>
      </c>
      <c r="B1608">
        <v>4.42</v>
      </c>
      <c r="C1608">
        <v>8.36</v>
      </c>
      <c r="D1608">
        <v>3.44</v>
      </c>
      <c r="E1608">
        <v>12.87</v>
      </c>
      <c r="F1608">
        <v>2.48</v>
      </c>
      <c r="G1608">
        <v>5.67</v>
      </c>
      <c r="H1608">
        <v>3.47</v>
      </c>
      <c r="I1608">
        <v>10.34</v>
      </c>
    </row>
    <row r="1609" spans="1:9" x14ac:dyDescent="0.25">
      <c r="A1609" s="2">
        <v>43927</v>
      </c>
      <c r="B1609">
        <v>4.91</v>
      </c>
      <c r="C1609">
        <v>8.61</v>
      </c>
      <c r="D1609">
        <v>4.21</v>
      </c>
      <c r="E1609">
        <v>12.78</v>
      </c>
      <c r="F1609">
        <v>2.69</v>
      </c>
      <c r="G1609">
        <v>5.8</v>
      </c>
      <c r="H1609">
        <v>3.49</v>
      </c>
      <c r="I1609">
        <v>10.16</v>
      </c>
    </row>
    <row r="1610" spans="1:9" x14ac:dyDescent="0.25">
      <c r="A1610" s="2">
        <v>43928</v>
      </c>
      <c r="B1610">
        <v>5.22</v>
      </c>
      <c r="C1610">
        <v>8.5500000000000007</v>
      </c>
      <c r="D1610">
        <v>4.34</v>
      </c>
      <c r="E1610">
        <v>14.34</v>
      </c>
      <c r="F1610">
        <v>2.89</v>
      </c>
      <c r="G1610">
        <v>5.72</v>
      </c>
      <c r="H1610">
        <v>3.41</v>
      </c>
      <c r="I1610">
        <v>11.15</v>
      </c>
    </row>
    <row r="1611" spans="1:9" x14ac:dyDescent="0.25">
      <c r="A1611" s="2">
        <v>43929</v>
      </c>
      <c r="B1611">
        <v>6.61</v>
      </c>
      <c r="C1611">
        <v>8.4700000000000006</v>
      </c>
      <c r="D1611">
        <v>6.43</v>
      </c>
      <c r="E1611">
        <v>15.25</v>
      </c>
      <c r="F1611">
        <v>2.84</v>
      </c>
      <c r="G1611">
        <v>7.23</v>
      </c>
      <c r="H1611">
        <v>3.46</v>
      </c>
      <c r="I1611">
        <v>12.11</v>
      </c>
    </row>
    <row r="1612" spans="1:9" x14ac:dyDescent="0.25">
      <c r="A1612" s="2">
        <v>43930</v>
      </c>
      <c r="B1612">
        <v>6.97</v>
      </c>
      <c r="C1612">
        <v>8.74</v>
      </c>
      <c r="D1612">
        <v>6.13</v>
      </c>
      <c r="E1612">
        <v>15.48</v>
      </c>
      <c r="F1612">
        <v>2.99</v>
      </c>
      <c r="G1612">
        <v>8.67</v>
      </c>
      <c r="H1612">
        <v>3.61</v>
      </c>
      <c r="I1612">
        <v>12.02</v>
      </c>
    </row>
    <row r="1613" spans="1:9" x14ac:dyDescent="0.25">
      <c r="A1613" s="2">
        <v>43935</v>
      </c>
      <c r="B1613">
        <v>7.8</v>
      </c>
      <c r="C1613">
        <v>9.14</v>
      </c>
      <c r="D1613">
        <v>7.45</v>
      </c>
      <c r="E1613">
        <v>16.61</v>
      </c>
      <c r="F1613">
        <v>3.8</v>
      </c>
      <c r="G1613">
        <v>8.5399999999999991</v>
      </c>
      <c r="H1613">
        <v>3.72</v>
      </c>
    </row>
    <row r="1614" spans="1:9" x14ac:dyDescent="0.25">
      <c r="A1614" s="2">
        <v>43936</v>
      </c>
      <c r="B1614">
        <v>8.7200000000000006</v>
      </c>
      <c r="C1614">
        <v>10.09</v>
      </c>
      <c r="D1614">
        <v>8.16</v>
      </c>
      <c r="E1614">
        <v>17.13</v>
      </c>
      <c r="F1614">
        <v>4.01</v>
      </c>
      <c r="G1614">
        <v>9.8800000000000008</v>
      </c>
      <c r="H1614">
        <v>4.49</v>
      </c>
      <c r="I1614">
        <v>13.19</v>
      </c>
    </row>
    <row r="1615" spans="1:9" x14ac:dyDescent="0.25">
      <c r="A1615" s="2">
        <v>43937</v>
      </c>
      <c r="B1615">
        <v>9.26</v>
      </c>
      <c r="C1615">
        <v>10.9</v>
      </c>
      <c r="D1615">
        <v>8.84</v>
      </c>
      <c r="E1615">
        <v>16.52</v>
      </c>
      <c r="F1615">
        <v>3.81</v>
      </c>
      <c r="G1615">
        <v>10.56</v>
      </c>
      <c r="H1615">
        <v>5.05</v>
      </c>
      <c r="I1615">
        <v>12.76</v>
      </c>
    </row>
    <row r="1616" spans="1:9" x14ac:dyDescent="0.25">
      <c r="A1616" s="2">
        <v>43938</v>
      </c>
      <c r="B1616">
        <v>9.0500000000000007</v>
      </c>
      <c r="C1616">
        <v>11.13</v>
      </c>
      <c r="D1616">
        <v>8.43</v>
      </c>
      <c r="E1616">
        <v>16.850000000000001</v>
      </c>
      <c r="F1616">
        <v>3.97</v>
      </c>
      <c r="G1616">
        <v>9.84</v>
      </c>
      <c r="H1616">
        <v>5.04</v>
      </c>
      <c r="I1616">
        <v>13.03</v>
      </c>
    </row>
    <row r="1617" spans="1:9" x14ac:dyDescent="0.25">
      <c r="A1617" s="2">
        <v>43941</v>
      </c>
      <c r="B1617">
        <v>9.5500000000000007</v>
      </c>
      <c r="C1617">
        <v>11.19</v>
      </c>
      <c r="D1617">
        <v>9</v>
      </c>
      <c r="E1617">
        <v>17.579999999999998</v>
      </c>
      <c r="F1617">
        <v>3.93</v>
      </c>
      <c r="G1617">
        <v>10.19</v>
      </c>
      <c r="H1617">
        <v>5.18</v>
      </c>
      <c r="I1617">
        <v>13.66</v>
      </c>
    </row>
    <row r="1618" spans="1:9" x14ac:dyDescent="0.25">
      <c r="A1618" s="2">
        <v>43942</v>
      </c>
      <c r="B1618">
        <v>10.06</v>
      </c>
      <c r="C1618">
        <v>11.13</v>
      </c>
      <c r="D1618">
        <v>9.7899999999999991</v>
      </c>
      <c r="E1618">
        <v>17.63</v>
      </c>
      <c r="F1618">
        <v>3.77</v>
      </c>
      <c r="G1618">
        <v>11.2</v>
      </c>
      <c r="H1618">
        <v>5.3</v>
      </c>
      <c r="I1618">
        <v>13.89</v>
      </c>
    </row>
    <row r="1619" spans="1:9" x14ac:dyDescent="0.25">
      <c r="A1619" s="2">
        <v>43943</v>
      </c>
      <c r="B1619">
        <v>9.5500000000000007</v>
      </c>
      <c r="C1619">
        <v>11.2</v>
      </c>
      <c r="D1619">
        <v>8.9</v>
      </c>
      <c r="E1619">
        <v>16.18</v>
      </c>
      <c r="F1619">
        <v>3.37</v>
      </c>
      <c r="G1619">
        <v>11.32</v>
      </c>
      <c r="H1619">
        <v>5.2</v>
      </c>
      <c r="I1619">
        <v>12.52</v>
      </c>
    </row>
    <row r="1620" spans="1:9" x14ac:dyDescent="0.25">
      <c r="A1620" s="2">
        <v>43944</v>
      </c>
      <c r="B1620">
        <v>8.83</v>
      </c>
      <c r="C1620">
        <v>11.06</v>
      </c>
      <c r="D1620">
        <v>7.91</v>
      </c>
      <c r="E1620">
        <v>16.62</v>
      </c>
      <c r="F1620">
        <v>3.27</v>
      </c>
      <c r="G1620">
        <v>9.8000000000000007</v>
      </c>
      <c r="H1620">
        <v>4.96</v>
      </c>
      <c r="I1620">
        <v>12.77</v>
      </c>
    </row>
    <row r="1621" spans="1:9" x14ac:dyDescent="0.25">
      <c r="A1621" s="2">
        <v>43945</v>
      </c>
      <c r="B1621">
        <v>9.4499999999999993</v>
      </c>
      <c r="C1621">
        <v>11.14</v>
      </c>
      <c r="D1621">
        <v>8.9</v>
      </c>
      <c r="E1621">
        <v>17.27</v>
      </c>
      <c r="F1621">
        <v>3.59</v>
      </c>
      <c r="G1621">
        <v>10.24</v>
      </c>
      <c r="H1621">
        <v>4.91</v>
      </c>
      <c r="I1621">
        <v>13.44</v>
      </c>
    </row>
    <row r="1622" spans="1:9" x14ac:dyDescent="0.25">
      <c r="A1622" s="2">
        <v>43948</v>
      </c>
      <c r="B1622">
        <v>9.5299999999999994</v>
      </c>
      <c r="C1622">
        <v>11.29</v>
      </c>
      <c r="D1622">
        <v>9.0500000000000007</v>
      </c>
      <c r="E1622">
        <v>17.11</v>
      </c>
      <c r="F1622">
        <v>3.62</v>
      </c>
      <c r="G1622">
        <v>10.85</v>
      </c>
      <c r="H1622">
        <v>5.04</v>
      </c>
      <c r="I1622">
        <v>13.18</v>
      </c>
    </row>
    <row r="1623" spans="1:9" x14ac:dyDescent="0.25">
      <c r="A1623" s="2">
        <v>43949</v>
      </c>
      <c r="B1623">
        <v>9.75</v>
      </c>
      <c r="C1623">
        <v>11.27</v>
      </c>
      <c r="D1623">
        <v>9.7100000000000009</v>
      </c>
      <c r="E1623">
        <v>17.71</v>
      </c>
      <c r="F1623">
        <v>3.61</v>
      </c>
      <c r="G1623">
        <v>10.47</v>
      </c>
      <c r="H1623">
        <v>4.9800000000000004</v>
      </c>
      <c r="I1623">
        <v>13.86</v>
      </c>
    </row>
    <row r="1624" spans="1:9" x14ac:dyDescent="0.25">
      <c r="A1624" s="2">
        <v>43950</v>
      </c>
      <c r="B1624">
        <v>10.199999999999999</v>
      </c>
      <c r="C1624">
        <v>11.28</v>
      </c>
      <c r="D1624">
        <v>10.44</v>
      </c>
      <c r="E1624">
        <v>17.91</v>
      </c>
      <c r="F1624">
        <v>3.54</v>
      </c>
      <c r="G1624">
        <v>11.15</v>
      </c>
      <c r="H1624">
        <v>4.97</v>
      </c>
      <c r="I1624">
        <v>14.24</v>
      </c>
    </row>
    <row r="1625" spans="1:9" x14ac:dyDescent="0.25">
      <c r="A1625" s="2">
        <v>43951</v>
      </c>
      <c r="B1625">
        <v>10.56</v>
      </c>
      <c r="C1625">
        <v>11.38</v>
      </c>
      <c r="D1625">
        <v>10.86</v>
      </c>
      <c r="E1625">
        <v>18.850000000000001</v>
      </c>
      <c r="F1625">
        <v>3.96</v>
      </c>
      <c r="G1625">
        <v>11.74</v>
      </c>
      <c r="H1625">
        <v>5.05</v>
      </c>
      <c r="I1625">
        <v>14.72</v>
      </c>
    </row>
    <row r="1626" spans="1:9" x14ac:dyDescent="0.25">
      <c r="A1626" s="2">
        <v>43956</v>
      </c>
      <c r="B1626">
        <v>10.95</v>
      </c>
      <c r="C1626">
        <v>11.49</v>
      </c>
      <c r="D1626">
        <v>11.56</v>
      </c>
      <c r="E1626">
        <v>18.72</v>
      </c>
      <c r="F1626">
        <v>4.22</v>
      </c>
      <c r="G1626">
        <v>12.51</v>
      </c>
      <c r="H1626">
        <v>5.33</v>
      </c>
      <c r="I1626">
        <v>14.49</v>
      </c>
    </row>
    <row r="1627" spans="1:9" x14ac:dyDescent="0.25">
      <c r="A1627" s="2">
        <v>43957</v>
      </c>
      <c r="B1627">
        <v>9.99</v>
      </c>
      <c r="C1627">
        <v>11.38</v>
      </c>
      <c r="D1627">
        <v>9.92</v>
      </c>
      <c r="E1627">
        <v>18.440000000000001</v>
      </c>
      <c r="F1627">
        <v>4.49</v>
      </c>
      <c r="G1627">
        <v>10.53</v>
      </c>
      <c r="H1627">
        <v>5.34</v>
      </c>
      <c r="I1627">
        <v>14.27</v>
      </c>
    </row>
    <row r="1628" spans="1:9" x14ac:dyDescent="0.25">
      <c r="A1628" s="2">
        <v>43958</v>
      </c>
      <c r="B1628">
        <v>10.119999999999999</v>
      </c>
      <c r="C1628">
        <v>11.28</v>
      </c>
      <c r="D1628">
        <v>10.56</v>
      </c>
      <c r="E1628">
        <v>18.27</v>
      </c>
      <c r="F1628">
        <v>4.3499999999999996</v>
      </c>
      <c r="G1628">
        <v>11.74</v>
      </c>
      <c r="H1628">
        <v>5.61</v>
      </c>
      <c r="I1628">
        <v>14.05</v>
      </c>
    </row>
    <row r="1629" spans="1:9" x14ac:dyDescent="0.25">
      <c r="A1629" s="2">
        <v>43959</v>
      </c>
      <c r="B1629">
        <v>10.130000000000001</v>
      </c>
      <c r="C1629">
        <v>11.18</v>
      </c>
      <c r="D1629">
        <v>10.45</v>
      </c>
      <c r="E1629">
        <v>18.73</v>
      </c>
      <c r="F1629">
        <v>4.68</v>
      </c>
      <c r="G1629">
        <v>11.67</v>
      </c>
      <c r="H1629">
        <v>5.5</v>
      </c>
      <c r="I1629">
        <v>14.4</v>
      </c>
    </row>
    <row r="1630" spans="1:9" x14ac:dyDescent="0.25">
      <c r="A1630" s="2">
        <v>43962</v>
      </c>
      <c r="B1630">
        <v>10.52</v>
      </c>
      <c r="C1630">
        <v>11.21</v>
      </c>
      <c r="D1630">
        <v>10.5</v>
      </c>
      <c r="E1630">
        <v>19.07</v>
      </c>
      <c r="F1630">
        <v>4.76</v>
      </c>
      <c r="G1630">
        <v>12.16</v>
      </c>
      <c r="H1630">
        <v>5.62</v>
      </c>
      <c r="I1630">
        <v>14.5</v>
      </c>
    </row>
    <row r="1631" spans="1:9" x14ac:dyDescent="0.25">
      <c r="A1631" s="2">
        <v>43963</v>
      </c>
      <c r="B1631">
        <v>10.74</v>
      </c>
      <c r="C1631">
        <v>11.21</v>
      </c>
      <c r="D1631">
        <v>10.97</v>
      </c>
      <c r="E1631">
        <v>19.32</v>
      </c>
      <c r="F1631">
        <v>4.76</v>
      </c>
      <c r="G1631">
        <v>12.49</v>
      </c>
      <c r="H1631">
        <v>5.64</v>
      </c>
      <c r="I1631">
        <v>14.56</v>
      </c>
    </row>
    <row r="1632" spans="1:9" x14ac:dyDescent="0.25">
      <c r="A1632" s="2">
        <v>43964</v>
      </c>
      <c r="B1632">
        <v>10.83</v>
      </c>
      <c r="C1632">
        <v>11.16</v>
      </c>
      <c r="D1632">
        <v>11.27</v>
      </c>
      <c r="E1632">
        <v>19.260000000000002</v>
      </c>
      <c r="F1632">
        <v>4.8899999999999997</v>
      </c>
      <c r="G1632">
        <v>12.72</v>
      </c>
      <c r="H1632">
        <v>5.77</v>
      </c>
      <c r="I1632">
        <v>14.88</v>
      </c>
    </row>
    <row r="1633" spans="1:9" x14ac:dyDescent="0.25">
      <c r="A1633" s="2">
        <v>43965</v>
      </c>
      <c r="B1633">
        <v>10.23</v>
      </c>
      <c r="C1633">
        <v>11.2</v>
      </c>
      <c r="D1633">
        <v>10.38</v>
      </c>
      <c r="E1633">
        <v>18.61</v>
      </c>
      <c r="F1633">
        <v>4.75</v>
      </c>
      <c r="G1633">
        <v>12.9</v>
      </c>
      <c r="H1633">
        <v>5.86</v>
      </c>
      <c r="I1633">
        <v>14.27</v>
      </c>
    </row>
    <row r="1634" spans="1:9" x14ac:dyDescent="0.25">
      <c r="A1634" s="2">
        <v>43966</v>
      </c>
      <c r="B1634">
        <v>10.029999999999999</v>
      </c>
      <c r="C1634">
        <v>11.33</v>
      </c>
      <c r="D1634">
        <v>9.8000000000000007</v>
      </c>
      <c r="E1634">
        <v>18.32</v>
      </c>
      <c r="F1634">
        <v>4.62</v>
      </c>
      <c r="G1634">
        <v>12.04</v>
      </c>
      <c r="H1634">
        <v>5.81</v>
      </c>
      <c r="I1634">
        <v>13.77</v>
      </c>
    </row>
    <row r="1635" spans="1:9" x14ac:dyDescent="0.25">
      <c r="A1635" s="2">
        <v>43969</v>
      </c>
      <c r="B1635">
        <v>10.25</v>
      </c>
      <c r="C1635">
        <v>11.3</v>
      </c>
      <c r="D1635">
        <v>10</v>
      </c>
      <c r="E1635">
        <v>18.54</v>
      </c>
      <c r="F1635">
        <v>4.76</v>
      </c>
      <c r="G1635">
        <v>11.25</v>
      </c>
      <c r="H1635">
        <v>5.69</v>
      </c>
      <c r="I1635">
        <v>13.86</v>
      </c>
    </row>
    <row r="1636" spans="1:9" x14ac:dyDescent="0.25">
      <c r="A1636" s="2">
        <v>43970</v>
      </c>
      <c r="B1636">
        <v>10.7</v>
      </c>
      <c r="C1636">
        <v>11.3</v>
      </c>
      <c r="D1636">
        <v>10.48</v>
      </c>
      <c r="E1636">
        <v>19.47</v>
      </c>
      <c r="F1636">
        <v>5.07</v>
      </c>
      <c r="G1636">
        <v>11.56</v>
      </c>
      <c r="H1636">
        <v>5.77</v>
      </c>
      <c r="I1636">
        <v>14.93</v>
      </c>
    </row>
    <row r="1637" spans="1:9" x14ac:dyDescent="0.25">
      <c r="A1637" s="2">
        <v>43971</v>
      </c>
      <c r="B1637">
        <v>11.09</v>
      </c>
      <c r="C1637">
        <v>11.22</v>
      </c>
      <c r="D1637">
        <v>11.05</v>
      </c>
      <c r="E1637">
        <v>19.45</v>
      </c>
      <c r="F1637">
        <v>5.17</v>
      </c>
      <c r="G1637">
        <v>13.14</v>
      </c>
      <c r="H1637">
        <v>6.01</v>
      </c>
      <c r="I1637">
        <v>14.97</v>
      </c>
    </row>
    <row r="1638" spans="1:9" x14ac:dyDescent="0.25">
      <c r="A1638" s="2">
        <v>43972</v>
      </c>
      <c r="B1638">
        <v>11.12</v>
      </c>
      <c r="C1638">
        <v>11.44</v>
      </c>
      <c r="D1638">
        <v>10.97</v>
      </c>
      <c r="E1638">
        <v>19.940000000000001</v>
      </c>
      <c r="F1638">
        <v>5.46</v>
      </c>
      <c r="G1638">
        <v>13.19</v>
      </c>
      <c r="H1638">
        <v>6.06</v>
      </c>
      <c r="I1638">
        <v>15.2</v>
      </c>
    </row>
    <row r="1639" spans="1:9" x14ac:dyDescent="0.25">
      <c r="A1639" s="2">
        <v>43973</v>
      </c>
      <c r="B1639">
        <v>11.33</v>
      </c>
      <c r="C1639">
        <v>11.74</v>
      </c>
      <c r="D1639">
        <v>11.4</v>
      </c>
      <c r="E1639">
        <v>19.989999999999998</v>
      </c>
      <c r="F1639">
        <v>5.75</v>
      </c>
      <c r="G1639">
        <v>13.65</v>
      </c>
      <c r="H1639">
        <v>6.34</v>
      </c>
      <c r="I1639">
        <v>15.04</v>
      </c>
    </row>
    <row r="1640" spans="1:9" x14ac:dyDescent="0.25">
      <c r="A1640" s="2">
        <v>43976</v>
      </c>
      <c r="B1640">
        <v>11.6</v>
      </c>
      <c r="C1640">
        <v>11.94</v>
      </c>
      <c r="D1640">
        <v>11.46</v>
      </c>
      <c r="E1640">
        <v>19.93</v>
      </c>
      <c r="F1640">
        <v>5.88</v>
      </c>
      <c r="G1640">
        <v>13.65</v>
      </c>
      <c r="H1640">
        <v>6.62</v>
      </c>
      <c r="I1640">
        <v>15.16</v>
      </c>
    </row>
    <row r="1641" spans="1:9" x14ac:dyDescent="0.25">
      <c r="A1641" s="2">
        <v>43977</v>
      </c>
      <c r="B1641">
        <v>11.64</v>
      </c>
      <c r="C1641">
        <v>12.03</v>
      </c>
      <c r="D1641">
        <v>11.53</v>
      </c>
      <c r="E1641">
        <v>20.350000000000001</v>
      </c>
      <c r="F1641">
        <v>5.97</v>
      </c>
      <c r="G1641">
        <v>13.61</v>
      </c>
      <c r="H1641">
        <v>6.63</v>
      </c>
      <c r="I1641">
        <v>15.68</v>
      </c>
    </row>
    <row r="1642" spans="1:9" x14ac:dyDescent="0.25">
      <c r="A1642" s="2">
        <v>43978</v>
      </c>
      <c r="B1642">
        <v>11.79</v>
      </c>
      <c r="C1642">
        <v>12.04</v>
      </c>
      <c r="D1642">
        <v>11.71</v>
      </c>
      <c r="E1642">
        <v>20.47</v>
      </c>
      <c r="F1642">
        <v>5.93</v>
      </c>
      <c r="G1642">
        <v>14.23</v>
      </c>
      <c r="H1642">
        <v>6.63</v>
      </c>
      <c r="I1642">
        <v>15.68</v>
      </c>
    </row>
    <row r="1643" spans="1:9" x14ac:dyDescent="0.25">
      <c r="A1643" s="2">
        <v>43979</v>
      </c>
      <c r="B1643">
        <v>12.11</v>
      </c>
      <c r="C1643">
        <v>12.27</v>
      </c>
      <c r="D1643">
        <v>12.11</v>
      </c>
      <c r="E1643">
        <v>20.61</v>
      </c>
      <c r="F1643">
        <v>6.09</v>
      </c>
      <c r="G1643">
        <v>14.68</v>
      </c>
      <c r="H1643">
        <v>6.87</v>
      </c>
      <c r="I1643">
        <v>15.87</v>
      </c>
    </row>
    <row r="1644" spans="1:9" x14ac:dyDescent="0.25">
      <c r="A1644" s="2">
        <v>43980</v>
      </c>
      <c r="B1644">
        <v>12.46</v>
      </c>
      <c r="C1644">
        <v>12.38</v>
      </c>
      <c r="D1644">
        <v>12.75</v>
      </c>
      <c r="E1644">
        <v>20.83</v>
      </c>
      <c r="F1644">
        <v>6.05</v>
      </c>
      <c r="G1644">
        <v>14.8</v>
      </c>
      <c r="H1644">
        <v>6.97</v>
      </c>
      <c r="I1644">
        <v>16.55</v>
      </c>
    </row>
    <row r="1645" spans="1:9" x14ac:dyDescent="0.25">
      <c r="A1645" s="2">
        <v>43983</v>
      </c>
      <c r="B1645">
        <v>12.27</v>
      </c>
      <c r="C1645">
        <v>12.46</v>
      </c>
      <c r="D1645">
        <v>12.49</v>
      </c>
      <c r="E1645">
        <v>20.48</v>
      </c>
      <c r="F1645">
        <v>5.88</v>
      </c>
      <c r="G1645">
        <v>15.37</v>
      </c>
      <c r="H1645">
        <v>6.99</v>
      </c>
      <c r="I1645">
        <v>16.21</v>
      </c>
    </row>
    <row r="1646" spans="1:9" x14ac:dyDescent="0.25">
      <c r="A1646" s="2">
        <v>43984</v>
      </c>
      <c r="B1646">
        <v>12.48</v>
      </c>
      <c r="C1646">
        <v>12.55</v>
      </c>
      <c r="D1646">
        <v>12.33</v>
      </c>
      <c r="E1646">
        <v>20.6</v>
      </c>
      <c r="F1646">
        <v>5.98</v>
      </c>
      <c r="G1646">
        <v>15.15</v>
      </c>
      <c r="H1646">
        <v>7.05</v>
      </c>
      <c r="I1646">
        <v>16.41</v>
      </c>
    </row>
    <row r="1647" spans="1:9" x14ac:dyDescent="0.25">
      <c r="A1647" s="2">
        <v>43985</v>
      </c>
      <c r="B1647">
        <v>12.67</v>
      </c>
      <c r="C1647">
        <v>12.68</v>
      </c>
      <c r="D1647">
        <v>12.54</v>
      </c>
      <c r="E1647">
        <v>21.42</v>
      </c>
      <c r="F1647">
        <v>6.25</v>
      </c>
      <c r="G1647">
        <v>14.96</v>
      </c>
      <c r="H1647">
        <v>7.15</v>
      </c>
      <c r="I1647">
        <v>16.84</v>
      </c>
    </row>
    <row r="1648" spans="1:9" x14ac:dyDescent="0.25">
      <c r="A1648" s="2">
        <v>43986</v>
      </c>
      <c r="B1648">
        <v>13.21</v>
      </c>
      <c r="C1648">
        <v>12.86</v>
      </c>
      <c r="D1648">
        <v>12.96</v>
      </c>
      <c r="E1648">
        <v>22.07</v>
      </c>
      <c r="F1648">
        <v>6.48</v>
      </c>
      <c r="G1648">
        <v>15.95</v>
      </c>
      <c r="H1648">
        <v>7.4</v>
      </c>
      <c r="I1648">
        <v>17.36</v>
      </c>
    </row>
    <row r="1649" spans="1:9" x14ac:dyDescent="0.25">
      <c r="A1649" s="2">
        <v>43987</v>
      </c>
      <c r="B1649">
        <v>13.45</v>
      </c>
      <c r="C1649">
        <v>13.02</v>
      </c>
      <c r="D1649">
        <v>13.33</v>
      </c>
      <c r="E1649">
        <v>21.76</v>
      </c>
      <c r="F1649">
        <v>6.42</v>
      </c>
      <c r="G1649">
        <v>16.95</v>
      </c>
      <c r="H1649">
        <v>7.6</v>
      </c>
      <c r="I1649">
        <v>17.239999999999998</v>
      </c>
    </row>
    <row r="1650" spans="1:9" x14ac:dyDescent="0.25">
      <c r="A1650" s="2">
        <v>43990</v>
      </c>
      <c r="B1650">
        <v>13.37</v>
      </c>
      <c r="C1650">
        <v>13.07</v>
      </c>
      <c r="D1650">
        <v>13.06</v>
      </c>
      <c r="E1650">
        <v>22.55</v>
      </c>
      <c r="F1650">
        <v>6.73</v>
      </c>
      <c r="G1650">
        <v>16.670000000000002</v>
      </c>
      <c r="H1650">
        <v>7.5</v>
      </c>
      <c r="I1650">
        <v>17.920000000000002</v>
      </c>
    </row>
    <row r="1651" spans="1:9" x14ac:dyDescent="0.25">
      <c r="A1651" s="2">
        <v>43991</v>
      </c>
      <c r="B1651">
        <v>14.19</v>
      </c>
      <c r="C1651">
        <v>13.5</v>
      </c>
      <c r="D1651">
        <v>14.19</v>
      </c>
      <c r="E1651">
        <v>23.15</v>
      </c>
      <c r="F1651">
        <v>7.1</v>
      </c>
      <c r="G1651">
        <v>17.66</v>
      </c>
      <c r="H1651">
        <v>7.73</v>
      </c>
      <c r="I1651">
        <v>18.059999999999999</v>
      </c>
    </row>
    <row r="1652" spans="1:9" x14ac:dyDescent="0.25">
      <c r="A1652" s="2">
        <v>43992</v>
      </c>
      <c r="B1652">
        <v>14.43</v>
      </c>
      <c r="C1652">
        <v>13.73</v>
      </c>
      <c r="D1652">
        <v>14.66</v>
      </c>
      <c r="E1652">
        <v>22.92</v>
      </c>
      <c r="F1652">
        <v>6.85</v>
      </c>
      <c r="G1652">
        <v>17.89</v>
      </c>
      <c r="H1652">
        <v>7.93</v>
      </c>
      <c r="I1652">
        <v>17.86</v>
      </c>
    </row>
    <row r="1653" spans="1:9" x14ac:dyDescent="0.25">
      <c r="A1653" s="2">
        <v>43993</v>
      </c>
      <c r="B1653">
        <v>14.18</v>
      </c>
      <c r="C1653">
        <v>13.7</v>
      </c>
      <c r="D1653">
        <v>14.14</v>
      </c>
      <c r="E1653">
        <v>22.77</v>
      </c>
      <c r="F1653">
        <v>6.72</v>
      </c>
      <c r="G1653">
        <v>17.52</v>
      </c>
      <c r="H1653">
        <v>7.85</v>
      </c>
      <c r="I1653">
        <v>17.64</v>
      </c>
    </row>
    <row r="1654" spans="1:9" x14ac:dyDescent="0.25">
      <c r="A1654" s="2">
        <v>43994</v>
      </c>
      <c r="B1654">
        <v>13.96</v>
      </c>
      <c r="C1654">
        <v>13.87</v>
      </c>
      <c r="D1654">
        <v>13.64</v>
      </c>
      <c r="E1654">
        <v>21.27</v>
      </c>
      <c r="F1654">
        <v>6.41</v>
      </c>
      <c r="G1654">
        <v>17.309999999999999</v>
      </c>
      <c r="H1654">
        <v>7.83</v>
      </c>
      <c r="I1654">
        <v>16.850000000000001</v>
      </c>
    </row>
    <row r="1655" spans="1:9" x14ac:dyDescent="0.25">
      <c r="A1655" s="2">
        <v>43997</v>
      </c>
      <c r="B1655">
        <v>13.01</v>
      </c>
      <c r="C1655">
        <v>13.76</v>
      </c>
      <c r="D1655">
        <v>11.76</v>
      </c>
      <c r="E1655">
        <v>21.32</v>
      </c>
      <c r="F1655">
        <v>6.61</v>
      </c>
      <c r="G1655">
        <v>15.54</v>
      </c>
      <c r="H1655">
        <v>7.62</v>
      </c>
      <c r="I1655">
        <v>16.649999999999999</v>
      </c>
    </row>
    <row r="1656" spans="1:9" x14ac:dyDescent="0.25">
      <c r="A1656" s="2">
        <v>43998</v>
      </c>
      <c r="B1656">
        <v>13.18</v>
      </c>
      <c r="C1656">
        <v>13.81</v>
      </c>
      <c r="D1656">
        <v>12.12</v>
      </c>
      <c r="E1656">
        <v>21.04</v>
      </c>
      <c r="F1656">
        <v>6.47</v>
      </c>
      <c r="G1656">
        <v>15.51</v>
      </c>
      <c r="H1656">
        <v>7.68</v>
      </c>
      <c r="I1656">
        <v>16.37</v>
      </c>
    </row>
    <row r="1657" spans="1:9" x14ac:dyDescent="0.25">
      <c r="A1657" s="2">
        <v>43999</v>
      </c>
      <c r="B1657">
        <v>13.51</v>
      </c>
      <c r="C1657">
        <v>13.9</v>
      </c>
      <c r="D1657">
        <v>12.71</v>
      </c>
      <c r="E1657">
        <v>22.3</v>
      </c>
      <c r="F1657">
        <v>6.99</v>
      </c>
      <c r="G1657">
        <v>15.05</v>
      </c>
      <c r="H1657">
        <v>7.57</v>
      </c>
      <c r="I1657">
        <v>17.5</v>
      </c>
    </row>
    <row r="1658" spans="1:9" x14ac:dyDescent="0.25">
      <c r="A1658" s="2">
        <v>44000</v>
      </c>
      <c r="B1658">
        <v>14.14</v>
      </c>
      <c r="C1658">
        <v>14.14</v>
      </c>
      <c r="D1658">
        <v>13.9</v>
      </c>
      <c r="E1658">
        <v>22.7</v>
      </c>
      <c r="F1658">
        <v>7.07</v>
      </c>
      <c r="G1658">
        <v>16.68</v>
      </c>
      <c r="H1658">
        <v>7.91</v>
      </c>
      <c r="I1658">
        <v>17.87</v>
      </c>
    </row>
    <row r="1659" spans="1:9" x14ac:dyDescent="0.25">
      <c r="A1659" s="2">
        <v>44001</v>
      </c>
      <c r="B1659">
        <v>14.2</v>
      </c>
      <c r="C1659">
        <v>14.21</v>
      </c>
      <c r="D1659">
        <v>13.89</v>
      </c>
      <c r="E1659">
        <v>22.72</v>
      </c>
      <c r="F1659">
        <v>7.09</v>
      </c>
      <c r="G1659">
        <v>17.11</v>
      </c>
      <c r="H1659">
        <v>7.92</v>
      </c>
      <c r="I1659">
        <v>17.850000000000001</v>
      </c>
    </row>
    <row r="1660" spans="1:9" x14ac:dyDescent="0.25">
      <c r="A1660" s="2">
        <v>44007</v>
      </c>
      <c r="B1660">
        <v>14.25</v>
      </c>
      <c r="C1660">
        <v>14.21</v>
      </c>
      <c r="D1660">
        <v>13.98</v>
      </c>
      <c r="E1660">
        <v>23.02</v>
      </c>
      <c r="F1660">
        <v>7.24</v>
      </c>
      <c r="G1660">
        <v>16.77</v>
      </c>
      <c r="H1660">
        <v>7.83</v>
      </c>
      <c r="I1660">
        <v>18.23</v>
      </c>
    </row>
    <row r="1661" spans="1:9" x14ac:dyDescent="0.25">
      <c r="A1661" s="2">
        <v>44008</v>
      </c>
      <c r="B1661">
        <v>13.83</v>
      </c>
      <c r="C1661">
        <v>14.19</v>
      </c>
      <c r="D1661">
        <v>12.88</v>
      </c>
      <c r="E1661">
        <v>22.73</v>
      </c>
      <c r="F1661">
        <v>7.28</v>
      </c>
      <c r="G1661">
        <v>16.37</v>
      </c>
      <c r="H1661">
        <v>7.93</v>
      </c>
      <c r="I1661">
        <v>17.43</v>
      </c>
    </row>
    <row r="1662" spans="1:9" x14ac:dyDescent="0.25">
      <c r="A1662" s="2">
        <v>44011</v>
      </c>
      <c r="B1662">
        <v>13.96</v>
      </c>
      <c r="C1662">
        <v>14.2</v>
      </c>
      <c r="D1662">
        <v>13.38</v>
      </c>
      <c r="E1662">
        <v>22.59</v>
      </c>
      <c r="F1662">
        <v>7.38</v>
      </c>
      <c r="G1662">
        <v>16.32</v>
      </c>
      <c r="H1662">
        <v>7.93</v>
      </c>
      <c r="I1662">
        <v>17.46</v>
      </c>
    </row>
    <row r="1663" spans="1:9" x14ac:dyDescent="0.25">
      <c r="A1663" s="2">
        <v>44012</v>
      </c>
      <c r="B1663">
        <v>13.7</v>
      </c>
      <c r="C1663">
        <v>14.15</v>
      </c>
      <c r="D1663">
        <v>12.62</v>
      </c>
      <c r="E1663">
        <v>22.32</v>
      </c>
      <c r="F1663">
        <v>7.25</v>
      </c>
      <c r="G1663">
        <v>16.38</v>
      </c>
      <c r="H1663">
        <v>7.91</v>
      </c>
      <c r="I1663">
        <v>17.34</v>
      </c>
    </row>
    <row r="1664" spans="1:9" x14ac:dyDescent="0.25">
      <c r="A1664" s="2">
        <v>44013</v>
      </c>
      <c r="B1664">
        <v>13.95</v>
      </c>
      <c r="C1664">
        <v>14.24</v>
      </c>
      <c r="D1664">
        <v>13.06</v>
      </c>
      <c r="E1664">
        <v>22.81</v>
      </c>
      <c r="F1664">
        <v>7.35</v>
      </c>
      <c r="G1664">
        <v>16.149999999999999</v>
      </c>
      <c r="H1664">
        <v>7.88</v>
      </c>
      <c r="I1664">
        <v>17.53</v>
      </c>
    </row>
    <row r="1665" spans="1:9" x14ac:dyDescent="0.25">
      <c r="A1665" s="2">
        <v>44014</v>
      </c>
      <c r="B1665">
        <v>14.16</v>
      </c>
      <c r="C1665">
        <v>14.17</v>
      </c>
      <c r="D1665">
        <v>13.56</v>
      </c>
      <c r="E1665">
        <v>23.08</v>
      </c>
      <c r="F1665">
        <v>7.37</v>
      </c>
      <c r="G1665">
        <v>16.41</v>
      </c>
      <c r="H1665">
        <v>7.88</v>
      </c>
      <c r="I1665">
        <v>17.66</v>
      </c>
    </row>
    <row r="1666" spans="1:9" x14ac:dyDescent="0.25">
      <c r="A1666" s="2">
        <v>44015</v>
      </c>
      <c r="B1666">
        <v>14.54</v>
      </c>
      <c r="C1666">
        <v>14.25</v>
      </c>
      <c r="D1666">
        <v>13.65</v>
      </c>
      <c r="E1666">
        <v>23.76</v>
      </c>
      <c r="F1666">
        <v>7.64</v>
      </c>
      <c r="G1666">
        <v>16.78</v>
      </c>
      <c r="H1666">
        <v>7.89</v>
      </c>
      <c r="I1666">
        <v>18.3</v>
      </c>
    </row>
    <row r="1667" spans="1:9" x14ac:dyDescent="0.25">
      <c r="A1667" s="2">
        <v>44018</v>
      </c>
      <c r="B1667">
        <v>14.73</v>
      </c>
      <c r="C1667">
        <v>14.43</v>
      </c>
      <c r="D1667">
        <v>14.27</v>
      </c>
      <c r="E1667">
        <v>23.94</v>
      </c>
      <c r="F1667">
        <v>7.73</v>
      </c>
      <c r="G1667">
        <v>17.61</v>
      </c>
      <c r="H1667">
        <v>8.1</v>
      </c>
      <c r="I1667">
        <v>18.21</v>
      </c>
    </row>
    <row r="1668" spans="1:9" x14ac:dyDescent="0.25">
      <c r="A1668" s="2">
        <v>44019</v>
      </c>
      <c r="B1668">
        <v>14.79</v>
      </c>
      <c r="C1668">
        <v>14.4</v>
      </c>
      <c r="D1668">
        <v>14.23</v>
      </c>
      <c r="E1668">
        <v>24.49</v>
      </c>
      <c r="F1668">
        <v>7.74</v>
      </c>
      <c r="G1668">
        <v>17.5</v>
      </c>
      <c r="H1668">
        <v>8.1300000000000008</v>
      </c>
      <c r="I1668">
        <v>18.59</v>
      </c>
    </row>
    <row r="1669" spans="1:9" x14ac:dyDescent="0.25">
      <c r="A1669" s="2">
        <v>44020</v>
      </c>
      <c r="B1669">
        <v>15.1</v>
      </c>
      <c r="C1669">
        <v>14.53</v>
      </c>
      <c r="D1669">
        <v>14.67</v>
      </c>
      <c r="E1669">
        <v>24.44</v>
      </c>
      <c r="F1669">
        <v>7.84</v>
      </c>
      <c r="G1669">
        <v>18.04</v>
      </c>
      <c r="H1669">
        <v>8.16</v>
      </c>
      <c r="I1669">
        <v>18.75</v>
      </c>
    </row>
    <row r="1670" spans="1:9" x14ac:dyDescent="0.25">
      <c r="A1670" s="2">
        <v>44021</v>
      </c>
      <c r="B1670">
        <v>14.98</v>
      </c>
      <c r="C1670">
        <v>14.66</v>
      </c>
      <c r="D1670">
        <v>14.34</v>
      </c>
      <c r="E1670">
        <v>24.45</v>
      </c>
      <c r="F1670">
        <v>7.78</v>
      </c>
      <c r="G1670">
        <v>18</v>
      </c>
      <c r="H1670">
        <v>8.16</v>
      </c>
      <c r="I1670">
        <v>18.46</v>
      </c>
    </row>
    <row r="1671" spans="1:9" x14ac:dyDescent="0.25">
      <c r="A1671" s="2">
        <v>44022</v>
      </c>
      <c r="B1671">
        <v>15.18</v>
      </c>
      <c r="C1671">
        <v>14.68</v>
      </c>
      <c r="D1671">
        <v>14.35</v>
      </c>
      <c r="E1671">
        <v>24.59</v>
      </c>
      <c r="F1671">
        <v>7.79</v>
      </c>
      <c r="G1671">
        <v>17.71</v>
      </c>
      <c r="H1671">
        <v>8.14</v>
      </c>
      <c r="I1671">
        <v>18.43</v>
      </c>
    </row>
    <row r="1672" spans="1:9" x14ac:dyDescent="0.25">
      <c r="A1672" s="2">
        <v>44025</v>
      </c>
      <c r="B1672">
        <v>15.35</v>
      </c>
      <c r="C1672">
        <v>14.82</v>
      </c>
      <c r="D1672">
        <v>14.38</v>
      </c>
      <c r="E1672">
        <v>24.41</v>
      </c>
      <c r="F1672">
        <v>7.75</v>
      </c>
      <c r="G1672">
        <v>17.71</v>
      </c>
      <c r="H1672">
        <v>8.24</v>
      </c>
      <c r="I1672">
        <v>18.38</v>
      </c>
    </row>
    <row r="1673" spans="1:9" x14ac:dyDescent="0.25">
      <c r="A1673" s="2">
        <v>44026</v>
      </c>
      <c r="B1673">
        <v>15.45</v>
      </c>
      <c r="C1673">
        <v>14.71</v>
      </c>
      <c r="D1673">
        <v>14.75</v>
      </c>
      <c r="E1673">
        <v>24.38</v>
      </c>
      <c r="F1673">
        <v>7.64</v>
      </c>
      <c r="G1673">
        <v>17.899999999999999</v>
      </c>
      <c r="H1673">
        <v>8.24</v>
      </c>
      <c r="I1673">
        <v>18.760000000000002</v>
      </c>
    </row>
    <row r="1674" spans="1:9" x14ac:dyDescent="0.25">
      <c r="A1674" s="2">
        <v>44027</v>
      </c>
      <c r="B1674">
        <v>15.21</v>
      </c>
      <c r="C1674">
        <v>14.74</v>
      </c>
      <c r="D1674">
        <v>14.07</v>
      </c>
      <c r="E1674">
        <v>23.91</v>
      </c>
      <c r="F1674">
        <v>7.55</v>
      </c>
      <c r="G1674">
        <v>18.37</v>
      </c>
      <c r="H1674">
        <v>8.1999999999999993</v>
      </c>
      <c r="I1674">
        <v>18.22</v>
      </c>
    </row>
    <row r="1675" spans="1:9" x14ac:dyDescent="0.25">
      <c r="A1675" s="2">
        <v>44028</v>
      </c>
      <c r="B1675">
        <v>15.56</v>
      </c>
      <c r="C1675">
        <v>14.81</v>
      </c>
      <c r="D1675">
        <v>14.54</v>
      </c>
      <c r="E1675">
        <v>24.37</v>
      </c>
      <c r="F1675">
        <v>7.64</v>
      </c>
      <c r="G1675">
        <v>17.649999999999999</v>
      </c>
      <c r="H1675">
        <v>8.16</v>
      </c>
      <c r="I1675">
        <v>18.68</v>
      </c>
    </row>
    <row r="1676" spans="1:9" x14ac:dyDescent="0.25">
      <c r="A1676" s="2">
        <v>44029</v>
      </c>
      <c r="B1676">
        <v>15.86</v>
      </c>
      <c r="C1676">
        <v>15</v>
      </c>
      <c r="D1676">
        <v>14.96</v>
      </c>
      <c r="E1676">
        <v>24.09</v>
      </c>
      <c r="F1676">
        <v>7.67</v>
      </c>
      <c r="G1676">
        <v>18.3</v>
      </c>
      <c r="H1676">
        <v>8.31</v>
      </c>
      <c r="I1676">
        <v>18.670000000000002</v>
      </c>
    </row>
    <row r="1677" spans="1:9" x14ac:dyDescent="0.25">
      <c r="A1677" s="2">
        <v>44032</v>
      </c>
      <c r="B1677">
        <v>15.78</v>
      </c>
      <c r="C1677">
        <v>15.07</v>
      </c>
      <c r="D1677">
        <v>14.8</v>
      </c>
      <c r="E1677">
        <v>24.19</v>
      </c>
      <c r="F1677">
        <v>7.73</v>
      </c>
      <c r="G1677">
        <v>18.34</v>
      </c>
      <c r="H1677">
        <v>8.3699999999999992</v>
      </c>
      <c r="I1677">
        <v>18.71</v>
      </c>
    </row>
    <row r="1678" spans="1:9" x14ac:dyDescent="0.25">
      <c r="A1678" s="2">
        <v>44033</v>
      </c>
      <c r="B1678">
        <v>16.02</v>
      </c>
      <c r="C1678">
        <v>15.14</v>
      </c>
      <c r="D1678">
        <v>14.99</v>
      </c>
      <c r="E1678">
        <v>24.68</v>
      </c>
      <c r="F1678">
        <v>7.94</v>
      </c>
      <c r="G1678">
        <v>18.440000000000001</v>
      </c>
      <c r="H1678">
        <v>8.39</v>
      </c>
      <c r="I1678">
        <v>18.98</v>
      </c>
    </row>
    <row r="1679" spans="1:9" x14ac:dyDescent="0.25">
      <c r="A1679" s="2">
        <v>44034</v>
      </c>
      <c r="B1679">
        <v>16.45</v>
      </c>
      <c r="C1679">
        <v>15.31</v>
      </c>
      <c r="D1679">
        <v>15.48</v>
      </c>
      <c r="E1679">
        <v>25.14</v>
      </c>
      <c r="F1679">
        <v>8.2100000000000009</v>
      </c>
      <c r="G1679">
        <v>18.79</v>
      </c>
      <c r="H1679">
        <v>8.5</v>
      </c>
      <c r="I1679">
        <v>19.399999999999999</v>
      </c>
    </row>
    <row r="1680" spans="1:9" x14ac:dyDescent="0.25">
      <c r="A1680" s="2">
        <v>44035</v>
      </c>
      <c r="B1680">
        <v>16.420000000000002</v>
      </c>
      <c r="C1680">
        <v>15.44</v>
      </c>
      <c r="D1680">
        <v>15.23</v>
      </c>
      <c r="E1680">
        <v>24.73</v>
      </c>
      <c r="F1680">
        <v>8.14</v>
      </c>
      <c r="G1680">
        <v>19.420000000000002</v>
      </c>
      <c r="H1680">
        <v>8.74</v>
      </c>
      <c r="I1680">
        <v>19.11</v>
      </c>
    </row>
    <row r="1681" spans="1:9" x14ac:dyDescent="0.25">
      <c r="A1681" s="2">
        <v>44036</v>
      </c>
      <c r="B1681">
        <v>16.47</v>
      </c>
      <c r="C1681">
        <v>15.56</v>
      </c>
      <c r="D1681">
        <v>15.1</v>
      </c>
      <c r="E1681">
        <v>24.63</v>
      </c>
      <c r="F1681">
        <v>8.2200000000000006</v>
      </c>
      <c r="G1681">
        <v>18.97</v>
      </c>
      <c r="H1681">
        <v>8.86</v>
      </c>
      <c r="I1681">
        <v>19.329999999999998</v>
      </c>
    </row>
    <row r="1682" spans="1:9" x14ac:dyDescent="0.25">
      <c r="A1682" s="2">
        <v>44039</v>
      </c>
      <c r="B1682">
        <v>16.079999999999998</v>
      </c>
      <c r="C1682">
        <v>15.53</v>
      </c>
      <c r="D1682">
        <v>14.45</v>
      </c>
      <c r="E1682">
        <v>23.82</v>
      </c>
      <c r="F1682">
        <v>7.96</v>
      </c>
      <c r="G1682">
        <v>19.079999999999998</v>
      </c>
      <c r="H1682">
        <v>8.89</v>
      </c>
      <c r="I1682">
        <v>18.600000000000001</v>
      </c>
    </row>
    <row r="1683" spans="1:9" x14ac:dyDescent="0.25">
      <c r="A1683" s="2">
        <v>44040</v>
      </c>
      <c r="B1683">
        <v>15.88</v>
      </c>
      <c r="C1683">
        <v>15.47</v>
      </c>
      <c r="D1683">
        <v>13.74</v>
      </c>
      <c r="E1683">
        <v>23.74</v>
      </c>
      <c r="F1683">
        <v>7.86</v>
      </c>
      <c r="G1683">
        <v>18.14</v>
      </c>
      <c r="H1683">
        <v>8.7799999999999994</v>
      </c>
      <c r="I1683">
        <v>18.41</v>
      </c>
    </row>
    <row r="1684" spans="1:9" x14ac:dyDescent="0.25">
      <c r="A1684" s="2">
        <v>44041</v>
      </c>
      <c r="B1684">
        <v>15.88</v>
      </c>
      <c r="C1684">
        <v>15.54</v>
      </c>
      <c r="D1684">
        <v>13.78</v>
      </c>
      <c r="E1684">
        <v>23.91</v>
      </c>
      <c r="F1684">
        <v>7.93</v>
      </c>
      <c r="G1684">
        <v>17.89</v>
      </c>
      <c r="H1684">
        <v>8.8699999999999992</v>
      </c>
      <c r="I1684">
        <v>18.690000000000001</v>
      </c>
    </row>
    <row r="1685" spans="1:9" x14ac:dyDescent="0.25">
      <c r="A1685" s="2">
        <v>44042</v>
      </c>
      <c r="B1685">
        <v>15.9</v>
      </c>
      <c r="C1685">
        <v>15.56</v>
      </c>
      <c r="D1685">
        <v>13.8</v>
      </c>
      <c r="E1685">
        <v>24.01</v>
      </c>
      <c r="F1685">
        <v>7.98</v>
      </c>
      <c r="G1685">
        <v>18.12</v>
      </c>
      <c r="H1685">
        <v>8.8800000000000008</v>
      </c>
      <c r="I1685">
        <v>18.559999999999999</v>
      </c>
    </row>
    <row r="1686" spans="1:9" x14ac:dyDescent="0.25">
      <c r="A1686" s="2">
        <v>44043</v>
      </c>
      <c r="B1686">
        <v>15.87</v>
      </c>
      <c r="C1686">
        <v>15.62</v>
      </c>
      <c r="D1686">
        <v>13.79</v>
      </c>
      <c r="E1686">
        <v>23.83</v>
      </c>
      <c r="F1686">
        <v>8</v>
      </c>
      <c r="G1686">
        <v>18.079999999999998</v>
      </c>
      <c r="H1686">
        <v>8.9</v>
      </c>
      <c r="I1686">
        <v>18.23</v>
      </c>
    </row>
    <row r="1687" spans="1:9" x14ac:dyDescent="0.25">
      <c r="A1687" s="2">
        <v>44046</v>
      </c>
      <c r="B1687">
        <v>15.58</v>
      </c>
      <c r="C1687">
        <v>15.56</v>
      </c>
      <c r="D1687">
        <v>13.49</v>
      </c>
      <c r="E1687">
        <v>23.61</v>
      </c>
      <c r="F1687">
        <v>7.96</v>
      </c>
      <c r="G1687">
        <v>17.57</v>
      </c>
      <c r="H1687">
        <v>8.9499999999999993</v>
      </c>
      <c r="I1687">
        <v>17.920000000000002</v>
      </c>
    </row>
    <row r="1688" spans="1:9" x14ac:dyDescent="0.25">
      <c r="A1688" s="2">
        <v>44047</v>
      </c>
      <c r="B1688">
        <v>15.94</v>
      </c>
      <c r="C1688">
        <v>15.65</v>
      </c>
      <c r="D1688">
        <v>13.68</v>
      </c>
      <c r="E1688">
        <v>24.33</v>
      </c>
      <c r="F1688">
        <v>8.2200000000000006</v>
      </c>
      <c r="G1688">
        <v>17.28</v>
      </c>
      <c r="H1688">
        <v>8.9499999999999993</v>
      </c>
      <c r="I1688">
        <v>18.53</v>
      </c>
    </row>
    <row r="1689" spans="1:9" x14ac:dyDescent="0.25">
      <c r="A1689" s="2">
        <v>44048</v>
      </c>
      <c r="B1689">
        <v>16.100000000000001</v>
      </c>
      <c r="C1689">
        <v>15.71</v>
      </c>
      <c r="D1689">
        <v>14.18</v>
      </c>
      <c r="E1689">
        <v>24.66</v>
      </c>
      <c r="F1689">
        <v>8.44</v>
      </c>
      <c r="G1689">
        <v>17.8</v>
      </c>
      <c r="H1689">
        <v>8.9600000000000009</v>
      </c>
      <c r="I1689">
        <v>18.71</v>
      </c>
    </row>
    <row r="1690" spans="1:9" x14ac:dyDescent="0.25">
      <c r="A1690" s="2">
        <v>44049</v>
      </c>
      <c r="B1690">
        <v>16.16</v>
      </c>
      <c r="C1690">
        <v>15.71</v>
      </c>
      <c r="D1690">
        <v>14.41</v>
      </c>
      <c r="E1690">
        <v>24.75</v>
      </c>
      <c r="F1690">
        <v>8.33</v>
      </c>
      <c r="G1690">
        <v>18</v>
      </c>
      <c r="H1690">
        <v>9.0500000000000007</v>
      </c>
      <c r="I1690">
        <v>18.739999999999998</v>
      </c>
    </row>
    <row r="1691" spans="1:9" x14ac:dyDescent="0.25">
      <c r="A1691" s="2">
        <v>44050</v>
      </c>
      <c r="B1691">
        <v>16.3</v>
      </c>
      <c r="C1691">
        <v>15.85</v>
      </c>
      <c r="D1691">
        <v>14.31</v>
      </c>
      <c r="E1691">
        <v>24.97</v>
      </c>
      <c r="F1691">
        <v>8.58</v>
      </c>
      <c r="G1691">
        <v>18.11</v>
      </c>
      <c r="H1691">
        <v>9.0399999999999991</v>
      </c>
      <c r="I1691">
        <v>18.760000000000002</v>
      </c>
    </row>
    <row r="1692" spans="1:9" x14ac:dyDescent="0.25">
      <c r="A1692" s="2">
        <v>44053</v>
      </c>
      <c r="B1692">
        <v>16.46</v>
      </c>
      <c r="C1692">
        <v>15.89</v>
      </c>
      <c r="D1692">
        <v>14.78</v>
      </c>
      <c r="E1692">
        <v>25.05</v>
      </c>
      <c r="F1692">
        <v>8.6999999999999993</v>
      </c>
      <c r="G1692">
        <v>18.04</v>
      </c>
      <c r="H1692">
        <v>9.1</v>
      </c>
      <c r="I1692">
        <v>19.02</v>
      </c>
    </row>
    <row r="1693" spans="1:9" x14ac:dyDescent="0.25">
      <c r="A1693" s="2">
        <v>44054</v>
      </c>
      <c r="B1693">
        <v>16.53</v>
      </c>
      <c r="C1693">
        <v>15.99</v>
      </c>
      <c r="D1693">
        <v>14.89</v>
      </c>
      <c r="E1693">
        <v>25.21</v>
      </c>
      <c r="F1693">
        <v>8.8800000000000008</v>
      </c>
      <c r="G1693">
        <v>18.21</v>
      </c>
      <c r="H1693">
        <v>9.09</v>
      </c>
      <c r="I1693">
        <v>19.23</v>
      </c>
    </row>
    <row r="1694" spans="1:9" x14ac:dyDescent="0.25">
      <c r="A1694" s="2">
        <v>44055</v>
      </c>
      <c r="B1694">
        <v>16.489999999999998</v>
      </c>
      <c r="C1694">
        <v>15.89</v>
      </c>
      <c r="D1694">
        <v>15.14</v>
      </c>
      <c r="E1694">
        <v>25.28</v>
      </c>
      <c r="F1694">
        <v>8.7799999999999994</v>
      </c>
      <c r="G1694">
        <v>18.399999999999999</v>
      </c>
      <c r="H1694">
        <v>9.16</v>
      </c>
      <c r="I1694">
        <v>19.52</v>
      </c>
    </row>
    <row r="1695" spans="1:9" x14ac:dyDescent="0.25">
      <c r="A1695" s="2">
        <v>44056</v>
      </c>
      <c r="B1695">
        <v>16.45</v>
      </c>
      <c r="C1695">
        <v>15.79</v>
      </c>
      <c r="D1695">
        <v>15.09</v>
      </c>
      <c r="E1695">
        <v>25.4</v>
      </c>
      <c r="F1695">
        <v>8.66</v>
      </c>
      <c r="G1695">
        <v>18.87</v>
      </c>
      <c r="H1695">
        <v>9.11</v>
      </c>
      <c r="I1695">
        <v>19.54</v>
      </c>
    </row>
    <row r="1696" spans="1:9" x14ac:dyDescent="0.25">
      <c r="A1696" s="2">
        <v>44057</v>
      </c>
      <c r="B1696">
        <v>16.55</v>
      </c>
      <c r="C1696">
        <v>15.64</v>
      </c>
      <c r="D1696">
        <v>15.28</v>
      </c>
      <c r="E1696">
        <v>25.23</v>
      </c>
      <c r="F1696">
        <v>8.4499999999999993</v>
      </c>
      <c r="G1696">
        <v>18.989999999999998</v>
      </c>
      <c r="H1696">
        <v>9.01</v>
      </c>
      <c r="I1696">
        <v>19.38</v>
      </c>
    </row>
    <row r="1697" spans="1:9" x14ac:dyDescent="0.25">
      <c r="A1697" s="2">
        <v>44060</v>
      </c>
      <c r="B1697">
        <v>16.57</v>
      </c>
      <c r="C1697">
        <v>15.59</v>
      </c>
      <c r="D1697">
        <v>15.03</v>
      </c>
      <c r="E1697">
        <v>24.99</v>
      </c>
      <c r="F1697">
        <v>8.25</v>
      </c>
      <c r="G1697">
        <v>18.89</v>
      </c>
      <c r="H1697">
        <v>8.94</v>
      </c>
      <c r="I1697">
        <v>19.260000000000002</v>
      </c>
    </row>
    <row r="1698" spans="1:9" x14ac:dyDescent="0.25">
      <c r="A1698" s="2">
        <v>44061</v>
      </c>
      <c r="B1698">
        <v>16.54</v>
      </c>
      <c r="C1698">
        <v>15.53</v>
      </c>
      <c r="D1698">
        <v>14.92</v>
      </c>
      <c r="E1698">
        <v>25.11</v>
      </c>
      <c r="F1698">
        <v>8.2100000000000009</v>
      </c>
      <c r="G1698">
        <v>18.54</v>
      </c>
      <c r="H1698">
        <v>8.9</v>
      </c>
      <c r="I1698">
        <v>19.510000000000002</v>
      </c>
    </row>
    <row r="1699" spans="1:9" x14ac:dyDescent="0.25">
      <c r="A1699" s="2">
        <v>44062</v>
      </c>
      <c r="B1699">
        <v>16.559999999999999</v>
      </c>
      <c r="C1699">
        <v>15.52</v>
      </c>
      <c r="D1699">
        <v>14.93</v>
      </c>
      <c r="E1699">
        <v>25</v>
      </c>
      <c r="F1699">
        <v>8.08</v>
      </c>
      <c r="G1699">
        <v>18.55</v>
      </c>
      <c r="H1699">
        <v>8.84</v>
      </c>
      <c r="I1699">
        <v>19.399999999999999</v>
      </c>
    </row>
    <row r="1700" spans="1:9" x14ac:dyDescent="0.25">
      <c r="A1700" s="2">
        <v>44063</v>
      </c>
      <c r="B1700">
        <v>16.64</v>
      </c>
      <c r="C1700">
        <v>15.59</v>
      </c>
      <c r="D1700">
        <v>14.93</v>
      </c>
      <c r="E1700">
        <v>25.14</v>
      </c>
      <c r="F1700">
        <v>8.2200000000000006</v>
      </c>
      <c r="G1700">
        <v>18.41</v>
      </c>
      <c r="H1700">
        <v>8.84</v>
      </c>
      <c r="I1700">
        <v>19.61</v>
      </c>
    </row>
    <row r="1701" spans="1:9" x14ac:dyDescent="0.25">
      <c r="A1701" s="2">
        <v>44064</v>
      </c>
      <c r="B1701">
        <v>16.600000000000001</v>
      </c>
      <c r="C1701">
        <v>15.7</v>
      </c>
      <c r="D1701">
        <v>15.06</v>
      </c>
      <c r="E1701">
        <v>25.02</v>
      </c>
      <c r="F1701">
        <v>8.31</v>
      </c>
      <c r="G1701">
        <v>18.66</v>
      </c>
      <c r="H1701">
        <v>8.93</v>
      </c>
      <c r="I1701">
        <v>19.440000000000001</v>
      </c>
    </row>
    <row r="1702" spans="1:9" x14ac:dyDescent="0.25">
      <c r="A1702" s="2">
        <v>44067</v>
      </c>
      <c r="B1702">
        <v>16.77</v>
      </c>
      <c r="C1702">
        <v>15.83</v>
      </c>
      <c r="D1702">
        <v>15.37</v>
      </c>
      <c r="E1702">
        <v>25.46</v>
      </c>
      <c r="F1702">
        <v>8.5299999999999994</v>
      </c>
      <c r="G1702">
        <v>18.329999999999998</v>
      </c>
      <c r="H1702">
        <v>8.94</v>
      </c>
      <c r="I1702">
        <v>19.64</v>
      </c>
    </row>
    <row r="1703" spans="1:9" x14ac:dyDescent="0.25">
      <c r="A1703" s="2">
        <v>44068</v>
      </c>
      <c r="B1703">
        <v>16.98</v>
      </c>
      <c r="C1703">
        <v>15.82</v>
      </c>
      <c r="D1703">
        <v>15.65</v>
      </c>
      <c r="E1703">
        <v>25.88</v>
      </c>
      <c r="F1703">
        <v>8.5399999999999991</v>
      </c>
      <c r="G1703">
        <v>18.5</v>
      </c>
      <c r="H1703">
        <v>9.01</v>
      </c>
      <c r="I1703">
        <v>20.03</v>
      </c>
    </row>
    <row r="1704" spans="1:9" x14ac:dyDescent="0.25">
      <c r="A1704" s="2">
        <v>44069</v>
      </c>
      <c r="B1704">
        <v>17.149999999999999</v>
      </c>
      <c r="C1704">
        <v>15.75</v>
      </c>
      <c r="D1704">
        <v>15.96</v>
      </c>
      <c r="E1704">
        <v>25.8</v>
      </c>
      <c r="F1704">
        <v>8.25</v>
      </c>
      <c r="G1704">
        <v>19.14</v>
      </c>
      <c r="H1704">
        <v>9.06</v>
      </c>
      <c r="I1704">
        <v>19.899999999999999</v>
      </c>
    </row>
    <row r="1705" spans="1:9" x14ac:dyDescent="0.25">
      <c r="A1705" s="2">
        <v>44070</v>
      </c>
      <c r="B1705">
        <v>17.29</v>
      </c>
      <c r="C1705">
        <v>15.68</v>
      </c>
      <c r="D1705">
        <v>15.95</v>
      </c>
      <c r="E1705">
        <v>26.15</v>
      </c>
      <c r="F1705">
        <v>8.24</v>
      </c>
      <c r="G1705">
        <v>19.100000000000001</v>
      </c>
      <c r="H1705">
        <v>8.93</v>
      </c>
      <c r="I1705">
        <v>20.25</v>
      </c>
    </row>
    <row r="1706" spans="1:9" x14ac:dyDescent="0.25">
      <c r="A1706" s="2">
        <v>44071</v>
      </c>
      <c r="B1706">
        <v>17.46</v>
      </c>
      <c r="C1706">
        <v>15.6</v>
      </c>
      <c r="D1706">
        <v>16.47</v>
      </c>
      <c r="E1706">
        <v>26.2</v>
      </c>
      <c r="F1706">
        <v>8.18</v>
      </c>
      <c r="G1706">
        <v>19.350000000000001</v>
      </c>
      <c r="H1706">
        <v>8.89</v>
      </c>
      <c r="I1706">
        <v>20.39</v>
      </c>
    </row>
    <row r="1707" spans="1:9" x14ac:dyDescent="0.25">
      <c r="A1707" s="2">
        <v>44074</v>
      </c>
      <c r="B1707">
        <v>17.32</v>
      </c>
      <c r="C1707">
        <v>15.53</v>
      </c>
      <c r="D1707">
        <v>16.2</v>
      </c>
      <c r="E1707">
        <v>25.99</v>
      </c>
      <c r="F1707">
        <v>8.01</v>
      </c>
      <c r="G1707">
        <v>19.43</v>
      </c>
      <c r="H1707">
        <v>8.8800000000000008</v>
      </c>
      <c r="I1707">
        <v>20.05</v>
      </c>
    </row>
    <row r="1708" spans="1:9" x14ac:dyDescent="0.25">
      <c r="A1708" s="2">
        <v>44075</v>
      </c>
      <c r="B1708">
        <v>17.23</v>
      </c>
      <c r="C1708">
        <v>15.51</v>
      </c>
      <c r="D1708">
        <v>16.09</v>
      </c>
      <c r="E1708">
        <v>25.7</v>
      </c>
      <c r="F1708">
        <v>7.93</v>
      </c>
      <c r="G1708">
        <v>19.16</v>
      </c>
      <c r="H1708">
        <v>8.9499999999999993</v>
      </c>
      <c r="I1708">
        <v>19.71</v>
      </c>
    </row>
    <row r="1709" spans="1:9" x14ac:dyDescent="0.25">
      <c r="A1709" s="2">
        <v>44076</v>
      </c>
      <c r="B1709">
        <v>17.07</v>
      </c>
      <c r="C1709">
        <v>15.57</v>
      </c>
      <c r="D1709">
        <v>15.9</v>
      </c>
      <c r="E1709">
        <v>25.9</v>
      </c>
      <c r="F1709">
        <v>8.1300000000000008</v>
      </c>
      <c r="G1709">
        <v>18.96</v>
      </c>
      <c r="H1709">
        <v>8.99</v>
      </c>
      <c r="I1709">
        <v>19.95</v>
      </c>
    </row>
    <row r="1710" spans="1:9" x14ac:dyDescent="0.25">
      <c r="A1710" s="2">
        <v>44077</v>
      </c>
      <c r="B1710">
        <v>17.79</v>
      </c>
      <c r="C1710">
        <v>15.93</v>
      </c>
      <c r="D1710">
        <v>16.350000000000001</v>
      </c>
      <c r="E1710">
        <v>26.77</v>
      </c>
      <c r="F1710">
        <v>8.65</v>
      </c>
      <c r="G1710">
        <v>19.059999999999999</v>
      </c>
      <c r="H1710">
        <v>9.1300000000000008</v>
      </c>
      <c r="I1710">
        <v>20.95</v>
      </c>
    </row>
    <row r="1711" spans="1:9" x14ac:dyDescent="0.25">
      <c r="A1711" s="2">
        <v>44078</v>
      </c>
      <c r="B1711">
        <v>18.100000000000001</v>
      </c>
      <c r="C1711">
        <v>16.21</v>
      </c>
      <c r="D1711">
        <v>17.329999999999998</v>
      </c>
      <c r="E1711">
        <v>26.43</v>
      </c>
      <c r="F1711">
        <v>8.86</v>
      </c>
      <c r="G1711">
        <v>20.02</v>
      </c>
      <c r="H1711">
        <v>9.34</v>
      </c>
      <c r="I1711">
        <v>20.420000000000002</v>
      </c>
    </row>
    <row r="1712" spans="1:9" x14ac:dyDescent="0.25">
      <c r="A1712" s="2">
        <v>44081</v>
      </c>
      <c r="B1712">
        <v>17.12</v>
      </c>
      <c r="C1712">
        <v>16.12</v>
      </c>
      <c r="D1712">
        <v>15.91</v>
      </c>
      <c r="E1712">
        <v>25.58</v>
      </c>
      <c r="F1712">
        <v>8.67</v>
      </c>
      <c r="G1712">
        <v>19.64</v>
      </c>
      <c r="H1712">
        <v>9.3699999999999992</v>
      </c>
      <c r="I1712">
        <v>19.48</v>
      </c>
    </row>
    <row r="1713" spans="1:9" x14ac:dyDescent="0.25">
      <c r="A1713" s="2">
        <v>44082</v>
      </c>
      <c r="B1713">
        <v>16.899999999999999</v>
      </c>
      <c r="C1713">
        <v>15.96</v>
      </c>
      <c r="D1713">
        <v>15.56</v>
      </c>
      <c r="E1713">
        <v>25.7</v>
      </c>
      <c r="F1713">
        <v>8.65</v>
      </c>
      <c r="G1713">
        <v>18.670000000000002</v>
      </c>
      <c r="H1713">
        <v>9.2799999999999994</v>
      </c>
      <c r="I1713">
        <v>19.920000000000002</v>
      </c>
    </row>
    <row r="1714" spans="1:9" x14ac:dyDescent="0.25">
      <c r="A1714" s="2">
        <v>44083</v>
      </c>
      <c r="B1714">
        <v>16.8</v>
      </c>
      <c r="C1714">
        <v>16.04</v>
      </c>
      <c r="D1714">
        <v>15.42</v>
      </c>
      <c r="E1714">
        <v>25.23</v>
      </c>
      <c r="F1714">
        <v>8.66</v>
      </c>
      <c r="G1714">
        <v>19.04</v>
      </c>
      <c r="H1714">
        <v>9.26</v>
      </c>
      <c r="I1714">
        <v>19.41</v>
      </c>
    </row>
    <row r="1715" spans="1:9" x14ac:dyDescent="0.25">
      <c r="A1715" s="2">
        <v>44084</v>
      </c>
      <c r="B1715">
        <v>16.57</v>
      </c>
      <c r="C1715">
        <v>15.98</v>
      </c>
      <c r="D1715">
        <v>14.86</v>
      </c>
      <c r="E1715">
        <v>25.38</v>
      </c>
      <c r="F1715">
        <v>8.61</v>
      </c>
      <c r="G1715">
        <v>18.399999999999999</v>
      </c>
      <c r="H1715">
        <v>9.2100000000000009</v>
      </c>
      <c r="I1715">
        <v>19.77</v>
      </c>
    </row>
    <row r="1716" spans="1:9" x14ac:dyDescent="0.25">
      <c r="A1716" s="2">
        <v>44085</v>
      </c>
      <c r="B1716">
        <v>16.68</v>
      </c>
      <c r="C1716">
        <v>15.82</v>
      </c>
      <c r="D1716">
        <v>15.22</v>
      </c>
      <c r="E1716">
        <v>25.1</v>
      </c>
      <c r="F1716">
        <v>8.3800000000000008</v>
      </c>
      <c r="G1716">
        <v>18.850000000000001</v>
      </c>
      <c r="H1716">
        <v>9.2100000000000009</v>
      </c>
      <c r="I1716">
        <v>19.64</v>
      </c>
    </row>
    <row r="1717" spans="1:9" x14ac:dyDescent="0.25">
      <c r="A1717" s="2">
        <v>44088</v>
      </c>
      <c r="B1717">
        <v>16.5</v>
      </c>
      <c r="C1717">
        <v>15.9</v>
      </c>
      <c r="D1717">
        <v>14.44</v>
      </c>
      <c r="E1717">
        <v>25.05</v>
      </c>
      <c r="F1717">
        <v>8.56</v>
      </c>
      <c r="G1717">
        <v>18.760000000000002</v>
      </c>
      <c r="H1717">
        <v>9.16</v>
      </c>
      <c r="I1717">
        <v>19.649999999999999</v>
      </c>
    </row>
    <row r="1718" spans="1:9" x14ac:dyDescent="0.25">
      <c r="A1718" s="2">
        <v>44089</v>
      </c>
      <c r="B1718">
        <v>16.57</v>
      </c>
      <c r="C1718">
        <v>15.96</v>
      </c>
      <c r="D1718">
        <v>14.83</v>
      </c>
      <c r="E1718">
        <v>25.43</v>
      </c>
      <c r="F1718">
        <v>8.52</v>
      </c>
      <c r="G1718">
        <v>18.62</v>
      </c>
      <c r="H1718">
        <v>9.23</v>
      </c>
      <c r="I1718">
        <v>19.91</v>
      </c>
    </row>
    <row r="1719" spans="1:9" x14ac:dyDescent="0.25">
      <c r="A1719" s="2">
        <v>44090</v>
      </c>
      <c r="B1719">
        <v>16.86</v>
      </c>
      <c r="C1719">
        <v>15.95</v>
      </c>
      <c r="D1719">
        <v>15.32</v>
      </c>
      <c r="E1719">
        <v>25.85</v>
      </c>
      <c r="F1719">
        <v>8.64</v>
      </c>
      <c r="G1719">
        <v>18.89</v>
      </c>
      <c r="H1719">
        <v>9.25</v>
      </c>
      <c r="I1719">
        <v>20.39</v>
      </c>
    </row>
    <row r="1720" spans="1:9" x14ac:dyDescent="0.25">
      <c r="A1720" s="2">
        <v>44091</v>
      </c>
      <c r="B1720">
        <v>17</v>
      </c>
      <c r="C1720">
        <v>15.99</v>
      </c>
      <c r="D1720">
        <v>15.66</v>
      </c>
      <c r="E1720">
        <v>26.06</v>
      </c>
      <c r="F1720">
        <v>8.69</v>
      </c>
      <c r="G1720">
        <v>19.34</v>
      </c>
      <c r="H1720">
        <v>9.33</v>
      </c>
      <c r="I1720">
        <v>20.62</v>
      </c>
    </row>
    <row r="1721" spans="1:9" x14ac:dyDescent="0.25">
      <c r="A1721" s="2">
        <v>44092</v>
      </c>
      <c r="B1721">
        <v>16.920000000000002</v>
      </c>
      <c r="C1721">
        <v>16.11</v>
      </c>
      <c r="D1721">
        <v>15.54</v>
      </c>
      <c r="E1721">
        <v>25.62</v>
      </c>
      <c r="F1721">
        <v>8.6</v>
      </c>
      <c r="G1721">
        <v>19.600000000000001</v>
      </c>
      <c r="H1721">
        <v>9.36</v>
      </c>
      <c r="I1721">
        <v>20.27</v>
      </c>
    </row>
    <row r="1722" spans="1:9" x14ac:dyDescent="0.25">
      <c r="A1722" s="2">
        <v>44095</v>
      </c>
      <c r="B1722">
        <v>16.63</v>
      </c>
      <c r="C1722">
        <v>16.04</v>
      </c>
      <c r="D1722">
        <v>15.24</v>
      </c>
      <c r="E1722">
        <v>25.25</v>
      </c>
      <c r="F1722">
        <v>8.43</v>
      </c>
      <c r="G1722">
        <v>19.18</v>
      </c>
      <c r="H1722">
        <v>9.34</v>
      </c>
      <c r="I1722">
        <v>19.93</v>
      </c>
    </row>
    <row r="1723" spans="1:9" x14ac:dyDescent="0.25">
      <c r="A1723" s="2">
        <v>44096</v>
      </c>
      <c r="B1723">
        <v>16.16</v>
      </c>
      <c r="C1723">
        <v>16.07</v>
      </c>
      <c r="D1723">
        <v>14.61</v>
      </c>
      <c r="E1723">
        <v>24.58</v>
      </c>
      <c r="F1723">
        <v>8.26</v>
      </c>
      <c r="G1723">
        <v>18.89</v>
      </c>
      <c r="H1723">
        <v>9.26</v>
      </c>
      <c r="I1723">
        <v>18.989999999999998</v>
      </c>
    </row>
    <row r="1724" spans="1:9" x14ac:dyDescent="0.25">
      <c r="A1724" s="2">
        <v>44097</v>
      </c>
      <c r="B1724">
        <v>16.11</v>
      </c>
      <c r="C1724">
        <v>15.99</v>
      </c>
      <c r="D1724">
        <v>14.51</v>
      </c>
      <c r="E1724">
        <v>24.8</v>
      </c>
      <c r="F1724">
        <v>8.25</v>
      </c>
      <c r="G1724">
        <v>17.59</v>
      </c>
      <c r="H1724">
        <v>9.07</v>
      </c>
      <c r="I1724">
        <v>19.239999999999998</v>
      </c>
    </row>
    <row r="1725" spans="1:9" x14ac:dyDescent="0.25">
      <c r="A1725" s="2">
        <v>44098</v>
      </c>
      <c r="B1725">
        <v>16.39</v>
      </c>
      <c r="C1725">
        <v>15.91</v>
      </c>
      <c r="D1725">
        <v>14.94</v>
      </c>
      <c r="E1725">
        <v>24.76</v>
      </c>
      <c r="F1725">
        <v>8.17</v>
      </c>
      <c r="G1725">
        <v>17.649999999999999</v>
      </c>
      <c r="H1725">
        <v>9</v>
      </c>
      <c r="I1725">
        <v>19.57</v>
      </c>
    </row>
    <row r="1726" spans="1:9" x14ac:dyDescent="0.25">
      <c r="A1726" s="2">
        <v>44099</v>
      </c>
      <c r="B1726">
        <v>16</v>
      </c>
      <c r="C1726">
        <v>15.88</v>
      </c>
      <c r="D1726">
        <v>14.29</v>
      </c>
      <c r="E1726">
        <v>24.19</v>
      </c>
      <c r="F1726">
        <v>7.95</v>
      </c>
      <c r="G1726">
        <v>17.93</v>
      </c>
      <c r="H1726">
        <v>8.81</v>
      </c>
      <c r="I1726">
        <v>18.920000000000002</v>
      </c>
    </row>
    <row r="1727" spans="1:9" x14ac:dyDescent="0.25">
      <c r="A1727" s="2">
        <v>44102</v>
      </c>
      <c r="B1727">
        <v>15.99</v>
      </c>
      <c r="C1727">
        <v>15.74</v>
      </c>
      <c r="D1727">
        <v>14.36</v>
      </c>
      <c r="E1727">
        <v>24.62</v>
      </c>
      <c r="F1727">
        <v>8.1</v>
      </c>
      <c r="G1727">
        <v>17.22</v>
      </c>
      <c r="H1727">
        <v>8.69</v>
      </c>
      <c r="I1727">
        <v>19</v>
      </c>
    </row>
    <row r="1728" spans="1:9" x14ac:dyDescent="0.25">
      <c r="A1728" s="2">
        <v>44103</v>
      </c>
      <c r="B1728">
        <v>16.47</v>
      </c>
      <c r="C1728">
        <v>15.66</v>
      </c>
      <c r="D1728">
        <v>15.16</v>
      </c>
      <c r="E1728">
        <v>25.31</v>
      </c>
      <c r="F1728">
        <v>8.14</v>
      </c>
      <c r="G1728">
        <v>17.29</v>
      </c>
      <c r="H1728">
        <v>8.7100000000000009</v>
      </c>
      <c r="I1728">
        <v>19.79</v>
      </c>
    </row>
    <row r="1729" spans="1:9" x14ac:dyDescent="0.25">
      <c r="A1729" s="2">
        <v>44104</v>
      </c>
      <c r="B1729">
        <v>16.760000000000002</v>
      </c>
      <c r="C1729">
        <v>15.7</v>
      </c>
      <c r="D1729">
        <v>15.65</v>
      </c>
      <c r="E1729">
        <v>25.07</v>
      </c>
      <c r="F1729">
        <v>8.01</v>
      </c>
      <c r="G1729">
        <v>18.260000000000002</v>
      </c>
      <c r="H1729">
        <v>8.7200000000000006</v>
      </c>
      <c r="I1729">
        <v>19.61</v>
      </c>
    </row>
    <row r="1730" spans="1:9" x14ac:dyDescent="0.25">
      <c r="A1730" s="2">
        <v>44105</v>
      </c>
      <c r="B1730">
        <v>16.579999999999998</v>
      </c>
      <c r="C1730">
        <v>15.68</v>
      </c>
      <c r="D1730">
        <v>15.44</v>
      </c>
      <c r="E1730">
        <v>25.26</v>
      </c>
      <c r="F1730">
        <v>8.01</v>
      </c>
      <c r="G1730">
        <v>18.11</v>
      </c>
      <c r="H1730">
        <v>8.7200000000000006</v>
      </c>
      <c r="I1730">
        <v>19.75</v>
      </c>
    </row>
    <row r="1731" spans="1:9" x14ac:dyDescent="0.25">
      <c r="A1731" s="2">
        <v>44106</v>
      </c>
      <c r="B1731">
        <v>16.63</v>
      </c>
      <c r="C1731">
        <v>15.71</v>
      </c>
      <c r="D1731">
        <v>15.48</v>
      </c>
      <c r="E1731">
        <v>25.59</v>
      </c>
      <c r="F1731">
        <v>8.14</v>
      </c>
      <c r="G1731">
        <v>18.21</v>
      </c>
      <c r="H1731">
        <v>8.7799999999999994</v>
      </c>
      <c r="I1731">
        <v>19.93</v>
      </c>
    </row>
    <row r="1732" spans="1:9" x14ac:dyDescent="0.25">
      <c r="A1732" s="2">
        <v>44109</v>
      </c>
      <c r="B1732">
        <v>16.66</v>
      </c>
      <c r="C1732">
        <v>15.78</v>
      </c>
      <c r="D1732">
        <v>15.64</v>
      </c>
      <c r="E1732">
        <v>25.44</v>
      </c>
      <c r="F1732">
        <v>8.2100000000000009</v>
      </c>
      <c r="G1732">
        <v>18.48</v>
      </c>
      <c r="H1732">
        <v>8.8699999999999992</v>
      </c>
      <c r="I1732">
        <v>19.96</v>
      </c>
    </row>
    <row r="1733" spans="1:9" x14ac:dyDescent="0.25">
      <c r="A1733" s="2">
        <v>44110</v>
      </c>
      <c r="B1733">
        <v>16.61</v>
      </c>
      <c r="C1733">
        <v>15.76</v>
      </c>
      <c r="D1733">
        <v>15.46</v>
      </c>
      <c r="E1733">
        <v>25.68</v>
      </c>
      <c r="F1733">
        <v>8.1</v>
      </c>
      <c r="G1733">
        <v>18.43</v>
      </c>
      <c r="H1733">
        <v>8.85</v>
      </c>
      <c r="I1733">
        <v>20.07</v>
      </c>
    </row>
    <row r="1734" spans="1:9" x14ac:dyDescent="0.25">
      <c r="A1734" s="2">
        <v>44111</v>
      </c>
      <c r="B1734">
        <v>16.920000000000002</v>
      </c>
      <c r="C1734">
        <v>15.76</v>
      </c>
      <c r="D1734">
        <v>15.89</v>
      </c>
      <c r="E1734">
        <v>25.81</v>
      </c>
      <c r="F1734">
        <v>8.1999999999999993</v>
      </c>
      <c r="G1734">
        <v>18.73</v>
      </c>
      <c r="H1734">
        <v>8.9</v>
      </c>
      <c r="I1734">
        <v>20.309999999999999</v>
      </c>
    </row>
    <row r="1735" spans="1:9" x14ac:dyDescent="0.25">
      <c r="A1735" s="2">
        <v>44112</v>
      </c>
      <c r="B1735">
        <v>16.739999999999998</v>
      </c>
      <c r="C1735">
        <v>15.85</v>
      </c>
      <c r="D1735">
        <v>15.64</v>
      </c>
      <c r="E1735">
        <v>26.08</v>
      </c>
      <c r="F1735">
        <v>8.26</v>
      </c>
      <c r="G1735">
        <v>19.010000000000002</v>
      </c>
      <c r="H1735">
        <v>9.02</v>
      </c>
      <c r="I1735">
        <v>20.32</v>
      </c>
    </row>
    <row r="1736" spans="1:9" x14ac:dyDescent="0.25">
      <c r="A1736" s="2">
        <v>44113</v>
      </c>
      <c r="B1736">
        <v>17.239999999999998</v>
      </c>
      <c r="C1736">
        <v>15.91</v>
      </c>
      <c r="D1736">
        <v>16.32</v>
      </c>
      <c r="E1736">
        <v>26.61</v>
      </c>
      <c r="F1736">
        <v>8.56</v>
      </c>
      <c r="G1736">
        <v>18.96</v>
      </c>
      <c r="H1736">
        <v>9.02</v>
      </c>
      <c r="I1736">
        <v>20.76</v>
      </c>
    </row>
    <row r="1737" spans="1:9" x14ac:dyDescent="0.25">
      <c r="A1737" s="2">
        <v>44116</v>
      </c>
      <c r="B1737">
        <v>17.420000000000002</v>
      </c>
      <c r="C1737">
        <v>15.98</v>
      </c>
      <c r="D1737">
        <v>16.79</v>
      </c>
      <c r="E1737">
        <v>26.99</v>
      </c>
      <c r="F1737">
        <v>8.65</v>
      </c>
      <c r="G1737">
        <v>19.48</v>
      </c>
      <c r="H1737">
        <v>9.17</v>
      </c>
      <c r="I1737">
        <v>21.06</v>
      </c>
    </row>
    <row r="1738" spans="1:9" x14ac:dyDescent="0.25">
      <c r="A1738" s="2">
        <v>44117</v>
      </c>
      <c r="B1738">
        <v>17.78</v>
      </c>
      <c r="C1738">
        <v>16.03</v>
      </c>
      <c r="D1738">
        <v>17.149999999999999</v>
      </c>
      <c r="E1738">
        <v>27.65</v>
      </c>
      <c r="F1738">
        <v>8.77</v>
      </c>
      <c r="G1738">
        <v>19.78</v>
      </c>
      <c r="H1738">
        <v>9.2899999999999991</v>
      </c>
      <c r="I1738">
        <v>21.6</v>
      </c>
    </row>
    <row r="1739" spans="1:9" x14ac:dyDescent="0.25">
      <c r="A1739" s="2">
        <v>44118</v>
      </c>
      <c r="B1739">
        <v>18.07</v>
      </c>
      <c r="C1739">
        <v>16.13</v>
      </c>
      <c r="D1739">
        <v>17.66</v>
      </c>
      <c r="E1739">
        <v>27.84</v>
      </c>
      <c r="F1739">
        <v>8.98</v>
      </c>
      <c r="G1739">
        <v>20.34</v>
      </c>
      <c r="H1739">
        <v>9.32</v>
      </c>
      <c r="I1739">
        <v>21.81</v>
      </c>
    </row>
    <row r="1740" spans="1:9" x14ac:dyDescent="0.25">
      <c r="A1740" s="2">
        <v>44119</v>
      </c>
      <c r="B1740">
        <v>18.2</v>
      </c>
      <c r="C1740">
        <v>16.28</v>
      </c>
      <c r="D1740">
        <v>17.87</v>
      </c>
      <c r="E1740">
        <v>27.82</v>
      </c>
      <c r="F1740">
        <v>8.9499999999999993</v>
      </c>
      <c r="G1740">
        <v>20.420000000000002</v>
      </c>
      <c r="H1740">
        <v>9.3800000000000008</v>
      </c>
      <c r="I1740">
        <v>21.86</v>
      </c>
    </row>
    <row r="1741" spans="1:9" x14ac:dyDescent="0.25">
      <c r="A1741" s="2">
        <v>44120</v>
      </c>
      <c r="B1741">
        <v>17.86</v>
      </c>
      <c r="C1741">
        <v>16.37</v>
      </c>
      <c r="D1741">
        <v>17.57</v>
      </c>
      <c r="E1741">
        <v>27.26</v>
      </c>
      <c r="F1741">
        <v>8.8800000000000008</v>
      </c>
      <c r="G1741">
        <v>20.36</v>
      </c>
      <c r="H1741">
        <v>9.3800000000000008</v>
      </c>
      <c r="I1741">
        <v>21.38</v>
      </c>
    </row>
    <row r="1742" spans="1:9" x14ac:dyDescent="0.25">
      <c r="A1742" s="2">
        <v>44123</v>
      </c>
      <c r="B1742">
        <v>17.98</v>
      </c>
      <c r="C1742">
        <v>16.3</v>
      </c>
      <c r="D1742">
        <v>17.59</v>
      </c>
      <c r="E1742">
        <v>27.63</v>
      </c>
      <c r="F1742">
        <v>9</v>
      </c>
      <c r="G1742">
        <v>19.57</v>
      </c>
      <c r="H1742">
        <v>9.32</v>
      </c>
      <c r="I1742">
        <v>21.74</v>
      </c>
    </row>
    <row r="1743" spans="1:9" x14ac:dyDescent="0.25">
      <c r="A1743" s="2">
        <v>44124</v>
      </c>
      <c r="B1743">
        <v>17.77</v>
      </c>
      <c r="C1743">
        <v>16.260000000000002</v>
      </c>
      <c r="D1743">
        <v>17.399999999999999</v>
      </c>
      <c r="E1743">
        <v>27.2</v>
      </c>
      <c r="F1743">
        <v>8.82</v>
      </c>
      <c r="G1743">
        <v>20.05</v>
      </c>
      <c r="H1743">
        <v>9.41</v>
      </c>
      <c r="I1743">
        <v>21.49</v>
      </c>
    </row>
    <row r="1744" spans="1:9" x14ac:dyDescent="0.25">
      <c r="A1744" s="2">
        <v>44125</v>
      </c>
      <c r="B1744">
        <v>17.350000000000001</v>
      </c>
      <c r="C1744">
        <v>16.190000000000001</v>
      </c>
      <c r="D1744">
        <v>16.66</v>
      </c>
      <c r="E1744">
        <v>26.9</v>
      </c>
      <c r="F1744">
        <v>8.58</v>
      </c>
      <c r="G1744">
        <v>19.850000000000001</v>
      </c>
      <c r="H1744">
        <v>9.43</v>
      </c>
      <c r="I1744">
        <v>21.06</v>
      </c>
    </row>
    <row r="1745" spans="1:9" x14ac:dyDescent="0.25">
      <c r="A1745" s="2">
        <v>44126</v>
      </c>
      <c r="B1745">
        <v>17.14</v>
      </c>
      <c r="C1745">
        <v>16.100000000000001</v>
      </c>
      <c r="D1745">
        <v>16.399999999999999</v>
      </c>
      <c r="E1745">
        <v>26.56</v>
      </c>
      <c r="F1745">
        <v>8.34</v>
      </c>
      <c r="G1745">
        <v>19.36</v>
      </c>
      <c r="H1745">
        <v>9.3699999999999992</v>
      </c>
      <c r="I1745">
        <v>20.82</v>
      </c>
    </row>
    <row r="1746" spans="1:9" x14ac:dyDescent="0.25">
      <c r="A1746" s="2">
        <v>44127</v>
      </c>
      <c r="B1746">
        <v>16.989999999999998</v>
      </c>
      <c r="C1746">
        <v>16.04</v>
      </c>
      <c r="D1746">
        <v>16.16</v>
      </c>
      <c r="E1746">
        <v>26.46</v>
      </c>
      <c r="F1746">
        <v>8.27</v>
      </c>
      <c r="G1746">
        <v>19.02</v>
      </c>
      <c r="H1746">
        <v>9.34</v>
      </c>
      <c r="I1746">
        <v>20.73</v>
      </c>
    </row>
    <row r="1747" spans="1:9" x14ac:dyDescent="0.25">
      <c r="A1747" s="2">
        <v>44130</v>
      </c>
      <c r="B1747">
        <v>17.11</v>
      </c>
      <c r="C1747">
        <v>16</v>
      </c>
      <c r="D1747">
        <v>16.27</v>
      </c>
      <c r="E1747">
        <v>26.62</v>
      </c>
      <c r="F1747">
        <v>8.26</v>
      </c>
      <c r="G1747">
        <v>18.920000000000002</v>
      </c>
      <c r="H1747">
        <v>9.33</v>
      </c>
      <c r="I1747">
        <v>20.87</v>
      </c>
    </row>
    <row r="1748" spans="1:9" x14ac:dyDescent="0.25">
      <c r="A1748" s="2">
        <v>44131</v>
      </c>
      <c r="B1748">
        <v>16.91</v>
      </c>
      <c r="C1748">
        <v>16.100000000000001</v>
      </c>
      <c r="D1748">
        <v>16.23</v>
      </c>
      <c r="E1748">
        <v>26.09</v>
      </c>
      <c r="F1748">
        <v>8.2899999999999991</v>
      </c>
      <c r="G1748">
        <v>19.11</v>
      </c>
      <c r="H1748">
        <v>9.32</v>
      </c>
      <c r="I1748">
        <v>20.34</v>
      </c>
    </row>
    <row r="1749" spans="1:9" x14ac:dyDescent="0.25">
      <c r="A1749" s="2">
        <v>44132</v>
      </c>
      <c r="B1749">
        <v>16.64</v>
      </c>
      <c r="C1749">
        <v>16.21</v>
      </c>
      <c r="D1749">
        <v>15.7</v>
      </c>
      <c r="E1749">
        <v>26.07</v>
      </c>
      <c r="F1749">
        <v>8.44</v>
      </c>
      <c r="G1749">
        <v>18.52</v>
      </c>
      <c r="H1749">
        <v>9.31</v>
      </c>
      <c r="I1749">
        <v>20.36</v>
      </c>
    </row>
    <row r="1750" spans="1:9" x14ac:dyDescent="0.25">
      <c r="A1750" s="2">
        <v>44133</v>
      </c>
      <c r="B1750">
        <v>16.190000000000001</v>
      </c>
      <c r="C1750">
        <v>16.29</v>
      </c>
      <c r="D1750">
        <v>15.35</v>
      </c>
      <c r="E1750">
        <v>25.09</v>
      </c>
      <c r="F1750">
        <v>8.35</v>
      </c>
      <c r="G1750">
        <v>18.18</v>
      </c>
      <c r="H1750">
        <v>9.4</v>
      </c>
      <c r="I1750">
        <v>19.739999999999998</v>
      </c>
    </row>
    <row r="1751" spans="1:9" x14ac:dyDescent="0.25">
      <c r="A1751" s="2">
        <v>44134</v>
      </c>
      <c r="B1751">
        <v>15.64</v>
      </c>
      <c r="C1751">
        <v>16.18</v>
      </c>
      <c r="D1751">
        <v>14.53</v>
      </c>
      <c r="E1751">
        <v>25.3</v>
      </c>
      <c r="F1751">
        <v>8.41</v>
      </c>
      <c r="G1751">
        <v>17.09</v>
      </c>
      <c r="H1751">
        <v>9.23</v>
      </c>
      <c r="I1751">
        <v>19.8</v>
      </c>
    </row>
    <row r="1752" spans="1:9" x14ac:dyDescent="0.25">
      <c r="A1752" s="2">
        <v>44137</v>
      </c>
      <c r="B1752">
        <v>15.53</v>
      </c>
      <c r="C1752">
        <v>16.02</v>
      </c>
      <c r="D1752">
        <v>14.78</v>
      </c>
      <c r="E1752">
        <v>25.01</v>
      </c>
      <c r="F1752">
        <v>8.33</v>
      </c>
      <c r="G1752">
        <v>16.96</v>
      </c>
      <c r="H1752">
        <v>9.23</v>
      </c>
      <c r="I1752">
        <v>19.5</v>
      </c>
    </row>
    <row r="1753" spans="1:9" x14ac:dyDescent="0.25">
      <c r="A1753" s="2">
        <v>44138</v>
      </c>
      <c r="B1753">
        <v>15.52</v>
      </c>
      <c r="C1753">
        <v>16.010000000000002</v>
      </c>
      <c r="D1753">
        <v>14.76</v>
      </c>
      <c r="E1753">
        <v>25.66</v>
      </c>
      <c r="F1753">
        <v>8.5</v>
      </c>
      <c r="G1753">
        <v>16.88</v>
      </c>
      <c r="H1753">
        <v>9.19</v>
      </c>
      <c r="I1753">
        <v>20.07</v>
      </c>
    </row>
    <row r="1754" spans="1:9" x14ac:dyDescent="0.25">
      <c r="A1754" s="2">
        <v>44139</v>
      </c>
      <c r="B1754">
        <v>15.99</v>
      </c>
      <c r="C1754">
        <v>15.98</v>
      </c>
      <c r="D1754">
        <v>15.41</v>
      </c>
      <c r="E1754">
        <v>26.38</v>
      </c>
      <c r="F1754">
        <v>8.58</v>
      </c>
      <c r="G1754">
        <v>17.399999999999999</v>
      </c>
      <c r="H1754">
        <v>9.2200000000000006</v>
      </c>
      <c r="I1754">
        <v>20.65</v>
      </c>
    </row>
    <row r="1755" spans="1:9" x14ac:dyDescent="0.25">
      <c r="A1755" s="2">
        <v>44140</v>
      </c>
      <c r="B1755">
        <v>16.86</v>
      </c>
      <c r="C1755">
        <v>16.21</v>
      </c>
      <c r="D1755">
        <v>16.27</v>
      </c>
      <c r="E1755">
        <v>27.59</v>
      </c>
      <c r="F1755">
        <v>9.1199999999999992</v>
      </c>
      <c r="G1755">
        <v>18.2</v>
      </c>
      <c r="H1755">
        <v>9.31</v>
      </c>
      <c r="I1755">
        <v>21.49</v>
      </c>
    </row>
    <row r="1756" spans="1:9" x14ac:dyDescent="0.25">
      <c r="A1756" s="2">
        <v>44141</v>
      </c>
      <c r="B1756">
        <v>17.62</v>
      </c>
      <c r="C1756">
        <v>16.45</v>
      </c>
      <c r="D1756">
        <v>17.260000000000002</v>
      </c>
      <c r="E1756">
        <v>28.4</v>
      </c>
      <c r="F1756">
        <v>9.36</v>
      </c>
      <c r="G1756">
        <v>19.36</v>
      </c>
      <c r="H1756">
        <v>9.6</v>
      </c>
      <c r="I1756">
        <v>22.05</v>
      </c>
    </row>
    <row r="1757" spans="1:9" x14ac:dyDescent="0.25">
      <c r="A1757" s="2">
        <v>44144</v>
      </c>
      <c r="B1757">
        <v>18.010000000000002</v>
      </c>
      <c r="C1757">
        <v>16.63</v>
      </c>
      <c r="D1757">
        <v>17.579999999999998</v>
      </c>
      <c r="E1757">
        <v>28.21</v>
      </c>
      <c r="F1757">
        <v>9.15</v>
      </c>
      <c r="G1757">
        <v>20.18</v>
      </c>
      <c r="H1757">
        <v>9.8800000000000008</v>
      </c>
      <c r="I1757">
        <v>21.95</v>
      </c>
    </row>
    <row r="1758" spans="1:9" x14ac:dyDescent="0.25">
      <c r="A1758" s="2">
        <v>44145</v>
      </c>
      <c r="B1758">
        <v>18.2</v>
      </c>
      <c r="C1758">
        <v>16.52</v>
      </c>
      <c r="D1758">
        <v>17.829999999999998</v>
      </c>
      <c r="E1758">
        <v>29.41</v>
      </c>
      <c r="F1758">
        <v>9.35</v>
      </c>
      <c r="G1758">
        <v>20.23</v>
      </c>
      <c r="H1758">
        <v>9.89</v>
      </c>
      <c r="I1758">
        <v>22.95</v>
      </c>
    </row>
    <row r="1759" spans="1:9" x14ac:dyDescent="0.25">
      <c r="A1759" s="2">
        <v>44146</v>
      </c>
      <c r="B1759">
        <v>18.309999999999999</v>
      </c>
      <c r="C1759">
        <v>16.68</v>
      </c>
      <c r="D1759">
        <v>18.22</v>
      </c>
      <c r="E1759">
        <v>29.04</v>
      </c>
      <c r="F1759">
        <v>9.3000000000000007</v>
      </c>
      <c r="G1759">
        <v>22.05</v>
      </c>
      <c r="H1759">
        <v>10.14</v>
      </c>
      <c r="I1759">
        <v>22.49</v>
      </c>
    </row>
    <row r="1760" spans="1:9" x14ac:dyDescent="0.25">
      <c r="A1760" s="2">
        <v>44147</v>
      </c>
      <c r="B1760">
        <v>18.420000000000002</v>
      </c>
      <c r="C1760">
        <v>16.77</v>
      </c>
      <c r="D1760">
        <v>18.600000000000001</v>
      </c>
      <c r="E1760">
        <v>29.58</v>
      </c>
      <c r="F1760">
        <v>9.52</v>
      </c>
      <c r="G1760">
        <v>21.72</v>
      </c>
      <c r="H1760">
        <v>10.08</v>
      </c>
      <c r="I1760">
        <v>23.05</v>
      </c>
    </row>
    <row r="1761" spans="1:9" x14ac:dyDescent="0.25">
      <c r="A1761" s="2">
        <v>44148</v>
      </c>
      <c r="B1761">
        <v>18.63</v>
      </c>
      <c r="C1761">
        <v>16.88</v>
      </c>
      <c r="D1761">
        <v>19.14</v>
      </c>
      <c r="E1761">
        <v>29.39</v>
      </c>
      <c r="F1761">
        <v>9.5500000000000007</v>
      </c>
      <c r="G1761">
        <v>22.26</v>
      </c>
      <c r="H1761">
        <v>10.18</v>
      </c>
      <c r="I1761">
        <v>22.94</v>
      </c>
    </row>
    <row r="1762" spans="1:9" x14ac:dyDescent="0.25">
      <c r="A1762" s="2">
        <v>44151</v>
      </c>
      <c r="B1762">
        <v>18.61</v>
      </c>
      <c r="C1762">
        <v>16.989999999999998</v>
      </c>
      <c r="D1762">
        <v>18.760000000000002</v>
      </c>
      <c r="E1762">
        <v>29.56</v>
      </c>
      <c r="F1762">
        <v>9.6</v>
      </c>
      <c r="G1762">
        <v>22.13</v>
      </c>
      <c r="H1762">
        <v>10.210000000000001</v>
      </c>
      <c r="I1762">
        <v>23.07</v>
      </c>
    </row>
    <row r="1763" spans="1:9" x14ac:dyDescent="0.25">
      <c r="A1763" s="2">
        <v>44152</v>
      </c>
      <c r="B1763">
        <v>18.940000000000001</v>
      </c>
      <c r="C1763">
        <v>17.07</v>
      </c>
      <c r="D1763">
        <v>19.28</v>
      </c>
      <c r="E1763">
        <v>30.26</v>
      </c>
      <c r="F1763">
        <v>9.73</v>
      </c>
      <c r="G1763">
        <v>22.02</v>
      </c>
      <c r="H1763">
        <v>10.23</v>
      </c>
      <c r="I1763">
        <v>23.65</v>
      </c>
    </row>
    <row r="1764" spans="1:9" x14ac:dyDescent="0.25">
      <c r="A1764" s="2">
        <v>44154</v>
      </c>
      <c r="B1764">
        <v>19.190000000000001</v>
      </c>
      <c r="C1764">
        <v>17.21</v>
      </c>
      <c r="D1764">
        <v>19.649999999999999</v>
      </c>
      <c r="E1764">
        <v>30.16</v>
      </c>
      <c r="F1764">
        <v>9.76</v>
      </c>
      <c r="G1764">
        <v>22.75</v>
      </c>
      <c r="H1764">
        <v>10.36</v>
      </c>
      <c r="I1764">
        <v>23.6</v>
      </c>
    </row>
    <row r="1765" spans="1:9" x14ac:dyDescent="0.25">
      <c r="A1765" s="2">
        <v>44155</v>
      </c>
      <c r="B1765">
        <v>19.09</v>
      </c>
      <c r="C1765">
        <v>17.5</v>
      </c>
      <c r="D1765">
        <v>19.32</v>
      </c>
      <c r="E1765">
        <v>30.02</v>
      </c>
      <c r="F1765">
        <v>9.9</v>
      </c>
      <c r="G1765">
        <v>22.88</v>
      </c>
      <c r="H1765">
        <v>10.47</v>
      </c>
      <c r="I1765">
        <v>23.63</v>
      </c>
    </row>
    <row r="1766" spans="1:9" x14ac:dyDescent="0.25">
      <c r="A1766" s="2">
        <v>44158</v>
      </c>
      <c r="B1766">
        <v>19.239999999999998</v>
      </c>
      <c r="C1766">
        <v>17.59</v>
      </c>
      <c r="D1766">
        <v>19.52</v>
      </c>
      <c r="E1766">
        <v>30.25</v>
      </c>
      <c r="F1766">
        <v>9.98</v>
      </c>
      <c r="G1766">
        <v>22.54</v>
      </c>
      <c r="H1766">
        <v>10.51</v>
      </c>
      <c r="I1766">
        <v>23.79</v>
      </c>
    </row>
    <row r="1767" spans="1:9" x14ac:dyDescent="0.25">
      <c r="A1767" s="2">
        <v>44159</v>
      </c>
      <c r="B1767">
        <v>19.149999999999999</v>
      </c>
      <c r="C1767">
        <v>17.649999999999999</v>
      </c>
      <c r="D1767">
        <v>19.399999999999999</v>
      </c>
      <c r="E1767">
        <v>30.27</v>
      </c>
      <c r="F1767">
        <v>10.01</v>
      </c>
      <c r="G1767">
        <v>22.84</v>
      </c>
      <c r="H1767">
        <v>10.57</v>
      </c>
      <c r="I1767">
        <v>23.83</v>
      </c>
    </row>
    <row r="1768" spans="1:9" x14ac:dyDescent="0.25">
      <c r="A1768" s="2">
        <v>44160</v>
      </c>
      <c r="B1768">
        <v>19.36</v>
      </c>
      <c r="C1768">
        <v>17.73</v>
      </c>
      <c r="D1768">
        <v>19.8</v>
      </c>
      <c r="E1768">
        <v>30.78</v>
      </c>
      <c r="F1768">
        <v>10.02</v>
      </c>
      <c r="G1768">
        <v>22.78</v>
      </c>
      <c r="H1768">
        <v>10.58</v>
      </c>
      <c r="I1768">
        <v>24.17</v>
      </c>
    </row>
    <row r="1769" spans="1:9" x14ac:dyDescent="0.25">
      <c r="A1769" s="2">
        <v>44161</v>
      </c>
      <c r="B1769">
        <v>19.63</v>
      </c>
      <c r="C1769">
        <v>17.8</v>
      </c>
      <c r="D1769">
        <v>20.21</v>
      </c>
      <c r="E1769">
        <v>30.66</v>
      </c>
      <c r="F1769">
        <v>9.99</v>
      </c>
      <c r="G1769">
        <v>23.29</v>
      </c>
      <c r="H1769">
        <v>10.64</v>
      </c>
      <c r="I1769">
        <v>24.19</v>
      </c>
    </row>
    <row r="1770" spans="1:9" x14ac:dyDescent="0.25">
      <c r="A1770" s="2">
        <v>44162</v>
      </c>
      <c r="B1770">
        <v>19.559999999999999</v>
      </c>
      <c r="C1770">
        <v>17.829999999999998</v>
      </c>
      <c r="D1770">
        <v>20.149999999999999</v>
      </c>
      <c r="E1770">
        <v>30.81</v>
      </c>
      <c r="F1770">
        <v>10.050000000000001</v>
      </c>
      <c r="G1770">
        <v>23.29</v>
      </c>
      <c r="H1770">
        <v>10.66</v>
      </c>
      <c r="I1770">
        <v>24.36</v>
      </c>
    </row>
    <row r="1771" spans="1:9" x14ac:dyDescent="0.25">
      <c r="A1771" s="2">
        <v>44165</v>
      </c>
      <c r="B1771">
        <v>19.71</v>
      </c>
      <c r="C1771">
        <v>17.87</v>
      </c>
      <c r="D1771">
        <v>20.190000000000001</v>
      </c>
      <c r="E1771">
        <v>30.91</v>
      </c>
      <c r="F1771">
        <v>10.02</v>
      </c>
      <c r="G1771">
        <v>23.34</v>
      </c>
      <c r="H1771">
        <v>10.68</v>
      </c>
      <c r="I1771">
        <v>24.45</v>
      </c>
    </row>
    <row r="1772" spans="1:9" x14ac:dyDescent="0.25">
      <c r="A1772" s="2">
        <v>44166</v>
      </c>
      <c r="B1772">
        <v>19.73</v>
      </c>
      <c r="C1772">
        <v>17.899999999999999</v>
      </c>
      <c r="D1772">
        <v>20</v>
      </c>
      <c r="E1772">
        <v>30.27</v>
      </c>
      <c r="F1772">
        <v>9.89</v>
      </c>
      <c r="G1772">
        <v>23.53</v>
      </c>
      <c r="H1772">
        <v>10.72</v>
      </c>
      <c r="I1772">
        <v>23.94</v>
      </c>
    </row>
    <row r="1773" spans="1:9" x14ac:dyDescent="0.25">
      <c r="A1773" s="2">
        <v>44167</v>
      </c>
      <c r="B1773">
        <v>19.600000000000001</v>
      </c>
      <c r="C1773">
        <v>17.87</v>
      </c>
      <c r="D1773">
        <v>19.739999999999998</v>
      </c>
      <c r="E1773">
        <v>30.47</v>
      </c>
      <c r="F1773">
        <v>9.7200000000000006</v>
      </c>
      <c r="G1773">
        <v>23.17</v>
      </c>
      <c r="H1773">
        <v>10.64</v>
      </c>
      <c r="I1773">
        <v>24.25</v>
      </c>
    </row>
    <row r="1774" spans="1:9" x14ac:dyDescent="0.25">
      <c r="A1774" s="2">
        <v>44168</v>
      </c>
      <c r="B1774">
        <v>19.559999999999999</v>
      </c>
      <c r="C1774">
        <v>17.78</v>
      </c>
      <c r="D1774">
        <v>19.53</v>
      </c>
      <c r="E1774">
        <v>30.35</v>
      </c>
      <c r="F1774">
        <v>9.64</v>
      </c>
      <c r="G1774">
        <v>23.49</v>
      </c>
      <c r="H1774">
        <v>10.66</v>
      </c>
      <c r="I1774">
        <v>23.95</v>
      </c>
    </row>
    <row r="1775" spans="1:9" x14ac:dyDescent="0.25">
      <c r="A1775" s="2">
        <v>44169</v>
      </c>
      <c r="B1775">
        <v>19.54</v>
      </c>
      <c r="C1775">
        <v>17.8</v>
      </c>
      <c r="D1775">
        <v>19.440000000000001</v>
      </c>
      <c r="E1775">
        <v>30.42</v>
      </c>
      <c r="F1775">
        <v>9.7200000000000006</v>
      </c>
      <c r="G1775">
        <v>23.32</v>
      </c>
      <c r="H1775">
        <v>10.65</v>
      </c>
      <c r="I1775">
        <v>23.93</v>
      </c>
    </row>
    <row r="1776" spans="1:9" x14ac:dyDescent="0.25">
      <c r="A1776" s="2">
        <v>44172</v>
      </c>
      <c r="B1776">
        <v>19.59</v>
      </c>
      <c r="C1776">
        <v>17.89</v>
      </c>
      <c r="D1776">
        <v>19.47</v>
      </c>
      <c r="E1776">
        <v>30.83</v>
      </c>
      <c r="F1776">
        <v>9.83</v>
      </c>
      <c r="G1776">
        <v>23.41</v>
      </c>
      <c r="H1776">
        <v>10.82</v>
      </c>
      <c r="I1776">
        <v>24.23</v>
      </c>
    </row>
    <row r="1777" spans="1:9" x14ac:dyDescent="0.25">
      <c r="A1777" s="2">
        <v>44173</v>
      </c>
      <c r="B1777">
        <v>19.89</v>
      </c>
      <c r="C1777">
        <v>18</v>
      </c>
      <c r="D1777">
        <v>19.809999999999999</v>
      </c>
      <c r="E1777">
        <v>30.96</v>
      </c>
      <c r="F1777">
        <v>9.94</v>
      </c>
      <c r="G1777">
        <v>23.66</v>
      </c>
      <c r="H1777">
        <v>10.9</v>
      </c>
      <c r="I1777">
        <v>24.29</v>
      </c>
    </row>
    <row r="1778" spans="1:9" x14ac:dyDescent="0.25">
      <c r="A1778" s="2">
        <v>44174</v>
      </c>
      <c r="B1778">
        <v>19.98</v>
      </c>
      <c r="C1778">
        <v>18.14</v>
      </c>
      <c r="D1778">
        <v>19.95</v>
      </c>
      <c r="E1778">
        <v>31.14</v>
      </c>
      <c r="F1778">
        <v>10.01</v>
      </c>
      <c r="G1778">
        <v>23.8</v>
      </c>
      <c r="H1778">
        <v>11</v>
      </c>
      <c r="I1778">
        <v>24.58</v>
      </c>
    </row>
    <row r="1779" spans="1:9" x14ac:dyDescent="0.25">
      <c r="A1779" s="2">
        <v>44175</v>
      </c>
      <c r="B1779">
        <v>19.989999999999998</v>
      </c>
      <c r="C1779">
        <v>18.149999999999999</v>
      </c>
      <c r="D1779">
        <v>20.260000000000002</v>
      </c>
      <c r="E1779">
        <v>31.17</v>
      </c>
      <c r="F1779">
        <v>10.06</v>
      </c>
      <c r="G1779">
        <v>23.93</v>
      </c>
      <c r="H1779">
        <v>11.09</v>
      </c>
      <c r="I1779">
        <v>24.64</v>
      </c>
    </row>
    <row r="1780" spans="1:9" x14ac:dyDescent="0.25">
      <c r="A1780" s="2">
        <v>44176</v>
      </c>
      <c r="B1780">
        <v>19.89</v>
      </c>
      <c r="C1780">
        <v>18.100000000000001</v>
      </c>
      <c r="D1780">
        <v>19.97</v>
      </c>
      <c r="E1780">
        <v>31</v>
      </c>
      <c r="F1780">
        <v>10.029999999999999</v>
      </c>
      <c r="G1780">
        <v>24.16</v>
      </c>
      <c r="H1780">
        <v>11.1</v>
      </c>
      <c r="I1780">
        <v>24.33</v>
      </c>
    </row>
    <row r="1781" spans="1:9" x14ac:dyDescent="0.25">
      <c r="A1781" s="2">
        <v>44179</v>
      </c>
      <c r="B1781">
        <v>19.829999999999998</v>
      </c>
      <c r="C1781">
        <v>18.21</v>
      </c>
      <c r="D1781">
        <v>19.78</v>
      </c>
      <c r="E1781">
        <v>30.92</v>
      </c>
      <c r="F1781">
        <v>10.119999999999999</v>
      </c>
      <c r="G1781">
        <v>23.92</v>
      </c>
      <c r="H1781">
        <v>11.09</v>
      </c>
      <c r="I1781">
        <v>24.26</v>
      </c>
    </row>
    <row r="1782" spans="1:9" x14ac:dyDescent="0.25">
      <c r="A1782" s="2">
        <v>44180</v>
      </c>
      <c r="B1782">
        <v>19.95</v>
      </c>
      <c r="C1782">
        <v>18.22</v>
      </c>
      <c r="D1782">
        <v>19.91</v>
      </c>
      <c r="E1782">
        <v>30.97</v>
      </c>
      <c r="F1782">
        <v>10.1</v>
      </c>
      <c r="G1782">
        <v>23.6</v>
      </c>
      <c r="H1782">
        <v>11.17</v>
      </c>
      <c r="I1782">
        <v>24.41</v>
      </c>
    </row>
    <row r="1783" spans="1:9" x14ac:dyDescent="0.25">
      <c r="A1783" s="2">
        <v>44181</v>
      </c>
      <c r="B1783">
        <v>19.98</v>
      </c>
      <c r="C1783">
        <v>18.23</v>
      </c>
      <c r="D1783">
        <v>19.77</v>
      </c>
      <c r="E1783">
        <v>31.06</v>
      </c>
      <c r="F1783">
        <v>10.11</v>
      </c>
      <c r="G1783">
        <v>23.8</v>
      </c>
      <c r="H1783">
        <v>11.14</v>
      </c>
      <c r="I1783">
        <v>24.39</v>
      </c>
    </row>
    <row r="1784" spans="1:9" x14ac:dyDescent="0.25">
      <c r="A1784" s="2">
        <v>44182</v>
      </c>
      <c r="B1784">
        <v>20.22</v>
      </c>
      <c r="C1784">
        <v>18.170000000000002</v>
      </c>
      <c r="D1784">
        <v>20.010000000000002</v>
      </c>
      <c r="E1784">
        <v>31.3</v>
      </c>
      <c r="F1784">
        <v>10.029999999999999</v>
      </c>
      <c r="G1784">
        <v>23.82</v>
      </c>
      <c r="H1784">
        <v>11.16</v>
      </c>
      <c r="I1784">
        <v>24.56</v>
      </c>
    </row>
    <row r="1785" spans="1:9" x14ac:dyDescent="0.25">
      <c r="A1785" s="2">
        <v>44183</v>
      </c>
      <c r="B1785">
        <v>20.39</v>
      </c>
      <c r="C1785">
        <v>18.149999999999999</v>
      </c>
      <c r="D1785">
        <v>20.010000000000002</v>
      </c>
      <c r="E1785">
        <v>31.4</v>
      </c>
      <c r="F1785">
        <v>10.01</v>
      </c>
      <c r="G1785">
        <v>24.2</v>
      </c>
      <c r="H1785">
        <v>11.11</v>
      </c>
      <c r="I1785">
        <v>24.66</v>
      </c>
    </row>
    <row r="1786" spans="1:9" x14ac:dyDescent="0.25">
      <c r="A1786" s="2">
        <v>44186</v>
      </c>
      <c r="B1786">
        <v>20.54</v>
      </c>
      <c r="C1786">
        <v>18.190000000000001</v>
      </c>
      <c r="D1786">
        <v>20.04</v>
      </c>
      <c r="E1786">
        <v>31.26</v>
      </c>
      <c r="F1786">
        <v>9.99</v>
      </c>
      <c r="G1786">
        <v>24.38</v>
      </c>
      <c r="H1786">
        <v>11.23</v>
      </c>
      <c r="I1786">
        <v>24.69</v>
      </c>
    </row>
    <row r="1787" spans="1:9" x14ac:dyDescent="0.25">
      <c r="A1787" s="2">
        <v>44187</v>
      </c>
      <c r="B1787">
        <v>20.32</v>
      </c>
      <c r="C1787">
        <v>18.22</v>
      </c>
      <c r="D1787">
        <v>19.7</v>
      </c>
      <c r="E1787">
        <v>30.65</v>
      </c>
      <c r="F1787">
        <v>9.91</v>
      </c>
      <c r="G1787">
        <v>24.34</v>
      </c>
      <c r="H1787">
        <v>11.23</v>
      </c>
      <c r="I1787">
        <v>24.21</v>
      </c>
    </row>
    <row r="1788" spans="1:9" x14ac:dyDescent="0.25">
      <c r="A1788" s="2">
        <v>44188</v>
      </c>
      <c r="B1788">
        <v>20.239999999999998</v>
      </c>
      <c r="C1788">
        <v>18.13</v>
      </c>
      <c r="D1788">
        <v>19.690000000000001</v>
      </c>
      <c r="E1788">
        <v>30.91</v>
      </c>
      <c r="F1788">
        <v>10.06</v>
      </c>
      <c r="G1788">
        <v>23.51</v>
      </c>
      <c r="H1788">
        <v>11.12</v>
      </c>
      <c r="I1788">
        <v>24.47</v>
      </c>
    </row>
    <row r="1789" spans="1:9" x14ac:dyDescent="0.25">
      <c r="A1789" s="2">
        <v>44193</v>
      </c>
      <c r="B1789">
        <v>20.32</v>
      </c>
      <c r="C1789">
        <v>18.149999999999999</v>
      </c>
      <c r="D1789">
        <v>19.88</v>
      </c>
      <c r="E1789">
        <v>31.07</v>
      </c>
      <c r="F1789">
        <v>9.94</v>
      </c>
      <c r="G1789">
        <v>23.87</v>
      </c>
      <c r="H1789">
        <v>11.17</v>
      </c>
      <c r="I1789">
        <v>24.78</v>
      </c>
    </row>
    <row r="1790" spans="1:9" x14ac:dyDescent="0.25">
      <c r="A1790" s="2">
        <v>44194</v>
      </c>
      <c r="B1790">
        <v>20.47</v>
      </c>
      <c r="C1790">
        <v>18.16</v>
      </c>
      <c r="D1790">
        <v>19.899999999999999</v>
      </c>
      <c r="E1790">
        <v>31.4</v>
      </c>
      <c r="F1790">
        <v>10.039999999999999</v>
      </c>
      <c r="G1790">
        <v>24.32</v>
      </c>
      <c r="H1790">
        <v>11.18</v>
      </c>
      <c r="I1790">
        <v>25.05</v>
      </c>
    </row>
    <row r="1791" spans="1:9" x14ac:dyDescent="0.25">
      <c r="A1791" s="2">
        <v>44195</v>
      </c>
      <c r="B1791">
        <v>20.57</v>
      </c>
      <c r="C1791">
        <v>18.21</v>
      </c>
      <c r="D1791">
        <v>19.91</v>
      </c>
      <c r="E1791">
        <v>31.65</v>
      </c>
      <c r="F1791">
        <v>10.07</v>
      </c>
      <c r="G1791">
        <v>24.67</v>
      </c>
      <c r="H1791">
        <v>11.18</v>
      </c>
      <c r="I1791">
        <v>25.03</v>
      </c>
    </row>
    <row r="1792" spans="1:9" x14ac:dyDescent="0.25">
      <c r="A1792" s="2">
        <v>44196</v>
      </c>
      <c r="B1792">
        <v>20.74</v>
      </c>
      <c r="C1792">
        <v>18.3</v>
      </c>
      <c r="D1792">
        <v>20.059999999999999</v>
      </c>
      <c r="E1792">
        <v>31.85</v>
      </c>
      <c r="F1792">
        <v>10.09</v>
      </c>
      <c r="G1792">
        <v>24.9</v>
      </c>
      <c r="H1792">
        <v>11.23</v>
      </c>
      <c r="I1792">
        <v>25.18</v>
      </c>
    </row>
    <row r="1793" spans="1:9" x14ac:dyDescent="0.25">
      <c r="A1793" s="2">
        <v>44200</v>
      </c>
      <c r="B1793">
        <v>20.68</v>
      </c>
      <c r="C1793">
        <v>18.25</v>
      </c>
      <c r="D1793">
        <v>20.22</v>
      </c>
      <c r="E1793">
        <v>31.74</v>
      </c>
      <c r="F1793">
        <v>9.99</v>
      </c>
      <c r="G1793">
        <v>24.9</v>
      </c>
      <c r="H1793">
        <v>11.23</v>
      </c>
      <c r="I1793">
        <v>25.17</v>
      </c>
    </row>
    <row r="1794" spans="1:9" x14ac:dyDescent="0.25">
      <c r="A1794" s="2">
        <v>44201</v>
      </c>
      <c r="B1794">
        <v>20.84</v>
      </c>
      <c r="C1794">
        <v>18.39</v>
      </c>
      <c r="D1794">
        <v>20.079999999999998</v>
      </c>
      <c r="E1794">
        <v>31.86</v>
      </c>
      <c r="F1794">
        <v>10.17</v>
      </c>
      <c r="G1794">
        <v>24.94</v>
      </c>
      <c r="H1794">
        <v>11.3</v>
      </c>
      <c r="I1794">
        <v>25.18</v>
      </c>
    </row>
    <row r="1795" spans="1:9" x14ac:dyDescent="0.25">
      <c r="A1795" s="2">
        <v>44202</v>
      </c>
      <c r="B1795">
        <v>20.57</v>
      </c>
      <c r="C1795">
        <v>18.39</v>
      </c>
      <c r="D1795">
        <v>19.97</v>
      </c>
      <c r="E1795">
        <v>31.91</v>
      </c>
      <c r="F1795">
        <v>10.01</v>
      </c>
      <c r="G1795">
        <v>25.14</v>
      </c>
      <c r="H1795">
        <v>11.38</v>
      </c>
      <c r="I1795">
        <v>25.42</v>
      </c>
    </row>
    <row r="1796" spans="1:9" x14ac:dyDescent="0.25">
      <c r="A1796" s="2">
        <v>44203</v>
      </c>
      <c r="B1796">
        <v>20.7</v>
      </c>
      <c r="C1796">
        <v>18.21</v>
      </c>
      <c r="D1796">
        <v>20.21</v>
      </c>
      <c r="E1796">
        <v>32.01</v>
      </c>
      <c r="F1796">
        <v>9.77</v>
      </c>
      <c r="G1796">
        <v>25.01</v>
      </c>
      <c r="H1796">
        <v>11.32</v>
      </c>
      <c r="I1796">
        <v>25.84</v>
      </c>
    </row>
    <row r="1797" spans="1:9" x14ac:dyDescent="0.25">
      <c r="A1797" s="2">
        <v>44204</v>
      </c>
      <c r="B1797">
        <v>20.82</v>
      </c>
      <c r="C1797">
        <v>18.14</v>
      </c>
      <c r="D1797">
        <v>20.56</v>
      </c>
      <c r="E1797">
        <v>32.6</v>
      </c>
      <c r="F1797">
        <v>9.73</v>
      </c>
      <c r="G1797">
        <v>25.44</v>
      </c>
      <c r="H1797">
        <v>11.24</v>
      </c>
      <c r="I1797">
        <v>26.32</v>
      </c>
    </row>
    <row r="1798" spans="1:9" x14ac:dyDescent="0.25">
      <c r="A1798" s="2">
        <v>44207</v>
      </c>
      <c r="B1798">
        <v>21.18</v>
      </c>
      <c r="C1798">
        <v>18.14</v>
      </c>
      <c r="D1798">
        <v>21.27</v>
      </c>
      <c r="E1798">
        <v>33.39</v>
      </c>
      <c r="F1798">
        <v>9.82</v>
      </c>
      <c r="G1798">
        <v>25.79</v>
      </c>
      <c r="H1798">
        <v>11.17</v>
      </c>
      <c r="I1798">
        <v>26.85</v>
      </c>
    </row>
    <row r="1799" spans="1:9" x14ac:dyDescent="0.25">
      <c r="A1799" s="2">
        <v>44208</v>
      </c>
      <c r="B1799">
        <v>21.43</v>
      </c>
      <c r="C1799">
        <v>18.18</v>
      </c>
      <c r="D1799">
        <v>21.65</v>
      </c>
      <c r="E1799">
        <v>33.42</v>
      </c>
      <c r="F1799">
        <v>9.7899999999999991</v>
      </c>
      <c r="G1799">
        <v>26.37</v>
      </c>
      <c r="H1799">
        <v>11.18</v>
      </c>
      <c r="I1799">
        <v>26.99</v>
      </c>
    </row>
    <row r="1800" spans="1:9" x14ac:dyDescent="0.25">
      <c r="A1800" s="2">
        <v>44209</v>
      </c>
      <c r="B1800">
        <v>21.36</v>
      </c>
      <c r="C1800">
        <v>18.04</v>
      </c>
      <c r="D1800">
        <v>21.54</v>
      </c>
      <c r="E1800">
        <v>33.18</v>
      </c>
      <c r="F1800">
        <v>9.41</v>
      </c>
      <c r="G1800">
        <v>26.29</v>
      </c>
      <c r="H1800">
        <v>11.05</v>
      </c>
      <c r="I1800">
        <v>26.83</v>
      </c>
    </row>
    <row r="1801" spans="1:9" x14ac:dyDescent="0.25">
      <c r="A1801" s="2">
        <v>44210</v>
      </c>
      <c r="B1801">
        <v>21.43</v>
      </c>
      <c r="C1801">
        <v>18.100000000000001</v>
      </c>
      <c r="D1801">
        <v>21.54</v>
      </c>
      <c r="E1801">
        <v>33.5</v>
      </c>
      <c r="F1801">
        <v>9.65</v>
      </c>
      <c r="G1801">
        <v>26.22</v>
      </c>
      <c r="H1801">
        <v>10.94</v>
      </c>
      <c r="I1801">
        <v>27.01</v>
      </c>
    </row>
    <row r="1802" spans="1:9" x14ac:dyDescent="0.25">
      <c r="A1802" s="2">
        <v>44211</v>
      </c>
      <c r="B1802">
        <v>21.56</v>
      </c>
      <c r="C1802">
        <v>18.29</v>
      </c>
      <c r="D1802">
        <v>21.98</v>
      </c>
      <c r="E1802">
        <v>33.65</v>
      </c>
      <c r="F1802">
        <v>9.82</v>
      </c>
      <c r="G1802">
        <v>26.44</v>
      </c>
      <c r="H1802">
        <v>11.11</v>
      </c>
      <c r="I1802">
        <v>27.17</v>
      </c>
    </row>
    <row r="1803" spans="1:9" x14ac:dyDescent="0.25">
      <c r="A1803" s="2">
        <v>44214</v>
      </c>
      <c r="B1803">
        <v>21.36</v>
      </c>
      <c r="C1803">
        <v>18.29</v>
      </c>
      <c r="D1803">
        <v>21.88</v>
      </c>
      <c r="E1803">
        <v>33.36</v>
      </c>
      <c r="F1803">
        <v>9.76</v>
      </c>
      <c r="G1803">
        <v>26.78</v>
      </c>
      <c r="H1803">
        <v>11.2</v>
      </c>
      <c r="I1803">
        <v>26.8</v>
      </c>
    </row>
    <row r="1804" spans="1:9" x14ac:dyDescent="0.25">
      <c r="A1804" s="2">
        <v>44215</v>
      </c>
      <c r="B1804">
        <v>21.36</v>
      </c>
      <c r="C1804">
        <v>18.36</v>
      </c>
      <c r="D1804">
        <v>21.74</v>
      </c>
      <c r="E1804">
        <v>33.42</v>
      </c>
      <c r="F1804">
        <v>9.77</v>
      </c>
      <c r="G1804">
        <v>26.38</v>
      </c>
      <c r="H1804">
        <v>11.17</v>
      </c>
      <c r="I1804">
        <v>26.8</v>
      </c>
    </row>
    <row r="1805" spans="1:9" x14ac:dyDescent="0.25">
      <c r="A1805" s="2">
        <v>44216</v>
      </c>
      <c r="B1805">
        <v>21.39</v>
      </c>
      <c r="C1805">
        <v>18.309999999999999</v>
      </c>
      <c r="D1805">
        <v>21.59</v>
      </c>
      <c r="E1805">
        <v>33.64</v>
      </c>
      <c r="F1805">
        <v>9.77</v>
      </c>
      <c r="G1805">
        <v>26.4</v>
      </c>
      <c r="H1805">
        <v>11.14</v>
      </c>
      <c r="I1805">
        <v>26.87</v>
      </c>
    </row>
    <row r="1806" spans="1:9" x14ac:dyDescent="0.25">
      <c r="A1806" s="2">
        <v>44217</v>
      </c>
      <c r="B1806">
        <v>21.72</v>
      </c>
      <c r="C1806">
        <v>18.41</v>
      </c>
      <c r="D1806">
        <v>22.07</v>
      </c>
      <c r="E1806">
        <v>34.49</v>
      </c>
      <c r="F1806">
        <v>9.85</v>
      </c>
      <c r="G1806">
        <v>26.39</v>
      </c>
      <c r="H1806">
        <v>11.17</v>
      </c>
      <c r="I1806">
        <v>27.34</v>
      </c>
    </row>
    <row r="1807" spans="1:9" x14ac:dyDescent="0.25">
      <c r="A1807" s="2">
        <v>44218</v>
      </c>
      <c r="B1807">
        <v>22</v>
      </c>
      <c r="C1807">
        <v>18.36</v>
      </c>
      <c r="D1807">
        <v>22.45</v>
      </c>
      <c r="E1807">
        <v>34.46</v>
      </c>
      <c r="F1807">
        <v>9.69</v>
      </c>
      <c r="G1807">
        <v>27</v>
      </c>
      <c r="H1807">
        <v>11.27</v>
      </c>
      <c r="I1807">
        <v>27.24</v>
      </c>
    </row>
    <row r="1808" spans="1:9" x14ac:dyDescent="0.25">
      <c r="A1808" s="2">
        <v>44221</v>
      </c>
      <c r="B1808">
        <v>21.92</v>
      </c>
      <c r="C1808">
        <v>18.350000000000001</v>
      </c>
      <c r="D1808">
        <v>22.09</v>
      </c>
      <c r="E1808">
        <v>33.979999999999997</v>
      </c>
      <c r="F1808">
        <v>9.6300000000000008</v>
      </c>
      <c r="G1808">
        <v>27.13</v>
      </c>
      <c r="H1808">
        <v>11.2</v>
      </c>
      <c r="I1808">
        <v>27.06</v>
      </c>
    </row>
    <row r="1809" spans="1:9" x14ac:dyDescent="0.25">
      <c r="A1809" s="2">
        <v>44222</v>
      </c>
      <c r="B1809">
        <v>21.79</v>
      </c>
      <c r="C1809">
        <v>18.440000000000001</v>
      </c>
      <c r="D1809">
        <v>22</v>
      </c>
      <c r="E1809">
        <v>34.35</v>
      </c>
      <c r="F1809">
        <v>9.8699999999999992</v>
      </c>
      <c r="G1809">
        <v>26.74</v>
      </c>
      <c r="H1809">
        <v>11.1</v>
      </c>
      <c r="I1809">
        <v>27.24</v>
      </c>
    </row>
    <row r="1810" spans="1:9" x14ac:dyDescent="0.25">
      <c r="A1810" s="2">
        <v>44223</v>
      </c>
      <c r="B1810">
        <v>22.07</v>
      </c>
      <c r="C1810">
        <v>18.47</v>
      </c>
      <c r="D1810">
        <v>22.37</v>
      </c>
      <c r="E1810">
        <v>34.11</v>
      </c>
      <c r="F1810">
        <v>9.84</v>
      </c>
      <c r="G1810">
        <v>26.63</v>
      </c>
      <c r="H1810">
        <v>11.17</v>
      </c>
      <c r="I1810">
        <v>27.27</v>
      </c>
    </row>
    <row r="1811" spans="1:9" x14ac:dyDescent="0.25">
      <c r="A1811" s="2">
        <v>44224</v>
      </c>
      <c r="B1811">
        <v>21.75</v>
      </c>
      <c r="C1811">
        <v>18.5</v>
      </c>
      <c r="D1811">
        <v>21.92</v>
      </c>
      <c r="E1811">
        <v>33.450000000000003</v>
      </c>
      <c r="F1811">
        <v>9.8800000000000008</v>
      </c>
      <c r="G1811">
        <v>26.8</v>
      </c>
      <c r="H1811">
        <v>11.18</v>
      </c>
      <c r="I1811">
        <v>26.75</v>
      </c>
    </row>
    <row r="1812" spans="1:9" x14ac:dyDescent="0.25">
      <c r="A1812" s="2">
        <v>44225</v>
      </c>
      <c r="B1812">
        <v>21.38</v>
      </c>
      <c r="C1812">
        <v>18.45</v>
      </c>
      <c r="D1812">
        <v>21.33</v>
      </c>
      <c r="E1812">
        <v>33.15</v>
      </c>
      <c r="F1812">
        <v>9.8000000000000007</v>
      </c>
      <c r="G1812">
        <v>26.22</v>
      </c>
      <c r="H1812">
        <v>11.14</v>
      </c>
      <c r="I1812">
        <v>26.68</v>
      </c>
    </row>
    <row r="1813" spans="1:9" x14ac:dyDescent="0.25">
      <c r="A1813" s="2">
        <v>44228</v>
      </c>
      <c r="B1813">
        <v>21.16</v>
      </c>
      <c r="C1813">
        <v>18.260000000000002</v>
      </c>
      <c r="D1813">
        <v>20.98</v>
      </c>
      <c r="E1813">
        <v>32.21</v>
      </c>
      <c r="F1813">
        <v>9.75</v>
      </c>
      <c r="G1813">
        <v>26</v>
      </c>
      <c r="H1813">
        <v>11.11</v>
      </c>
      <c r="I1813">
        <v>25.79</v>
      </c>
    </row>
    <row r="1814" spans="1:9" x14ac:dyDescent="0.25">
      <c r="A1814" s="2">
        <v>44229</v>
      </c>
      <c r="B1814">
        <v>20.85</v>
      </c>
      <c r="C1814">
        <v>18.329999999999998</v>
      </c>
      <c r="D1814">
        <v>20.39</v>
      </c>
      <c r="E1814">
        <v>33.24</v>
      </c>
      <c r="F1814">
        <v>9.89</v>
      </c>
      <c r="G1814">
        <v>25.3</v>
      </c>
      <c r="H1814">
        <v>11.09</v>
      </c>
      <c r="I1814">
        <v>26.35</v>
      </c>
    </row>
    <row r="1815" spans="1:9" x14ac:dyDescent="0.25">
      <c r="A1815" s="2">
        <v>44230</v>
      </c>
      <c r="B1815">
        <v>21.54</v>
      </c>
      <c r="C1815">
        <v>18.37</v>
      </c>
      <c r="D1815">
        <v>21.59</v>
      </c>
      <c r="E1815">
        <v>34.369999999999997</v>
      </c>
      <c r="F1815">
        <v>9.9499999999999993</v>
      </c>
      <c r="G1815">
        <v>25.89</v>
      </c>
      <c r="H1815">
        <v>11.16</v>
      </c>
      <c r="I1815">
        <v>27.29</v>
      </c>
    </row>
    <row r="1816" spans="1:9" x14ac:dyDescent="0.25">
      <c r="A1816" s="2">
        <v>44231</v>
      </c>
      <c r="B1816">
        <v>22</v>
      </c>
      <c r="C1816">
        <v>18.38</v>
      </c>
      <c r="D1816">
        <v>22.22</v>
      </c>
      <c r="E1816">
        <v>34.630000000000003</v>
      </c>
      <c r="F1816">
        <v>9.9700000000000006</v>
      </c>
      <c r="G1816">
        <v>26.91</v>
      </c>
      <c r="H1816">
        <v>11.24</v>
      </c>
      <c r="I1816">
        <v>27.42</v>
      </c>
    </row>
    <row r="1817" spans="1:9" x14ac:dyDescent="0.25">
      <c r="A1817" s="2">
        <v>44232</v>
      </c>
      <c r="B1817">
        <v>22.16</v>
      </c>
      <c r="C1817">
        <v>18.39</v>
      </c>
      <c r="D1817">
        <v>22.49</v>
      </c>
      <c r="E1817">
        <v>34.99</v>
      </c>
      <c r="F1817">
        <v>10.06</v>
      </c>
      <c r="G1817">
        <v>27.24</v>
      </c>
      <c r="H1817">
        <v>11.28</v>
      </c>
      <c r="I1817">
        <v>27.73</v>
      </c>
    </row>
    <row r="1818" spans="1:9" x14ac:dyDescent="0.25">
      <c r="A1818" s="2">
        <v>44235</v>
      </c>
      <c r="B1818">
        <v>22.44</v>
      </c>
      <c r="C1818">
        <v>18.41</v>
      </c>
      <c r="D1818">
        <v>22.91</v>
      </c>
      <c r="E1818">
        <v>35.24</v>
      </c>
      <c r="F1818">
        <v>10.11</v>
      </c>
      <c r="G1818">
        <v>27.5</v>
      </c>
      <c r="H1818">
        <v>11.28</v>
      </c>
      <c r="I1818">
        <v>27.88</v>
      </c>
    </row>
    <row r="1819" spans="1:9" x14ac:dyDescent="0.25">
      <c r="A1819" s="2">
        <v>44236</v>
      </c>
      <c r="B1819">
        <v>22.56</v>
      </c>
      <c r="C1819">
        <v>18.43</v>
      </c>
      <c r="D1819">
        <v>22.99</v>
      </c>
      <c r="E1819">
        <v>35.44</v>
      </c>
      <c r="F1819">
        <v>10.029999999999999</v>
      </c>
      <c r="G1819">
        <v>27.71</v>
      </c>
      <c r="H1819">
        <v>11.36</v>
      </c>
      <c r="I1819">
        <v>28.03</v>
      </c>
    </row>
    <row r="1820" spans="1:9" x14ac:dyDescent="0.25">
      <c r="A1820" s="2">
        <v>44237</v>
      </c>
      <c r="B1820">
        <v>22.63</v>
      </c>
      <c r="C1820">
        <v>18.43</v>
      </c>
      <c r="D1820">
        <v>23.19</v>
      </c>
      <c r="E1820">
        <v>35.42</v>
      </c>
      <c r="F1820">
        <v>9.91</v>
      </c>
      <c r="G1820">
        <v>27.8</v>
      </c>
      <c r="H1820">
        <v>11.36</v>
      </c>
      <c r="I1820">
        <v>27.93</v>
      </c>
    </row>
    <row r="1821" spans="1:9" x14ac:dyDescent="0.25">
      <c r="A1821" s="2">
        <v>44238</v>
      </c>
      <c r="B1821">
        <v>22.58</v>
      </c>
      <c r="C1821">
        <v>18.47</v>
      </c>
      <c r="D1821">
        <v>23.07</v>
      </c>
      <c r="E1821">
        <v>35.46</v>
      </c>
      <c r="F1821">
        <v>9.8699999999999992</v>
      </c>
      <c r="G1821">
        <v>27.8</v>
      </c>
      <c r="H1821">
        <v>11.33</v>
      </c>
      <c r="I1821">
        <v>27.87</v>
      </c>
    </row>
    <row r="1822" spans="1:9" x14ac:dyDescent="0.25">
      <c r="A1822" s="2">
        <v>44239</v>
      </c>
      <c r="B1822">
        <v>22.58</v>
      </c>
      <c r="C1822">
        <v>18.52</v>
      </c>
      <c r="D1822">
        <v>23</v>
      </c>
      <c r="E1822">
        <v>35.75</v>
      </c>
      <c r="F1822">
        <v>9.98</v>
      </c>
      <c r="G1822">
        <v>27.74</v>
      </c>
      <c r="H1822">
        <v>11.34</v>
      </c>
      <c r="I1822">
        <v>28.15</v>
      </c>
    </row>
    <row r="1823" spans="1:9" x14ac:dyDescent="0.25">
      <c r="A1823" s="2">
        <v>44242</v>
      </c>
      <c r="B1823">
        <v>22.66</v>
      </c>
      <c r="C1823">
        <v>18.489999999999998</v>
      </c>
      <c r="D1823">
        <v>23.15</v>
      </c>
      <c r="E1823">
        <v>35.86</v>
      </c>
      <c r="F1823">
        <v>9.81</v>
      </c>
      <c r="G1823">
        <v>28</v>
      </c>
      <c r="H1823">
        <v>11.42</v>
      </c>
      <c r="I1823">
        <v>28.19</v>
      </c>
    </row>
    <row r="1824" spans="1:9" x14ac:dyDescent="0.25">
      <c r="A1824" s="2">
        <v>44243</v>
      </c>
      <c r="B1824">
        <v>22.8</v>
      </c>
      <c r="C1824">
        <v>18.350000000000001</v>
      </c>
      <c r="D1824">
        <v>23.32</v>
      </c>
      <c r="E1824">
        <v>36.049999999999997</v>
      </c>
      <c r="F1824">
        <v>9.66</v>
      </c>
      <c r="G1824">
        <v>28.2</v>
      </c>
      <c r="H1824">
        <v>11.35</v>
      </c>
      <c r="I1824">
        <v>28.45</v>
      </c>
    </row>
    <row r="1825" spans="1:9" x14ac:dyDescent="0.25">
      <c r="A1825" s="2">
        <v>44244</v>
      </c>
      <c r="B1825">
        <v>22.63</v>
      </c>
      <c r="C1825">
        <v>18.22</v>
      </c>
      <c r="D1825">
        <v>23.31</v>
      </c>
      <c r="E1825">
        <v>35.86</v>
      </c>
      <c r="F1825">
        <v>9.36</v>
      </c>
      <c r="G1825">
        <v>28.66</v>
      </c>
      <c r="H1825">
        <v>11.33</v>
      </c>
      <c r="I1825">
        <v>28.3</v>
      </c>
    </row>
    <row r="1826" spans="1:9" x14ac:dyDescent="0.25">
      <c r="A1826" s="2">
        <v>44245</v>
      </c>
      <c r="B1826">
        <v>22.63</v>
      </c>
      <c r="C1826">
        <v>18.25</v>
      </c>
      <c r="D1826">
        <v>23.24</v>
      </c>
      <c r="E1826">
        <v>35.85</v>
      </c>
      <c r="F1826">
        <v>9.31</v>
      </c>
      <c r="G1826">
        <v>28.48</v>
      </c>
      <c r="H1826">
        <v>11.13</v>
      </c>
      <c r="I1826">
        <v>28.13</v>
      </c>
    </row>
    <row r="1827" spans="1:9" x14ac:dyDescent="0.25">
      <c r="A1827" s="2">
        <v>44246</v>
      </c>
      <c r="B1827">
        <v>22.56</v>
      </c>
      <c r="C1827">
        <v>18.14</v>
      </c>
      <c r="D1827">
        <v>23.22</v>
      </c>
      <c r="E1827">
        <v>35.369999999999997</v>
      </c>
      <c r="F1827">
        <v>9.23</v>
      </c>
      <c r="G1827">
        <v>28.3</v>
      </c>
      <c r="H1827">
        <v>11.1</v>
      </c>
      <c r="I1827">
        <v>27.68</v>
      </c>
    </row>
    <row r="1828" spans="1:9" x14ac:dyDescent="0.25">
      <c r="A1828" s="2">
        <v>44249</v>
      </c>
      <c r="B1828">
        <v>22.33</v>
      </c>
      <c r="C1828">
        <v>18.05</v>
      </c>
      <c r="D1828">
        <v>22.85</v>
      </c>
      <c r="E1828">
        <v>35.130000000000003</v>
      </c>
      <c r="F1828">
        <v>9.0299999999999994</v>
      </c>
      <c r="G1828">
        <v>27.9</v>
      </c>
      <c r="H1828">
        <v>11.01</v>
      </c>
      <c r="I1828">
        <v>27.66</v>
      </c>
    </row>
    <row r="1829" spans="1:9" x14ac:dyDescent="0.25">
      <c r="A1829" s="2">
        <v>44250</v>
      </c>
      <c r="B1829">
        <v>22.07</v>
      </c>
      <c r="C1829">
        <v>17.989999999999998</v>
      </c>
      <c r="D1829">
        <v>22.39</v>
      </c>
      <c r="E1829">
        <v>34.299999999999997</v>
      </c>
      <c r="F1829">
        <v>8.82</v>
      </c>
      <c r="G1829">
        <v>27.86</v>
      </c>
      <c r="H1829">
        <v>10.9</v>
      </c>
      <c r="I1829">
        <v>27.18</v>
      </c>
    </row>
    <row r="1830" spans="1:9" x14ac:dyDescent="0.25">
      <c r="A1830" s="2">
        <v>44251</v>
      </c>
      <c r="B1830">
        <v>21.54</v>
      </c>
      <c r="C1830">
        <v>17.829999999999998</v>
      </c>
      <c r="D1830">
        <v>21.89</v>
      </c>
      <c r="E1830">
        <v>33.86</v>
      </c>
      <c r="F1830">
        <v>8.6999999999999993</v>
      </c>
      <c r="G1830">
        <v>27.4</v>
      </c>
      <c r="H1830">
        <v>10.74</v>
      </c>
      <c r="I1830">
        <v>26.62</v>
      </c>
    </row>
    <row r="1831" spans="1:9" x14ac:dyDescent="0.25">
      <c r="A1831" s="2">
        <v>44252</v>
      </c>
      <c r="B1831">
        <v>21.55</v>
      </c>
      <c r="C1831">
        <v>17.73</v>
      </c>
      <c r="D1831">
        <v>21.95</v>
      </c>
      <c r="E1831">
        <v>33.85</v>
      </c>
      <c r="F1831">
        <v>8.6300000000000008</v>
      </c>
      <c r="G1831">
        <v>26.98</v>
      </c>
      <c r="H1831">
        <v>10.71</v>
      </c>
      <c r="I1831">
        <v>26.72</v>
      </c>
    </row>
    <row r="1832" spans="1:9" x14ac:dyDescent="0.25">
      <c r="A1832" s="2">
        <v>44253</v>
      </c>
      <c r="B1832">
        <v>21.28</v>
      </c>
      <c r="C1832">
        <v>17.46</v>
      </c>
      <c r="D1832">
        <v>21.95</v>
      </c>
      <c r="E1832">
        <v>32.96</v>
      </c>
      <c r="F1832">
        <v>8.06</v>
      </c>
      <c r="G1832">
        <v>27.09</v>
      </c>
      <c r="H1832">
        <v>10.68</v>
      </c>
      <c r="I1832">
        <v>26.18</v>
      </c>
    </row>
    <row r="1833" spans="1:9" x14ac:dyDescent="0.25">
      <c r="A1833" s="2">
        <v>44256</v>
      </c>
      <c r="B1833">
        <v>20.59</v>
      </c>
      <c r="C1833">
        <v>17.3</v>
      </c>
      <c r="D1833">
        <v>20.74</v>
      </c>
      <c r="E1833">
        <v>32.21</v>
      </c>
      <c r="F1833">
        <v>8.1</v>
      </c>
      <c r="G1833">
        <v>26.67</v>
      </c>
      <c r="H1833">
        <v>10.28</v>
      </c>
      <c r="I1833">
        <v>25.68</v>
      </c>
    </row>
    <row r="1834" spans="1:9" x14ac:dyDescent="0.25">
      <c r="A1834" s="2">
        <v>44257</v>
      </c>
      <c r="B1834">
        <v>21.01</v>
      </c>
      <c r="C1834">
        <v>17.46</v>
      </c>
      <c r="D1834">
        <v>21.2</v>
      </c>
      <c r="E1834">
        <v>33.700000000000003</v>
      </c>
      <c r="F1834">
        <v>8.6</v>
      </c>
      <c r="G1834">
        <v>26.04</v>
      </c>
      <c r="H1834">
        <v>10.23</v>
      </c>
      <c r="I1834">
        <v>26.89</v>
      </c>
    </row>
    <row r="1835" spans="1:9" x14ac:dyDescent="0.25">
      <c r="A1835" s="2">
        <v>44258</v>
      </c>
      <c r="B1835">
        <v>21.73</v>
      </c>
      <c r="C1835">
        <v>17.63</v>
      </c>
      <c r="D1835">
        <v>22.42</v>
      </c>
      <c r="E1835">
        <v>33.590000000000003</v>
      </c>
      <c r="F1835">
        <v>8.64</v>
      </c>
      <c r="G1835">
        <v>26.96</v>
      </c>
      <c r="H1835">
        <v>10.5</v>
      </c>
      <c r="I1835">
        <v>26.83</v>
      </c>
    </row>
    <row r="1836" spans="1:9" x14ac:dyDescent="0.25">
      <c r="A1836" s="2">
        <v>44259</v>
      </c>
      <c r="B1836">
        <v>21.32</v>
      </c>
      <c r="C1836">
        <v>17.559999999999999</v>
      </c>
      <c r="D1836">
        <v>21.95</v>
      </c>
      <c r="E1836">
        <v>33.24</v>
      </c>
      <c r="F1836">
        <v>8.3699999999999992</v>
      </c>
      <c r="G1836">
        <v>27.17</v>
      </c>
      <c r="H1836">
        <v>10.48</v>
      </c>
      <c r="I1836">
        <v>26.55</v>
      </c>
    </row>
    <row r="1837" spans="1:9" x14ac:dyDescent="0.25">
      <c r="A1837" s="2">
        <v>44260</v>
      </c>
      <c r="B1837">
        <v>20.88</v>
      </c>
      <c r="C1837">
        <v>17.52</v>
      </c>
      <c r="D1837">
        <v>21.29</v>
      </c>
      <c r="E1837">
        <v>32.46</v>
      </c>
      <c r="F1837">
        <v>8.2799999999999994</v>
      </c>
      <c r="G1837">
        <v>27.05</v>
      </c>
      <c r="H1837">
        <v>10.33</v>
      </c>
      <c r="I1837">
        <v>26.05</v>
      </c>
    </row>
    <row r="1838" spans="1:9" x14ac:dyDescent="0.25">
      <c r="A1838" s="2">
        <v>44263</v>
      </c>
      <c r="B1838">
        <v>20.49</v>
      </c>
      <c r="C1838">
        <v>17.37</v>
      </c>
      <c r="D1838">
        <v>20.85</v>
      </c>
      <c r="E1838">
        <v>32.36</v>
      </c>
      <c r="F1838">
        <v>8.11</v>
      </c>
      <c r="G1838">
        <v>26.64</v>
      </c>
      <c r="H1838">
        <v>10.32</v>
      </c>
      <c r="I1838">
        <v>25.56</v>
      </c>
    </row>
    <row r="1839" spans="1:9" x14ac:dyDescent="0.25">
      <c r="A1839" s="2">
        <v>44264</v>
      </c>
      <c r="B1839">
        <v>21.24</v>
      </c>
      <c r="C1839">
        <v>17.22</v>
      </c>
      <c r="D1839">
        <v>22.17</v>
      </c>
      <c r="E1839">
        <v>32.61</v>
      </c>
      <c r="F1839">
        <v>7.91</v>
      </c>
      <c r="G1839">
        <v>26.02</v>
      </c>
      <c r="H1839">
        <v>10.15</v>
      </c>
      <c r="I1839">
        <v>26.41</v>
      </c>
    </row>
    <row r="1840" spans="1:9" x14ac:dyDescent="0.25">
      <c r="A1840" s="2">
        <v>44265</v>
      </c>
      <c r="B1840">
        <v>21.15</v>
      </c>
      <c r="C1840">
        <v>17.07</v>
      </c>
      <c r="D1840">
        <v>22.29</v>
      </c>
      <c r="E1840">
        <v>33</v>
      </c>
      <c r="F1840">
        <v>8</v>
      </c>
      <c r="G1840">
        <v>26.85</v>
      </c>
      <c r="H1840">
        <v>9.9499999999999993</v>
      </c>
      <c r="I1840">
        <v>26.7</v>
      </c>
    </row>
    <row r="1841" spans="1:9" x14ac:dyDescent="0.25">
      <c r="A1841" s="2">
        <v>44266</v>
      </c>
      <c r="B1841">
        <v>21.59</v>
      </c>
      <c r="C1841">
        <v>17.14</v>
      </c>
      <c r="D1841">
        <v>22.89</v>
      </c>
      <c r="E1841">
        <v>33.299999999999997</v>
      </c>
      <c r="F1841">
        <v>8.1</v>
      </c>
      <c r="G1841">
        <v>27.06</v>
      </c>
      <c r="H1841">
        <v>9.99</v>
      </c>
      <c r="I1841">
        <v>26.97</v>
      </c>
    </row>
    <row r="1842" spans="1:9" x14ac:dyDescent="0.25">
      <c r="A1842" s="2">
        <v>44267</v>
      </c>
      <c r="B1842">
        <v>21.74</v>
      </c>
      <c r="C1842">
        <v>17.149999999999999</v>
      </c>
      <c r="D1842">
        <v>23.14</v>
      </c>
      <c r="E1842">
        <v>34.04</v>
      </c>
      <c r="F1842">
        <v>8.4499999999999993</v>
      </c>
      <c r="G1842">
        <v>27.5</v>
      </c>
      <c r="H1842">
        <v>10.09</v>
      </c>
      <c r="I1842">
        <v>27.43</v>
      </c>
    </row>
    <row r="1843" spans="1:9" x14ac:dyDescent="0.25">
      <c r="A1843" s="2">
        <v>44270</v>
      </c>
      <c r="B1843">
        <v>21.84</v>
      </c>
      <c r="C1843">
        <v>17.16</v>
      </c>
      <c r="D1843">
        <v>23.28</v>
      </c>
      <c r="E1843">
        <v>33.72</v>
      </c>
      <c r="F1843">
        <v>8.15</v>
      </c>
      <c r="G1843">
        <v>27.98</v>
      </c>
      <c r="H1843">
        <v>10.31</v>
      </c>
      <c r="I1843">
        <v>27.2</v>
      </c>
    </row>
    <row r="1844" spans="1:9" x14ac:dyDescent="0.25">
      <c r="A1844" s="2">
        <v>44271</v>
      </c>
      <c r="B1844">
        <v>21.82</v>
      </c>
      <c r="C1844">
        <v>17.079999999999998</v>
      </c>
      <c r="D1844">
        <v>23.37</v>
      </c>
      <c r="E1844">
        <v>33.950000000000003</v>
      </c>
      <c r="F1844">
        <v>8.2799999999999994</v>
      </c>
      <c r="G1844">
        <v>27.85</v>
      </c>
      <c r="H1844">
        <v>10.14</v>
      </c>
      <c r="I1844">
        <v>27.41</v>
      </c>
    </row>
    <row r="1845" spans="1:9" x14ac:dyDescent="0.25">
      <c r="A1845" s="2">
        <v>44272</v>
      </c>
      <c r="B1845">
        <v>21.98</v>
      </c>
      <c r="C1845">
        <v>17.05</v>
      </c>
      <c r="D1845">
        <v>23.99</v>
      </c>
      <c r="E1845">
        <v>34.49</v>
      </c>
      <c r="F1845">
        <v>8.4600000000000009</v>
      </c>
      <c r="G1845">
        <v>27.99</v>
      </c>
      <c r="H1845">
        <v>10.199999999999999</v>
      </c>
      <c r="I1845">
        <v>27.85</v>
      </c>
    </row>
    <row r="1846" spans="1:9" x14ac:dyDescent="0.25">
      <c r="A1846" s="2">
        <v>44273</v>
      </c>
      <c r="B1846">
        <v>21.92</v>
      </c>
      <c r="C1846">
        <v>16.989999999999998</v>
      </c>
      <c r="D1846">
        <v>23.84</v>
      </c>
      <c r="E1846">
        <v>34.07</v>
      </c>
      <c r="F1846">
        <v>8.18</v>
      </c>
      <c r="G1846">
        <v>28.54</v>
      </c>
      <c r="H1846">
        <v>10.29</v>
      </c>
      <c r="I1846">
        <v>27.36</v>
      </c>
    </row>
    <row r="1847" spans="1:9" x14ac:dyDescent="0.25">
      <c r="A1847" s="2">
        <v>44274</v>
      </c>
      <c r="B1847">
        <v>21.83</v>
      </c>
      <c r="C1847">
        <v>16.829999999999998</v>
      </c>
      <c r="D1847">
        <v>23.75</v>
      </c>
      <c r="E1847">
        <v>34</v>
      </c>
      <c r="F1847">
        <v>8.08</v>
      </c>
      <c r="G1847">
        <v>28.2</v>
      </c>
      <c r="H1847">
        <v>10.119999999999999</v>
      </c>
      <c r="I1847">
        <v>27.43</v>
      </c>
    </row>
    <row r="1848" spans="1:9" x14ac:dyDescent="0.25">
      <c r="A1848" s="2">
        <v>44277</v>
      </c>
      <c r="B1848">
        <v>21.48</v>
      </c>
      <c r="C1848">
        <v>16.77</v>
      </c>
      <c r="D1848">
        <v>23.17</v>
      </c>
      <c r="E1848">
        <v>33.71</v>
      </c>
      <c r="F1848">
        <v>8.17</v>
      </c>
      <c r="G1848">
        <v>28.29</v>
      </c>
      <c r="H1848">
        <v>10.02</v>
      </c>
      <c r="I1848">
        <v>27.24</v>
      </c>
    </row>
    <row r="1849" spans="1:9" x14ac:dyDescent="0.25">
      <c r="A1849" s="2">
        <v>44278</v>
      </c>
      <c r="B1849">
        <v>21.55</v>
      </c>
      <c r="C1849">
        <v>16.82</v>
      </c>
      <c r="D1849">
        <v>23.25</v>
      </c>
      <c r="E1849">
        <v>33.76</v>
      </c>
      <c r="F1849">
        <v>8.1999999999999993</v>
      </c>
      <c r="G1849">
        <v>27.89</v>
      </c>
      <c r="H1849">
        <v>10.09</v>
      </c>
      <c r="I1849">
        <v>27.28</v>
      </c>
    </row>
    <row r="1850" spans="1:9" x14ac:dyDescent="0.25">
      <c r="A1850" s="2">
        <v>44279</v>
      </c>
      <c r="B1850">
        <v>21.74</v>
      </c>
      <c r="C1850">
        <v>16.95</v>
      </c>
      <c r="D1850">
        <v>23.54</v>
      </c>
      <c r="E1850">
        <v>33.82</v>
      </c>
      <c r="F1850">
        <v>8.41</v>
      </c>
      <c r="G1850">
        <v>27.97</v>
      </c>
      <c r="H1850">
        <v>10.050000000000001</v>
      </c>
      <c r="I1850">
        <v>27.51</v>
      </c>
    </row>
    <row r="1851" spans="1:9" x14ac:dyDescent="0.25">
      <c r="A1851" s="2">
        <v>44280</v>
      </c>
      <c r="B1851">
        <v>21.73</v>
      </c>
      <c r="C1851">
        <v>17.11</v>
      </c>
      <c r="D1851">
        <v>23.57</v>
      </c>
      <c r="E1851">
        <v>33.69</v>
      </c>
      <c r="F1851">
        <v>8.5399999999999991</v>
      </c>
      <c r="G1851">
        <v>28.09</v>
      </c>
      <c r="H1851">
        <v>10.15</v>
      </c>
      <c r="I1851">
        <v>27.51</v>
      </c>
    </row>
    <row r="1852" spans="1:9" x14ac:dyDescent="0.25">
      <c r="A1852" s="2">
        <v>44281</v>
      </c>
      <c r="B1852">
        <v>21.72</v>
      </c>
      <c r="C1852">
        <v>17.23</v>
      </c>
      <c r="D1852">
        <v>23.36</v>
      </c>
      <c r="E1852">
        <v>33.729999999999997</v>
      </c>
      <c r="F1852">
        <v>8.6</v>
      </c>
      <c r="G1852">
        <v>27.91</v>
      </c>
      <c r="H1852">
        <v>10.130000000000001</v>
      </c>
      <c r="I1852">
        <v>27.31</v>
      </c>
    </row>
    <row r="1853" spans="1:9" x14ac:dyDescent="0.25">
      <c r="A1853" s="2">
        <v>44284</v>
      </c>
      <c r="B1853">
        <v>22.03</v>
      </c>
      <c r="C1853">
        <v>17.22</v>
      </c>
      <c r="D1853">
        <v>23.97</v>
      </c>
      <c r="E1853">
        <v>34.299999999999997</v>
      </c>
      <c r="F1853">
        <v>8.51</v>
      </c>
      <c r="G1853">
        <v>27.76</v>
      </c>
      <c r="H1853">
        <v>10.15</v>
      </c>
      <c r="I1853">
        <v>27.74</v>
      </c>
    </row>
    <row r="1854" spans="1:9" x14ac:dyDescent="0.25">
      <c r="A1854" s="2">
        <v>44285</v>
      </c>
      <c r="B1854">
        <v>22.42</v>
      </c>
      <c r="C1854">
        <v>17.100000000000001</v>
      </c>
      <c r="D1854">
        <v>24.47</v>
      </c>
      <c r="E1854">
        <v>34.369999999999997</v>
      </c>
      <c r="F1854">
        <v>8.4</v>
      </c>
      <c r="G1854">
        <v>28.26</v>
      </c>
      <c r="H1854">
        <v>10.11</v>
      </c>
      <c r="I1854">
        <v>27.86</v>
      </c>
    </row>
    <row r="1855" spans="1:9" x14ac:dyDescent="0.25">
      <c r="A1855" s="2">
        <v>44286</v>
      </c>
      <c r="B1855">
        <v>22.44</v>
      </c>
      <c r="C1855">
        <v>17.02</v>
      </c>
      <c r="D1855">
        <v>24.55</v>
      </c>
      <c r="E1855">
        <v>34.520000000000003</v>
      </c>
      <c r="F1855">
        <v>8.27</v>
      </c>
      <c r="G1855">
        <v>28.58</v>
      </c>
      <c r="H1855">
        <v>10.02</v>
      </c>
      <c r="I1855">
        <v>27.98</v>
      </c>
    </row>
    <row r="1856" spans="1:9" x14ac:dyDescent="0.25">
      <c r="A1856" s="2">
        <v>44287</v>
      </c>
      <c r="B1856">
        <v>22.58</v>
      </c>
      <c r="C1856">
        <v>17.04</v>
      </c>
      <c r="D1856">
        <v>24.57</v>
      </c>
      <c r="E1856">
        <v>34.64</v>
      </c>
      <c r="F1856">
        <v>8.39</v>
      </c>
      <c r="G1856">
        <v>28.71</v>
      </c>
      <c r="H1856">
        <v>9.92</v>
      </c>
      <c r="I1856">
        <v>28.19</v>
      </c>
    </row>
    <row r="1857" spans="1:9" x14ac:dyDescent="0.25">
      <c r="A1857" s="2">
        <v>44292</v>
      </c>
      <c r="B1857">
        <v>22.79</v>
      </c>
      <c r="C1857">
        <v>17.21</v>
      </c>
      <c r="D1857">
        <v>24.78</v>
      </c>
      <c r="E1857">
        <v>35.21</v>
      </c>
      <c r="F1857">
        <v>8.58</v>
      </c>
      <c r="G1857">
        <v>28.87</v>
      </c>
      <c r="H1857">
        <v>10.039999999999999</v>
      </c>
      <c r="I1857">
        <v>28.61</v>
      </c>
    </row>
    <row r="1858" spans="1:9" x14ac:dyDescent="0.25">
      <c r="A1858" s="2">
        <v>44293</v>
      </c>
      <c r="B1858">
        <v>23.52</v>
      </c>
      <c r="C1858">
        <v>17.37</v>
      </c>
      <c r="D1858">
        <v>25.4</v>
      </c>
      <c r="E1858">
        <v>35.6</v>
      </c>
      <c r="F1858">
        <v>8.61</v>
      </c>
      <c r="G1858">
        <v>29.29</v>
      </c>
      <c r="H1858">
        <v>10.199999999999999</v>
      </c>
      <c r="I1858">
        <v>28.83</v>
      </c>
    </row>
    <row r="1859" spans="1:9" x14ac:dyDescent="0.25">
      <c r="A1859" s="2">
        <v>44294</v>
      </c>
      <c r="B1859">
        <v>23.64</v>
      </c>
      <c r="C1859">
        <v>17.5</v>
      </c>
      <c r="D1859">
        <v>25.44</v>
      </c>
      <c r="E1859">
        <v>35.340000000000003</v>
      </c>
      <c r="F1859">
        <v>8.6199999999999992</v>
      </c>
      <c r="G1859">
        <v>29.9</v>
      </c>
      <c r="H1859">
        <v>10.28</v>
      </c>
      <c r="I1859">
        <v>28.58</v>
      </c>
    </row>
    <row r="1860" spans="1:9" x14ac:dyDescent="0.25">
      <c r="A1860" s="2">
        <v>44295</v>
      </c>
      <c r="B1860">
        <v>23.7</v>
      </c>
      <c r="C1860">
        <v>17.55</v>
      </c>
      <c r="D1860">
        <v>25.47</v>
      </c>
      <c r="E1860">
        <v>35.6</v>
      </c>
      <c r="F1860">
        <v>8.6999999999999993</v>
      </c>
      <c r="G1860">
        <v>29.72</v>
      </c>
      <c r="H1860">
        <v>10.34</v>
      </c>
      <c r="I1860">
        <v>28.77</v>
      </c>
    </row>
    <row r="1861" spans="1:9" x14ac:dyDescent="0.25">
      <c r="A1861" s="2">
        <v>44298</v>
      </c>
      <c r="B1861">
        <v>23.91</v>
      </c>
      <c r="C1861">
        <v>17.579999999999998</v>
      </c>
      <c r="D1861">
        <v>25.69</v>
      </c>
      <c r="E1861">
        <v>35.590000000000003</v>
      </c>
      <c r="F1861">
        <v>8.6</v>
      </c>
      <c r="G1861">
        <v>30</v>
      </c>
      <c r="H1861">
        <v>10.42</v>
      </c>
      <c r="I1861">
        <v>28.76</v>
      </c>
    </row>
    <row r="1862" spans="1:9" x14ac:dyDescent="0.25">
      <c r="A1862" s="2">
        <v>44299</v>
      </c>
      <c r="B1862">
        <v>24.02</v>
      </c>
      <c r="C1862">
        <v>17.52</v>
      </c>
      <c r="D1862">
        <v>25.8</v>
      </c>
      <c r="E1862">
        <v>35.46</v>
      </c>
      <c r="F1862">
        <v>8.64</v>
      </c>
      <c r="G1862">
        <v>30.03</v>
      </c>
      <c r="H1862">
        <v>10.3</v>
      </c>
      <c r="I1862">
        <v>28.66</v>
      </c>
    </row>
    <row r="1863" spans="1:9" x14ac:dyDescent="0.25">
      <c r="A1863" s="2">
        <v>44300</v>
      </c>
      <c r="B1863">
        <v>23.97</v>
      </c>
      <c r="C1863">
        <v>17.53</v>
      </c>
      <c r="D1863">
        <v>25.72</v>
      </c>
      <c r="E1863">
        <v>35.51</v>
      </c>
      <c r="F1863">
        <v>8.61</v>
      </c>
      <c r="G1863">
        <v>29.93</v>
      </c>
      <c r="H1863">
        <v>10.32</v>
      </c>
      <c r="I1863">
        <v>28.71</v>
      </c>
    </row>
    <row r="1864" spans="1:9" x14ac:dyDescent="0.25">
      <c r="A1864" s="2">
        <v>44301</v>
      </c>
      <c r="B1864">
        <v>23.97</v>
      </c>
      <c r="C1864">
        <v>17.510000000000002</v>
      </c>
      <c r="D1864">
        <v>25.77</v>
      </c>
      <c r="E1864">
        <v>35.479999999999997</v>
      </c>
      <c r="F1864">
        <v>8.58</v>
      </c>
      <c r="G1864">
        <v>29.98</v>
      </c>
      <c r="H1864">
        <v>10.28</v>
      </c>
      <c r="I1864">
        <v>28.77</v>
      </c>
    </row>
    <row r="1865" spans="1:9" x14ac:dyDescent="0.25">
      <c r="A1865" s="2">
        <v>44302</v>
      </c>
      <c r="B1865">
        <v>24.18</v>
      </c>
      <c r="C1865">
        <v>17.7</v>
      </c>
      <c r="D1865">
        <v>25.61</v>
      </c>
      <c r="E1865">
        <v>35.97</v>
      </c>
      <c r="F1865">
        <v>8.8699999999999992</v>
      </c>
      <c r="G1865">
        <v>30.06</v>
      </c>
      <c r="H1865">
        <v>10.3</v>
      </c>
      <c r="I1865">
        <v>29.03</v>
      </c>
    </row>
    <row r="1866" spans="1:9" x14ac:dyDescent="0.25">
      <c r="A1866" s="2">
        <v>44305</v>
      </c>
      <c r="B1866">
        <v>24.63</v>
      </c>
      <c r="C1866">
        <v>17.79</v>
      </c>
      <c r="D1866">
        <v>26.16</v>
      </c>
      <c r="E1866">
        <v>36.24</v>
      </c>
      <c r="F1866">
        <v>8.8699999999999992</v>
      </c>
      <c r="G1866">
        <v>30.38</v>
      </c>
      <c r="H1866">
        <v>10.48</v>
      </c>
      <c r="I1866">
        <v>29.19</v>
      </c>
    </row>
    <row r="1867" spans="1:9" x14ac:dyDescent="0.25">
      <c r="A1867" s="2">
        <v>44306</v>
      </c>
      <c r="B1867">
        <v>24.62</v>
      </c>
      <c r="C1867">
        <v>17.77</v>
      </c>
      <c r="D1867">
        <v>26.02</v>
      </c>
      <c r="E1867">
        <v>35.880000000000003</v>
      </c>
      <c r="F1867">
        <v>8.76</v>
      </c>
      <c r="G1867">
        <v>30.77</v>
      </c>
      <c r="H1867">
        <v>10.5</v>
      </c>
      <c r="I1867">
        <v>28.93</v>
      </c>
    </row>
    <row r="1868" spans="1:9" x14ac:dyDescent="0.25">
      <c r="A1868" s="2">
        <v>44307</v>
      </c>
      <c r="B1868">
        <v>24.19</v>
      </c>
      <c r="C1868">
        <v>17.73</v>
      </c>
      <c r="D1868">
        <v>25.45</v>
      </c>
      <c r="E1868">
        <v>35.229999999999997</v>
      </c>
      <c r="F1868">
        <v>8.67</v>
      </c>
      <c r="G1868">
        <v>30.64</v>
      </c>
      <c r="H1868">
        <v>10.46</v>
      </c>
      <c r="I1868">
        <v>28.4</v>
      </c>
    </row>
    <row r="1869" spans="1:9" x14ac:dyDescent="0.25">
      <c r="A1869" s="2">
        <v>44308</v>
      </c>
      <c r="B1869">
        <v>24.17</v>
      </c>
      <c r="C1869">
        <v>17.72</v>
      </c>
      <c r="D1869">
        <v>25.23</v>
      </c>
      <c r="E1869">
        <v>35.369999999999997</v>
      </c>
      <c r="F1869">
        <v>8.7200000000000006</v>
      </c>
      <c r="G1869">
        <v>29.82</v>
      </c>
      <c r="H1869">
        <v>10.41</v>
      </c>
      <c r="I1869">
        <v>28.6</v>
      </c>
    </row>
    <row r="1870" spans="1:9" x14ac:dyDescent="0.25">
      <c r="A1870" s="2">
        <v>44309</v>
      </c>
      <c r="B1870">
        <v>24.36</v>
      </c>
      <c r="C1870">
        <v>17.75</v>
      </c>
      <c r="D1870">
        <v>25.62</v>
      </c>
      <c r="E1870">
        <v>35.71</v>
      </c>
      <c r="F1870">
        <v>8.7799999999999994</v>
      </c>
      <c r="G1870">
        <v>29.99</v>
      </c>
      <c r="H1870">
        <v>10.41</v>
      </c>
      <c r="I1870">
        <v>29.01</v>
      </c>
    </row>
    <row r="1871" spans="1:9" x14ac:dyDescent="0.25">
      <c r="A1871" s="2">
        <v>44312</v>
      </c>
      <c r="B1871">
        <v>24.34</v>
      </c>
      <c r="C1871">
        <v>17.78</v>
      </c>
      <c r="D1871">
        <v>25.39</v>
      </c>
      <c r="E1871">
        <v>35.770000000000003</v>
      </c>
      <c r="F1871">
        <v>8.76</v>
      </c>
      <c r="G1871">
        <v>30.44</v>
      </c>
      <c r="H1871">
        <v>10.45</v>
      </c>
      <c r="I1871">
        <v>28.87</v>
      </c>
    </row>
    <row r="1872" spans="1:9" x14ac:dyDescent="0.25">
      <c r="A1872" s="2">
        <v>44313</v>
      </c>
      <c r="B1872">
        <v>24.59</v>
      </c>
      <c r="C1872">
        <v>17.79</v>
      </c>
      <c r="D1872">
        <v>25.65</v>
      </c>
      <c r="E1872">
        <v>35.89</v>
      </c>
      <c r="F1872">
        <v>8.69</v>
      </c>
      <c r="G1872">
        <v>30.31</v>
      </c>
      <c r="H1872">
        <v>10.43</v>
      </c>
      <c r="I1872">
        <v>29.05</v>
      </c>
    </row>
    <row r="1873" spans="1:9" x14ac:dyDescent="0.25">
      <c r="A1873" s="2">
        <v>44314</v>
      </c>
      <c r="B1873">
        <v>24.53</v>
      </c>
      <c r="C1873">
        <v>17.760000000000002</v>
      </c>
      <c r="D1873">
        <v>25.58</v>
      </c>
      <c r="E1873">
        <v>35.78</v>
      </c>
      <c r="F1873">
        <v>8.56</v>
      </c>
      <c r="G1873">
        <v>30.54</v>
      </c>
      <c r="H1873">
        <v>10.43</v>
      </c>
      <c r="I1873">
        <v>28.94</v>
      </c>
    </row>
    <row r="1874" spans="1:9" x14ac:dyDescent="0.25">
      <c r="A1874" s="2">
        <v>44315</v>
      </c>
      <c r="B1874">
        <v>24.41</v>
      </c>
      <c r="C1874">
        <v>17.66</v>
      </c>
      <c r="D1874">
        <v>25.51</v>
      </c>
      <c r="E1874">
        <v>35.69</v>
      </c>
      <c r="F1874">
        <v>8.43</v>
      </c>
      <c r="G1874">
        <v>30.5</v>
      </c>
      <c r="H1874">
        <v>10.37</v>
      </c>
      <c r="I1874">
        <v>28.82</v>
      </c>
    </row>
    <row r="1875" spans="1:9" x14ac:dyDescent="0.25">
      <c r="A1875" s="2">
        <v>44316</v>
      </c>
      <c r="B1875">
        <v>24.27</v>
      </c>
      <c r="C1875">
        <v>17.54</v>
      </c>
      <c r="D1875">
        <v>25.29</v>
      </c>
      <c r="E1875">
        <v>35.619999999999997</v>
      </c>
      <c r="F1875">
        <v>8.35</v>
      </c>
      <c r="G1875">
        <v>30.43</v>
      </c>
      <c r="H1875">
        <v>10.33</v>
      </c>
      <c r="I1875">
        <v>28.61</v>
      </c>
    </row>
    <row r="1876" spans="1:9" x14ac:dyDescent="0.25">
      <c r="A1876" s="2">
        <v>44321</v>
      </c>
      <c r="B1876">
        <v>24.45</v>
      </c>
      <c r="C1876">
        <v>17.62</v>
      </c>
      <c r="D1876">
        <v>25.35</v>
      </c>
      <c r="E1876">
        <v>35.619999999999997</v>
      </c>
      <c r="F1876">
        <v>8.5</v>
      </c>
      <c r="G1876">
        <v>30.25</v>
      </c>
      <c r="H1876">
        <v>10.29</v>
      </c>
      <c r="I1876">
        <v>28.62</v>
      </c>
    </row>
    <row r="1877" spans="1:9" x14ac:dyDescent="0.25">
      <c r="A1877" s="2">
        <v>44322</v>
      </c>
      <c r="B1877">
        <v>24.47</v>
      </c>
      <c r="C1877">
        <v>17.91</v>
      </c>
      <c r="D1877">
        <v>25.47</v>
      </c>
      <c r="E1877">
        <v>35.630000000000003</v>
      </c>
      <c r="F1877">
        <v>8.66</v>
      </c>
      <c r="G1877">
        <v>29.82</v>
      </c>
      <c r="H1877">
        <v>10.38</v>
      </c>
      <c r="I1877">
        <v>28.77</v>
      </c>
    </row>
    <row r="1878" spans="1:9" x14ac:dyDescent="0.25">
      <c r="A1878" s="2">
        <v>44323</v>
      </c>
      <c r="B1878">
        <v>24.43</v>
      </c>
      <c r="C1878">
        <v>17.940000000000001</v>
      </c>
      <c r="D1878">
        <v>25.39</v>
      </c>
      <c r="E1878">
        <v>35.619999999999997</v>
      </c>
      <c r="F1878">
        <v>8.67</v>
      </c>
      <c r="G1878">
        <v>30.47</v>
      </c>
      <c r="H1878">
        <v>10.43</v>
      </c>
      <c r="I1878">
        <v>28.46</v>
      </c>
    </row>
    <row r="1879" spans="1:9" x14ac:dyDescent="0.25">
      <c r="A1879" s="2">
        <v>44326</v>
      </c>
      <c r="B1879">
        <v>24.87</v>
      </c>
      <c r="C1879">
        <v>17.96</v>
      </c>
      <c r="D1879">
        <v>25.69</v>
      </c>
      <c r="E1879">
        <v>35.9</v>
      </c>
      <c r="F1879">
        <v>8.65</v>
      </c>
      <c r="G1879">
        <v>30.43</v>
      </c>
      <c r="H1879">
        <v>10.49</v>
      </c>
      <c r="I1879">
        <v>28.72</v>
      </c>
    </row>
    <row r="1880" spans="1:9" x14ac:dyDescent="0.25">
      <c r="A1880" s="2">
        <v>44327</v>
      </c>
      <c r="B1880">
        <v>24.85</v>
      </c>
      <c r="C1880">
        <v>17.920000000000002</v>
      </c>
      <c r="D1880">
        <v>25.6</v>
      </c>
      <c r="E1880">
        <v>35.69</v>
      </c>
      <c r="F1880">
        <v>8.6</v>
      </c>
      <c r="G1880">
        <v>30.83</v>
      </c>
      <c r="H1880">
        <v>10.55</v>
      </c>
      <c r="I1880">
        <v>28.71</v>
      </c>
    </row>
    <row r="1881" spans="1:9" x14ac:dyDescent="0.25">
      <c r="A1881" s="2">
        <v>44328</v>
      </c>
      <c r="B1881">
        <v>24.18</v>
      </c>
      <c r="C1881">
        <v>17.7</v>
      </c>
      <c r="D1881">
        <v>24.81</v>
      </c>
      <c r="E1881">
        <v>34.56</v>
      </c>
      <c r="F1881">
        <v>8.34</v>
      </c>
      <c r="G1881">
        <v>30.87</v>
      </c>
      <c r="H1881">
        <v>10.55</v>
      </c>
      <c r="I1881">
        <v>27.6</v>
      </c>
    </row>
    <row r="1882" spans="1:9" x14ac:dyDescent="0.25">
      <c r="A1882" s="2">
        <v>44329</v>
      </c>
      <c r="B1882">
        <v>23.69</v>
      </c>
      <c r="C1882">
        <v>17.510000000000002</v>
      </c>
      <c r="D1882">
        <v>24.26</v>
      </c>
      <c r="E1882">
        <v>34.22</v>
      </c>
      <c r="F1882">
        <v>8.16</v>
      </c>
      <c r="G1882">
        <v>29.6</v>
      </c>
      <c r="H1882">
        <v>10.39</v>
      </c>
      <c r="I1882">
        <v>27.4</v>
      </c>
    </row>
    <row r="1883" spans="1:9" x14ac:dyDescent="0.25">
      <c r="A1883" s="2">
        <v>44330</v>
      </c>
      <c r="B1883">
        <v>23.5</v>
      </c>
      <c r="C1883">
        <v>17.39</v>
      </c>
      <c r="D1883">
        <v>23.75</v>
      </c>
      <c r="E1883">
        <v>34.07</v>
      </c>
      <c r="F1883">
        <v>8.1199999999999992</v>
      </c>
      <c r="G1883">
        <v>29.45</v>
      </c>
      <c r="H1883">
        <v>10.27</v>
      </c>
      <c r="I1883">
        <v>27.32</v>
      </c>
    </row>
    <row r="1884" spans="1:9" x14ac:dyDescent="0.25">
      <c r="A1884" s="2">
        <v>44333</v>
      </c>
      <c r="B1884">
        <v>23.69</v>
      </c>
      <c r="C1884">
        <v>17.37</v>
      </c>
      <c r="D1884">
        <v>24.07</v>
      </c>
      <c r="E1884">
        <v>34.56</v>
      </c>
      <c r="F1884">
        <v>8.14</v>
      </c>
      <c r="G1884">
        <v>29.24</v>
      </c>
      <c r="H1884">
        <v>10.23</v>
      </c>
      <c r="I1884">
        <v>27.61</v>
      </c>
    </row>
    <row r="1885" spans="1:9" x14ac:dyDescent="0.25">
      <c r="A1885" s="2">
        <v>44334</v>
      </c>
      <c r="B1885">
        <v>24.06</v>
      </c>
      <c r="C1885">
        <v>17.399999999999999</v>
      </c>
      <c r="D1885">
        <v>24.39</v>
      </c>
      <c r="E1885">
        <v>34.53</v>
      </c>
      <c r="F1885">
        <v>8.14</v>
      </c>
      <c r="G1885">
        <v>29.8</v>
      </c>
      <c r="H1885">
        <v>10.29</v>
      </c>
      <c r="I1885">
        <v>27.47</v>
      </c>
    </row>
    <row r="1886" spans="1:9" x14ac:dyDescent="0.25">
      <c r="A1886" s="2">
        <v>44335</v>
      </c>
      <c r="B1886">
        <v>23.87</v>
      </c>
      <c r="C1886">
        <v>17.34</v>
      </c>
      <c r="D1886">
        <v>24.18</v>
      </c>
      <c r="E1886">
        <v>34.58</v>
      </c>
      <c r="F1886">
        <v>8.1</v>
      </c>
      <c r="G1886">
        <v>29.85</v>
      </c>
      <c r="H1886">
        <v>10.26</v>
      </c>
      <c r="I1886">
        <v>27.46</v>
      </c>
    </row>
    <row r="1887" spans="1:9" x14ac:dyDescent="0.25">
      <c r="A1887" s="2">
        <v>44336</v>
      </c>
      <c r="B1887">
        <v>23.51</v>
      </c>
      <c r="C1887">
        <v>17.350000000000001</v>
      </c>
      <c r="D1887">
        <v>23.43</v>
      </c>
      <c r="E1887">
        <v>33.9</v>
      </c>
      <c r="F1887">
        <v>7.94</v>
      </c>
      <c r="G1887">
        <v>29.91</v>
      </c>
      <c r="H1887">
        <v>10.24</v>
      </c>
      <c r="I1887">
        <v>26.63</v>
      </c>
    </row>
    <row r="1888" spans="1:9" x14ac:dyDescent="0.25">
      <c r="A1888" s="2">
        <v>44337</v>
      </c>
      <c r="B1888">
        <v>23.61</v>
      </c>
      <c r="C1888">
        <v>17.29</v>
      </c>
      <c r="D1888">
        <v>23.67</v>
      </c>
      <c r="E1888">
        <v>34.54</v>
      </c>
      <c r="F1888">
        <v>8.06</v>
      </c>
      <c r="G1888">
        <v>29.06</v>
      </c>
      <c r="H1888">
        <v>10.130000000000001</v>
      </c>
      <c r="I1888">
        <v>27.37</v>
      </c>
    </row>
    <row r="1889" spans="1:9" x14ac:dyDescent="0.25">
      <c r="A1889" s="2">
        <v>44340</v>
      </c>
      <c r="B1889">
        <v>24.02</v>
      </c>
      <c r="C1889">
        <v>17.399999999999999</v>
      </c>
      <c r="D1889">
        <v>24.27</v>
      </c>
      <c r="E1889">
        <v>34.74</v>
      </c>
      <c r="F1889">
        <v>8.14</v>
      </c>
      <c r="G1889">
        <v>29.72</v>
      </c>
      <c r="H1889">
        <v>10.16</v>
      </c>
      <c r="I1889">
        <v>27.83</v>
      </c>
    </row>
    <row r="1890" spans="1:9" x14ac:dyDescent="0.25">
      <c r="A1890" s="2">
        <v>44341</v>
      </c>
      <c r="B1890">
        <v>24.18</v>
      </c>
      <c r="C1890">
        <v>17.5</v>
      </c>
      <c r="D1890">
        <v>24.46</v>
      </c>
      <c r="E1890">
        <v>34.93</v>
      </c>
      <c r="F1890">
        <v>8.19</v>
      </c>
      <c r="G1890">
        <v>30.06</v>
      </c>
      <c r="H1890">
        <v>10.24</v>
      </c>
      <c r="I1890">
        <v>27.78</v>
      </c>
    </row>
    <row r="1891" spans="1:9" x14ac:dyDescent="0.25">
      <c r="A1891" s="2">
        <v>44342</v>
      </c>
      <c r="B1891">
        <v>24.35</v>
      </c>
      <c r="C1891">
        <v>17.62</v>
      </c>
      <c r="D1891">
        <v>24.54</v>
      </c>
      <c r="E1891">
        <v>35.159999999999997</v>
      </c>
      <c r="F1891">
        <v>8.32</v>
      </c>
      <c r="G1891">
        <v>30.23</v>
      </c>
      <c r="H1891">
        <v>10.27</v>
      </c>
      <c r="I1891">
        <v>27.98</v>
      </c>
    </row>
    <row r="1892" spans="1:9" x14ac:dyDescent="0.25">
      <c r="A1892" s="2">
        <v>44343</v>
      </c>
      <c r="B1892">
        <v>24.74</v>
      </c>
      <c r="C1892">
        <v>17.850000000000001</v>
      </c>
      <c r="D1892">
        <v>24.73</v>
      </c>
      <c r="E1892">
        <v>35.53</v>
      </c>
      <c r="F1892">
        <v>8.5399999999999991</v>
      </c>
      <c r="G1892">
        <v>30.48</v>
      </c>
      <c r="H1892">
        <v>10.37</v>
      </c>
      <c r="I1892">
        <v>28.24</v>
      </c>
    </row>
    <row r="1893" spans="1:9" x14ac:dyDescent="0.25">
      <c r="A1893" s="2">
        <v>44344</v>
      </c>
      <c r="B1893">
        <v>24.81</v>
      </c>
      <c r="C1893">
        <v>17.809999999999999</v>
      </c>
      <c r="D1893">
        <v>25.05</v>
      </c>
      <c r="E1893">
        <v>35.6</v>
      </c>
      <c r="F1893">
        <v>8.49</v>
      </c>
      <c r="G1893">
        <v>30.67</v>
      </c>
      <c r="H1893">
        <v>10.48</v>
      </c>
      <c r="I1893">
        <v>28.35</v>
      </c>
    </row>
    <row r="1894" spans="1:9" x14ac:dyDescent="0.25">
      <c r="A1894" s="2">
        <v>44347</v>
      </c>
      <c r="B1894">
        <v>24.97</v>
      </c>
      <c r="C1894">
        <v>17.850000000000001</v>
      </c>
      <c r="D1894">
        <v>25.18</v>
      </c>
      <c r="E1894">
        <v>35.96</v>
      </c>
      <c r="F1894">
        <v>8.61</v>
      </c>
      <c r="G1894">
        <v>30.78</v>
      </c>
      <c r="H1894">
        <v>10.47</v>
      </c>
      <c r="I1894">
        <v>28.63</v>
      </c>
    </row>
    <row r="1895" spans="1:9" x14ac:dyDescent="0.25">
      <c r="A1895" s="2">
        <v>44348</v>
      </c>
      <c r="B1895">
        <v>24.97</v>
      </c>
      <c r="C1895">
        <v>17.84</v>
      </c>
      <c r="D1895">
        <v>25.05</v>
      </c>
      <c r="E1895">
        <v>35.81</v>
      </c>
      <c r="F1895">
        <v>8.57</v>
      </c>
      <c r="G1895">
        <v>31.15</v>
      </c>
      <c r="H1895">
        <v>10.54</v>
      </c>
      <c r="I1895">
        <v>28.38</v>
      </c>
    </row>
    <row r="1896" spans="1:9" x14ac:dyDescent="0.25">
      <c r="A1896" s="2">
        <v>44349</v>
      </c>
      <c r="B1896">
        <v>24.95</v>
      </c>
      <c r="C1896">
        <v>17.829999999999998</v>
      </c>
      <c r="D1896">
        <v>25.21</v>
      </c>
      <c r="E1896">
        <v>36.020000000000003</v>
      </c>
      <c r="F1896">
        <v>8.56</v>
      </c>
      <c r="G1896">
        <v>30.99</v>
      </c>
      <c r="H1896">
        <v>10.53</v>
      </c>
      <c r="I1896">
        <v>28.5</v>
      </c>
    </row>
    <row r="1897" spans="1:9" x14ac:dyDescent="0.25">
      <c r="A1897" s="2">
        <v>44350</v>
      </c>
      <c r="B1897">
        <v>24.98</v>
      </c>
      <c r="C1897">
        <v>17.91</v>
      </c>
      <c r="D1897">
        <v>25.14</v>
      </c>
      <c r="E1897">
        <v>36.229999999999997</v>
      </c>
      <c r="F1897">
        <v>8.7200000000000006</v>
      </c>
      <c r="G1897">
        <v>31.3</v>
      </c>
      <c r="H1897">
        <v>10.53</v>
      </c>
      <c r="I1897">
        <v>28.68</v>
      </c>
    </row>
    <row r="1898" spans="1:9" x14ac:dyDescent="0.25">
      <c r="A1898" s="2">
        <v>44351</v>
      </c>
      <c r="B1898">
        <v>25.02</v>
      </c>
      <c r="C1898">
        <v>17.920000000000002</v>
      </c>
      <c r="D1898">
        <v>25.39</v>
      </c>
      <c r="E1898">
        <v>36.270000000000003</v>
      </c>
      <c r="F1898">
        <v>8.7100000000000009</v>
      </c>
      <c r="G1898">
        <v>31.49</v>
      </c>
      <c r="H1898">
        <v>10.65</v>
      </c>
      <c r="I1898">
        <v>28.78</v>
      </c>
    </row>
    <row r="1899" spans="1:9" x14ac:dyDescent="0.25">
      <c r="A1899" s="2">
        <v>44354</v>
      </c>
      <c r="B1899">
        <v>25.22</v>
      </c>
      <c r="C1899">
        <v>18.02</v>
      </c>
      <c r="D1899">
        <v>25.57</v>
      </c>
      <c r="E1899">
        <v>36.6</v>
      </c>
      <c r="F1899">
        <v>8.85</v>
      </c>
      <c r="G1899">
        <v>31.44</v>
      </c>
      <c r="H1899">
        <v>10.62</v>
      </c>
      <c r="I1899">
        <v>28.87</v>
      </c>
    </row>
    <row r="1900" spans="1:9" x14ac:dyDescent="0.25">
      <c r="A1900" s="2">
        <v>44355</v>
      </c>
      <c r="B1900">
        <v>25.42</v>
      </c>
      <c r="C1900">
        <v>18.03</v>
      </c>
      <c r="D1900">
        <v>25.87</v>
      </c>
      <c r="E1900">
        <v>36.54</v>
      </c>
      <c r="F1900">
        <v>8.7899999999999991</v>
      </c>
      <c r="G1900">
        <v>31.7</v>
      </c>
      <c r="H1900">
        <v>10.74</v>
      </c>
      <c r="I1900">
        <v>28.92</v>
      </c>
    </row>
    <row r="1901" spans="1:9" x14ac:dyDescent="0.25">
      <c r="A1901" s="2">
        <v>44356</v>
      </c>
      <c r="B1901">
        <v>25.49</v>
      </c>
      <c r="C1901">
        <v>18.16</v>
      </c>
      <c r="D1901">
        <v>25.81</v>
      </c>
      <c r="E1901">
        <v>36.67</v>
      </c>
      <c r="F1901">
        <v>8.98</v>
      </c>
      <c r="G1901">
        <v>31.72</v>
      </c>
      <c r="H1901">
        <v>10.71</v>
      </c>
      <c r="I1901">
        <v>29.11</v>
      </c>
    </row>
    <row r="1902" spans="1:9" x14ac:dyDescent="0.25">
      <c r="A1902" s="2">
        <v>44357</v>
      </c>
      <c r="B1902">
        <v>25.54</v>
      </c>
      <c r="C1902">
        <v>18.309999999999999</v>
      </c>
      <c r="D1902">
        <v>25.95</v>
      </c>
      <c r="E1902">
        <v>36.79</v>
      </c>
      <c r="F1902">
        <v>9.19</v>
      </c>
      <c r="G1902">
        <v>31.89</v>
      </c>
      <c r="H1902">
        <v>10.82</v>
      </c>
      <c r="I1902">
        <v>29.34</v>
      </c>
    </row>
    <row r="1903" spans="1:9" x14ac:dyDescent="0.25">
      <c r="A1903" s="2">
        <v>44358</v>
      </c>
      <c r="B1903">
        <v>25.67</v>
      </c>
      <c r="C1903">
        <v>18.41</v>
      </c>
      <c r="D1903">
        <v>26.04</v>
      </c>
      <c r="E1903">
        <v>36.96</v>
      </c>
      <c r="F1903">
        <v>9.2100000000000009</v>
      </c>
      <c r="G1903">
        <v>32.03</v>
      </c>
      <c r="H1903">
        <v>10.93</v>
      </c>
      <c r="I1903">
        <v>29.4</v>
      </c>
    </row>
    <row r="1904" spans="1:9" x14ac:dyDescent="0.25">
      <c r="A1904" s="2">
        <v>44361</v>
      </c>
      <c r="B1904">
        <v>26.03</v>
      </c>
      <c r="C1904">
        <v>18.559999999999999</v>
      </c>
      <c r="D1904">
        <v>26.47</v>
      </c>
      <c r="E1904">
        <v>37.42</v>
      </c>
      <c r="F1904">
        <v>9.44</v>
      </c>
      <c r="G1904">
        <v>32.11</v>
      </c>
      <c r="H1904">
        <v>10.97</v>
      </c>
      <c r="I1904">
        <v>29.88</v>
      </c>
    </row>
    <row r="1905" spans="1:9" x14ac:dyDescent="0.25">
      <c r="A1905" s="2">
        <v>44362</v>
      </c>
      <c r="B1905">
        <v>26.15</v>
      </c>
      <c r="C1905">
        <v>18.559999999999999</v>
      </c>
      <c r="D1905">
        <v>26.76</v>
      </c>
      <c r="E1905">
        <v>37.42</v>
      </c>
      <c r="F1905">
        <v>9.33</v>
      </c>
      <c r="G1905">
        <v>32.56</v>
      </c>
      <c r="H1905">
        <v>11.05</v>
      </c>
      <c r="I1905">
        <v>29.75</v>
      </c>
    </row>
    <row r="1906" spans="1:9" x14ac:dyDescent="0.25">
      <c r="A1906" s="2">
        <v>44363</v>
      </c>
      <c r="B1906">
        <v>26.23</v>
      </c>
      <c r="C1906">
        <v>18.5</v>
      </c>
      <c r="D1906">
        <v>26.76</v>
      </c>
      <c r="E1906">
        <v>37.299999999999997</v>
      </c>
      <c r="F1906">
        <v>9.16</v>
      </c>
      <c r="G1906">
        <v>32.64</v>
      </c>
      <c r="H1906">
        <v>10.97</v>
      </c>
      <c r="I1906">
        <v>29.69</v>
      </c>
    </row>
    <row r="1907" spans="1:9" x14ac:dyDescent="0.25">
      <c r="A1907" s="2">
        <v>44364</v>
      </c>
      <c r="B1907">
        <v>26.04</v>
      </c>
      <c r="C1907">
        <v>18.48</v>
      </c>
      <c r="D1907">
        <v>26.72</v>
      </c>
      <c r="E1907">
        <v>37.29</v>
      </c>
      <c r="F1907">
        <v>9.2100000000000009</v>
      </c>
      <c r="G1907">
        <v>32.58</v>
      </c>
      <c r="H1907">
        <v>10.85</v>
      </c>
      <c r="I1907">
        <v>29.73</v>
      </c>
    </row>
    <row r="1908" spans="1:9" x14ac:dyDescent="0.25">
      <c r="A1908" s="2">
        <v>44365</v>
      </c>
      <c r="B1908">
        <v>26.11</v>
      </c>
      <c r="C1908">
        <v>18.489999999999998</v>
      </c>
      <c r="D1908">
        <v>26.94</v>
      </c>
      <c r="E1908">
        <v>37.68</v>
      </c>
      <c r="F1908">
        <v>9.32</v>
      </c>
      <c r="G1908">
        <v>32.64</v>
      </c>
      <c r="H1908">
        <v>10.86</v>
      </c>
      <c r="I1908">
        <v>29.99</v>
      </c>
    </row>
    <row r="1909" spans="1:9" x14ac:dyDescent="0.25">
      <c r="A1909" s="2">
        <v>44368</v>
      </c>
      <c r="B1909">
        <v>26.19</v>
      </c>
      <c r="C1909">
        <v>18.54</v>
      </c>
      <c r="D1909">
        <v>27.26</v>
      </c>
      <c r="E1909">
        <v>37.409999999999997</v>
      </c>
      <c r="F1909">
        <v>9.4600000000000009</v>
      </c>
      <c r="G1909">
        <v>32.75</v>
      </c>
      <c r="H1909">
        <v>10.82</v>
      </c>
      <c r="I1909">
        <v>29.8</v>
      </c>
    </row>
    <row r="1910" spans="1:9" x14ac:dyDescent="0.25">
      <c r="A1910" s="2">
        <v>44369</v>
      </c>
      <c r="B1910">
        <v>26.22</v>
      </c>
      <c r="C1910">
        <v>18.57</v>
      </c>
      <c r="D1910">
        <v>27.1</v>
      </c>
      <c r="E1910">
        <v>37.450000000000003</v>
      </c>
      <c r="F1910">
        <v>9.32</v>
      </c>
      <c r="G1910">
        <v>32.35</v>
      </c>
      <c r="H1910">
        <v>10.85</v>
      </c>
      <c r="I1910">
        <v>29.76</v>
      </c>
    </row>
    <row r="1911" spans="1:9" x14ac:dyDescent="0.25">
      <c r="A1911" s="2">
        <v>44375</v>
      </c>
      <c r="B1911">
        <v>26.4</v>
      </c>
      <c r="C1911">
        <v>18.489999999999998</v>
      </c>
      <c r="D1911">
        <v>27.27</v>
      </c>
      <c r="E1911">
        <v>37.61</v>
      </c>
      <c r="F1911">
        <v>9.2200000000000006</v>
      </c>
      <c r="G1911">
        <v>32.340000000000003</v>
      </c>
      <c r="H1911">
        <v>10.74</v>
      </c>
      <c r="I1911">
        <v>29.99</v>
      </c>
    </row>
    <row r="1912" spans="1:9" x14ac:dyDescent="0.25">
      <c r="A1912" s="2">
        <v>44376</v>
      </c>
      <c r="B1912">
        <v>26.83</v>
      </c>
      <c r="C1912">
        <v>18.52</v>
      </c>
      <c r="D1912">
        <v>27.76</v>
      </c>
      <c r="E1912">
        <v>38.07</v>
      </c>
      <c r="F1912">
        <v>9.23</v>
      </c>
      <c r="G1912">
        <v>32.92</v>
      </c>
      <c r="H1912">
        <v>10.77</v>
      </c>
      <c r="I1912">
        <v>30.39</v>
      </c>
    </row>
    <row r="1913" spans="1:9" x14ac:dyDescent="0.25">
      <c r="A1913" s="2">
        <v>44377</v>
      </c>
      <c r="B1913">
        <v>27.04</v>
      </c>
      <c r="C1913">
        <v>18.559999999999999</v>
      </c>
      <c r="D1913">
        <v>28.12</v>
      </c>
      <c r="E1913">
        <v>38.25</v>
      </c>
      <c r="F1913">
        <v>9.26</v>
      </c>
      <c r="G1913">
        <v>32.869999999999997</v>
      </c>
      <c r="H1913">
        <v>10.83</v>
      </c>
      <c r="I1913">
        <v>30.53</v>
      </c>
    </row>
    <row r="1914" spans="1:9" x14ac:dyDescent="0.25">
      <c r="A1914" s="2">
        <v>44378</v>
      </c>
      <c r="B1914">
        <v>27.1</v>
      </c>
      <c r="C1914">
        <v>18.7</v>
      </c>
      <c r="D1914">
        <v>28.17</v>
      </c>
      <c r="E1914">
        <v>38.299999999999997</v>
      </c>
      <c r="F1914">
        <v>9.42</v>
      </c>
      <c r="G1914">
        <v>33.090000000000003</v>
      </c>
      <c r="H1914">
        <v>10.82</v>
      </c>
      <c r="I1914">
        <v>30.82</v>
      </c>
    </row>
    <row r="1915" spans="1:9" x14ac:dyDescent="0.25">
      <c r="A1915" s="2">
        <v>44379</v>
      </c>
      <c r="B1915">
        <v>27.21</v>
      </c>
      <c r="C1915">
        <v>18.73</v>
      </c>
      <c r="D1915">
        <v>28.45</v>
      </c>
      <c r="E1915">
        <v>38.47</v>
      </c>
      <c r="F1915">
        <v>9.4</v>
      </c>
      <c r="G1915">
        <v>33.020000000000003</v>
      </c>
      <c r="H1915">
        <v>10.9</v>
      </c>
      <c r="I1915">
        <v>30.91</v>
      </c>
    </row>
    <row r="1916" spans="1:9" x14ac:dyDescent="0.25">
      <c r="A1916" s="2">
        <v>44382</v>
      </c>
      <c r="B1916">
        <v>27.55</v>
      </c>
      <c r="C1916">
        <v>18.87</v>
      </c>
      <c r="D1916">
        <v>28.74</v>
      </c>
      <c r="E1916">
        <v>38.74</v>
      </c>
      <c r="F1916">
        <v>9.5</v>
      </c>
      <c r="G1916">
        <v>33.17</v>
      </c>
      <c r="H1916">
        <v>10.86</v>
      </c>
      <c r="I1916">
        <v>31.25</v>
      </c>
    </row>
    <row r="1917" spans="1:9" x14ac:dyDescent="0.25">
      <c r="A1917" s="2">
        <v>44383</v>
      </c>
      <c r="B1917">
        <v>27.7</v>
      </c>
      <c r="C1917">
        <v>18.829999999999998</v>
      </c>
      <c r="D1917">
        <v>29.2</v>
      </c>
      <c r="E1917">
        <v>38.799999999999997</v>
      </c>
      <c r="F1917">
        <v>9.4499999999999993</v>
      </c>
      <c r="G1917">
        <v>33.44</v>
      </c>
      <c r="H1917">
        <v>10.94</v>
      </c>
      <c r="I1917">
        <v>31.35</v>
      </c>
    </row>
    <row r="1918" spans="1:9" x14ac:dyDescent="0.25">
      <c r="A1918" s="2">
        <v>44384</v>
      </c>
      <c r="B1918">
        <v>27.81</v>
      </c>
      <c r="C1918">
        <v>19.05</v>
      </c>
      <c r="D1918">
        <v>29.24</v>
      </c>
      <c r="E1918">
        <v>38.869999999999997</v>
      </c>
      <c r="F1918">
        <v>9.61</v>
      </c>
      <c r="G1918">
        <v>33.520000000000003</v>
      </c>
      <c r="H1918">
        <v>10.91</v>
      </c>
      <c r="I1918">
        <v>31.31</v>
      </c>
    </row>
    <row r="1919" spans="1:9" x14ac:dyDescent="0.25">
      <c r="A1919" s="2">
        <v>44385</v>
      </c>
      <c r="B1919">
        <v>28.06</v>
      </c>
      <c r="C1919">
        <v>19.21</v>
      </c>
      <c r="D1919">
        <v>29.62</v>
      </c>
      <c r="E1919">
        <v>39.270000000000003</v>
      </c>
      <c r="F1919">
        <v>9.82</v>
      </c>
      <c r="G1919">
        <v>33.520000000000003</v>
      </c>
      <c r="H1919">
        <v>10.96</v>
      </c>
      <c r="I1919">
        <v>31.72</v>
      </c>
    </row>
    <row r="1920" spans="1:9" x14ac:dyDescent="0.25">
      <c r="A1920" s="2">
        <v>44386</v>
      </c>
      <c r="B1920">
        <v>28.06</v>
      </c>
      <c r="C1920">
        <v>19.32</v>
      </c>
      <c r="D1920">
        <v>29.5</v>
      </c>
      <c r="E1920">
        <v>38.47</v>
      </c>
      <c r="F1920">
        <v>9.77</v>
      </c>
      <c r="G1920">
        <v>33.880000000000003</v>
      </c>
      <c r="H1920">
        <v>11.04</v>
      </c>
      <c r="I1920">
        <v>30.93</v>
      </c>
    </row>
    <row r="1921" spans="1:9" x14ac:dyDescent="0.25">
      <c r="A1921" s="2">
        <v>44389</v>
      </c>
      <c r="B1921">
        <v>27.87</v>
      </c>
      <c r="C1921">
        <v>19.22</v>
      </c>
      <c r="D1921">
        <v>29.2</v>
      </c>
      <c r="E1921">
        <v>38.770000000000003</v>
      </c>
      <c r="F1921">
        <v>9.69</v>
      </c>
      <c r="G1921">
        <v>33.119999999999997</v>
      </c>
      <c r="H1921">
        <v>10.99</v>
      </c>
      <c r="I1921">
        <v>31.28</v>
      </c>
    </row>
    <row r="1922" spans="1:9" x14ac:dyDescent="0.25">
      <c r="A1922" s="2">
        <v>44390</v>
      </c>
      <c r="B1922">
        <v>28.13</v>
      </c>
      <c r="C1922">
        <v>19.190000000000001</v>
      </c>
      <c r="D1922">
        <v>29.56</v>
      </c>
      <c r="E1922">
        <v>39.17</v>
      </c>
      <c r="F1922">
        <v>9.7100000000000009</v>
      </c>
      <c r="G1922">
        <v>33.479999999999997</v>
      </c>
      <c r="H1922">
        <v>10.99</v>
      </c>
      <c r="I1922">
        <v>31.6</v>
      </c>
    </row>
    <row r="1923" spans="1:9" x14ac:dyDescent="0.25">
      <c r="A1923" s="2">
        <v>44391</v>
      </c>
      <c r="B1923">
        <v>28.28</v>
      </c>
      <c r="C1923">
        <v>19.23</v>
      </c>
      <c r="D1923">
        <v>29.93</v>
      </c>
      <c r="E1923">
        <v>39.4</v>
      </c>
      <c r="F1923">
        <v>9.77</v>
      </c>
      <c r="G1923">
        <v>33.909999999999997</v>
      </c>
      <c r="H1923">
        <v>11.01</v>
      </c>
      <c r="I1923">
        <v>31.86</v>
      </c>
    </row>
    <row r="1924" spans="1:9" x14ac:dyDescent="0.25">
      <c r="A1924" s="2">
        <v>44392</v>
      </c>
      <c r="B1924">
        <v>28.36</v>
      </c>
      <c r="C1924">
        <v>19.22</v>
      </c>
      <c r="D1924">
        <v>29.95</v>
      </c>
      <c r="E1924">
        <v>39.409999999999997</v>
      </c>
      <c r="F1924">
        <v>9.83</v>
      </c>
      <c r="G1924">
        <v>34.11</v>
      </c>
      <c r="H1924">
        <v>11.01</v>
      </c>
      <c r="I1924">
        <v>31.72</v>
      </c>
    </row>
    <row r="1925" spans="1:9" x14ac:dyDescent="0.25">
      <c r="A1925" s="2">
        <v>44393</v>
      </c>
      <c r="B1925">
        <v>28.4</v>
      </c>
      <c r="C1925">
        <v>19.29</v>
      </c>
      <c r="D1925">
        <v>29.94</v>
      </c>
      <c r="E1925">
        <v>39.32</v>
      </c>
      <c r="F1925">
        <v>9.9499999999999993</v>
      </c>
      <c r="G1925">
        <v>34.11</v>
      </c>
      <c r="H1925">
        <v>11.09</v>
      </c>
      <c r="I1925">
        <v>31.67</v>
      </c>
    </row>
    <row r="1926" spans="1:9" x14ac:dyDescent="0.25">
      <c r="A1926" s="2">
        <v>44396</v>
      </c>
      <c r="B1926">
        <v>28.39</v>
      </c>
      <c r="C1926">
        <v>19.41</v>
      </c>
      <c r="D1926">
        <v>29.79</v>
      </c>
      <c r="E1926">
        <v>39.159999999999997</v>
      </c>
      <c r="F1926">
        <v>10.02</v>
      </c>
      <c r="G1926">
        <v>33.880000000000003</v>
      </c>
      <c r="H1926">
        <v>11.13</v>
      </c>
      <c r="I1926">
        <v>31.57</v>
      </c>
    </row>
    <row r="1927" spans="1:9" x14ac:dyDescent="0.25">
      <c r="A1927" s="2">
        <v>44397</v>
      </c>
      <c r="B1927">
        <v>27.97</v>
      </c>
      <c r="C1927">
        <v>19.57</v>
      </c>
      <c r="D1927">
        <v>29.14</v>
      </c>
      <c r="E1927">
        <v>38.24</v>
      </c>
      <c r="F1927">
        <v>10.09</v>
      </c>
      <c r="G1927">
        <v>33.76</v>
      </c>
      <c r="H1927">
        <v>11.17</v>
      </c>
      <c r="I1927">
        <v>30.85</v>
      </c>
    </row>
    <row r="1928" spans="1:9" x14ac:dyDescent="0.25">
      <c r="A1928" s="2">
        <v>44398</v>
      </c>
      <c r="B1928">
        <v>27.91</v>
      </c>
      <c r="C1928">
        <v>19.670000000000002</v>
      </c>
      <c r="D1928">
        <v>28.99</v>
      </c>
      <c r="E1928">
        <v>38.64</v>
      </c>
      <c r="F1928">
        <v>10.19</v>
      </c>
      <c r="G1928">
        <v>32.74</v>
      </c>
      <c r="H1928">
        <v>11.13</v>
      </c>
      <c r="I1928">
        <v>31.38</v>
      </c>
    </row>
    <row r="1929" spans="1:9" x14ac:dyDescent="0.25">
      <c r="A1929" s="2">
        <v>44399</v>
      </c>
      <c r="B1929">
        <v>28.24</v>
      </c>
      <c r="C1929">
        <v>19.600000000000001</v>
      </c>
      <c r="D1929">
        <v>29.75</v>
      </c>
      <c r="E1929">
        <v>39.14</v>
      </c>
      <c r="F1929">
        <v>10.08</v>
      </c>
      <c r="G1929">
        <v>32.880000000000003</v>
      </c>
      <c r="H1929">
        <v>11.2</v>
      </c>
      <c r="I1929">
        <v>31.74</v>
      </c>
    </row>
    <row r="1930" spans="1:9" x14ac:dyDescent="0.25">
      <c r="A1930" s="2">
        <v>44400</v>
      </c>
      <c r="B1930">
        <v>28.52</v>
      </c>
      <c r="C1930">
        <v>19.600000000000001</v>
      </c>
      <c r="D1930">
        <v>30</v>
      </c>
      <c r="E1930">
        <v>39.549999999999997</v>
      </c>
      <c r="F1930">
        <v>10.199999999999999</v>
      </c>
      <c r="G1930">
        <v>33.619999999999997</v>
      </c>
      <c r="H1930">
        <v>11.17</v>
      </c>
      <c r="I1930">
        <v>32.06</v>
      </c>
    </row>
    <row r="1931" spans="1:9" x14ac:dyDescent="0.25">
      <c r="A1931" s="2">
        <v>44403</v>
      </c>
      <c r="B1931">
        <v>28.8</v>
      </c>
      <c r="C1931">
        <v>19.62</v>
      </c>
      <c r="D1931">
        <v>30.5</v>
      </c>
      <c r="E1931">
        <v>39.99</v>
      </c>
      <c r="F1931">
        <v>10.27</v>
      </c>
      <c r="G1931">
        <v>34.08</v>
      </c>
      <c r="H1931">
        <v>11.27</v>
      </c>
      <c r="I1931">
        <v>32.49</v>
      </c>
    </row>
    <row r="1932" spans="1:9" x14ac:dyDescent="0.25">
      <c r="A1932" s="2">
        <v>44404</v>
      </c>
      <c r="B1932">
        <v>29.08</v>
      </c>
      <c r="C1932">
        <v>19.64</v>
      </c>
      <c r="D1932">
        <v>30.88</v>
      </c>
      <c r="E1932">
        <v>39.75</v>
      </c>
      <c r="F1932">
        <v>10.17</v>
      </c>
      <c r="G1932">
        <v>34.549999999999997</v>
      </c>
      <c r="H1932">
        <v>11.28</v>
      </c>
      <c r="I1932">
        <v>32.39</v>
      </c>
    </row>
    <row r="1933" spans="1:9" x14ac:dyDescent="0.25">
      <c r="A1933" s="2">
        <v>44405</v>
      </c>
      <c r="B1933">
        <v>28.88</v>
      </c>
      <c r="C1933">
        <v>19.68</v>
      </c>
      <c r="D1933">
        <v>30.7</v>
      </c>
      <c r="E1933">
        <v>39.28</v>
      </c>
      <c r="F1933">
        <v>10.119999999999999</v>
      </c>
      <c r="G1933">
        <v>34.5</v>
      </c>
      <c r="H1933">
        <v>11.26</v>
      </c>
      <c r="I1933">
        <v>32.049999999999997</v>
      </c>
    </row>
    <row r="1934" spans="1:9" x14ac:dyDescent="0.25">
      <c r="A1934" s="2">
        <v>44406</v>
      </c>
      <c r="B1934">
        <v>28.75</v>
      </c>
      <c r="C1934">
        <v>19.7</v>
      </c>
      <c r="D1934">
        <v>30.7</v>
      </c>
      <c r="E1934">
        <v>39.53</v>
      </c>
      <c r="F1934">
        <v>10.11</v>
      </c>
      <c r="G1934">
        <v>34.130000000000003</v>
      </c>
      <c r="H1934">
        <v>11.27</v>
      </c>
      <c r="I1934">
        <v>32.24</v>
      </c>
    </row>
    <row r="1935" spans="1:9" x14ac:dyDescent="0.25">
      <c r="A1935" s="2">
        <v>44407</v>
      </c>
      <c r="B1935">
        <v>28.78</v>
      </c>
      <c r="C1935">
        <v>19.649999999999999</v>
      </c>
      <c r="D1935">
        <v>30.7</v>
      </c>
      <c r="E1935">
        <v>39.81</v>
      </c>
      <c r="F1935">
        <v>10.130000000000001</v>
      </c>
      <c r="G1935">
        <v>34.28</v>
      </c>
      <c r="H1935">
        <v>11.29</v>
      </c>
      <c r="I1935">
        <v>32.369999999999997</v>
      </c>
    </row>
    <row r="1936" spans="1:9" x14ac:dyDescent="0.25">
      <c r="A1936" s="2">
        <v>44410</v>
      </c>
      <c r="B1936">
        <v>28.83</v>
      </c>
      <c r="C1936">
        <v>19.66</v>
      </c>
      <c r="D1936">
        <v>30.56</v>
      </c>
      <c r="E1936">
        <v>39.590000000000003</v>
      </c>
      <c r="F1936">
        <v>10.220000000000001</v>
      </c>
      <c r="G1936">
        <v>34.58</v>
      </c>
      <c r="H1936">
        <v>11.35</v>
      </c>
      <c r="I1936">
        <v>32.24</v>
      </c>
    </row>
    <row r="1937" spans="1:9" x14ac:dyDescent="0.25">
      <c r="A1937" s="2">
        <v>44411</v>
      </c>
      <c r="B1937">
        <v>28.78</v>
      </c>
      <c r="C1937">
        <v>19.78</v>
      </c>
      <c r="D1937">
        <v>30.53</v>
      </c>
      <c r="E1937">
        <v>39.840000000000003</v>
      </c>
      <c r="F1937">
        <v>10.34</v>
      </c>
      <c r="G1937">
        <v>34.43</v>
      </c>
      <c r="H1937">
        <v>11.35</v>
      </c>
      <c r="I1937">
        <v>32.619999999999997</v>
      </c>
    </row>
    <row r="1938" spans="1:9" x14ac:dyDescent="0.25">
      <c r="A1938" s="2">
        <v>44412</v>
      </c>
      <c r="B1938">
        <v>28.92</v>
      </c>
      <c r="C1938">
        <v>19.88</v>
      </c>
      <c r="D1938">
        <v>30.66</v>
      </c>
      <c r="E1938">
        <v>40</v>
      </c>
      <c r="F1938">
        <v>10.41</v>
      </c>
      <c r="G1938">
        <v>34.67</v>
      </c>
      <c r="H1938">
        <v>11.43</v>
      </c>
      <c r="I1938">
        <v>32.61</v>
      </c>
    </row>
    <row r="1939" spans="1:9" x14ac:dyDescent="0.25">
      <c r="A1939" s="2">
        <v>44413</v>
      </c>
      <c r="B1939">
        <v>29.19</v>
      </c>
      <c r="C1939">
        <v>19.899999999999999</v>
      </c>
      <c r="D1939">
        <v>31.1</v>
      </c>
      <c r="E1939">
        <v>40.299999999999997</v>
      </c>
      <c r="F1939">
        <v>10.48</v>
      </c>
      <c r="G1939">
        <v>34.83</v>
      </c>
      <c r="H1939">
        <v>11.43</v>
      </c>
      <c r="I1939">
        <v>32.94</v>
      </c>
    </row>
    <row r="1940" spans="1:9" x14ac:dyDescent="0.25">
      <c r="A1940" s="2">
        <v>44414</v>
      </c>
      <c r="B1940">
        <v>29.16</v>
      </c>
      <c r="C1940">
        <v>19.96</v>
      </c>
      <c r="D1940">
        <v>31.14</v>
      </c>
      <c r="E1940">
        <v>40.44</v>
      </c>
      <c r="F1940">
        <v>10.49</v>
      </c>
      <c r="G1940">
        <v>35.229999999999997</v>
      </c>
      <c r="H1940">
        <v>11.47</v>
      </c>
      <c r="I1940">
        <v>33.19</v>
      </c>
    </row>
    <row r="1941" spans="1:9" x14ac:dyDescent="0.25">
      <c r="A1941" s="2">
        <v>44417</v>
      </c>
      <c r="B1941">
        <v>29.22</v>
      </c>
      <c r="C1941">
        <v>19.8</v>
      </c>
      <c r="D1941">
        <v>31.53</v>
      </c>
      <c r="E1941">
        <v>40.54</v>
      </c>
      <c r="F1941">
        <v>10.4</v>
      </c>
      <c r="G1941">
        <v>35.450000000000003</v>
      </c>
      <c r="H1941">
        <v>11.49</v>
      </c>
      <c r="I1941">
        <v>33.49</v>
      </c>
    </row>
    <row r="1942" spans="1:9" x14ac:dyDescent="0.25">
      <c r="A1942" s="2">
        <v>44418</v>
      </c>
      <c r="B1942">
        <v>29.24</v>
      </c>
      <c r="C1942">
        <v>19.66</v>
      </c>
      <c r="D1942">
        <v>31.69</v>
      </c>
      <c r="E1942">
        <v>40.64</v>
      </c>
      <c r="F1942">
        <v>10.35</v>
      </c>
      <c r="G1942">
        <v>35.42</v>
      </c>
      <c r="H1942">
        <v>11.33</v>
      </c>
      <c r="I1942">
        <v>33.6</v>
      </c>
    </row>
    <row r="1943" spans="1:9" x14ac:dyDescent="0.25">
      <c r="A1943" s="2">
        <v>44419</v>
      </c>
      <c r="B1943">
        <v>29.16</v>
      </c>
      <c r="C1943">
        <v>19.579999999999998</v>
      </c>
      <c r="D1943">
        <v>31.87</v>
      </c>
      <c r="E1943">
        <v>40.86</v>
      </c>
      <c r="F1943">
        <v>10.35</v>
      </c>
      <c r="G1943">
        <v>35.49</v>
      </c>
      <c r="H1943">
        <v>11.26</v>
      </c>
      <c r="I1943">
        <v>33.86</v>
      </c>
    </row>
    <row r="1944" spans="1:9" x14ac:dyDescent="0.25">
      <c r="A1944" s="2">
        <v>44420</v>
      </c>
      <c r="B1944">
        <v>29.21</v>
      </c>
      <c r="C1944">
        <v>19.489999999999998</v>
      </c>
      <c r="D1944">
        <v>31.99</v>
      </c>
      <c r="E1944">
        <v>40.9</v>
      </c>
      <c r="F1944">
        <v>10.25</v>
      </c>
      <c r="G1944">
        <v>35.67</v>
      </c>
      <c r="H1944">
        <v>11.27</v>
      </c>
      <c r="I1944">
        <v>33.86</v>
      </c>
    </row>
    <row r="1945" spans="1:9" x14ac:dyDescent="0.25">
      <c r="A1945" s="2">
        <v>44421</v>
      </c>
      <c r="B1945">
        <v>29.25</v>
      </c>
      <c r="C1945">
        <v>19.45</v>
      </c>
      <c r="D1945">
        <v>32.049999999999997</v>
      </c>
      <c r="E1945">
        <v>40.98</v>
      </c>
      <c r="F1945">
        <v>10.32</v>
      </c>
      <c r="G1945">
        <v>35.770000000000003</v>
      </c>
      <c r="H1945">
        <v>11.26</v>
      </c>
      <c r="I1945">
        <v>33.97</v>
      </c>
    </row>
    <row r="1946" spans="1:9" x14ac:dyDescent="0.25">
      <c r="A1946" s="2">
        <v>44424</v>
      </c>
      <c r="B1946">
        <v>29.44</v>
      </c>
      <c r="C1946">
        <v>19.48</v>
      </c>
      <c r="D1946">
        <v>32.200000000000003</v>
      </c>
      <c r="E1946">
        <v>40.880000000000003</v>
      </c>
      <c r="F1946">
        <v>10.34</v>
      </c>
      <c r="G1946">
        <v>35.840000000000003</v>
      </c>
      <c r="H1946">
        <v>11.29</v>
      </c>
      <c r="I1946">
        <v>33.93</v>
      </c>
    </row>
    <row r="1947" spans="1:9" x14ac:dyDescent="0.25">
      <c r="A1947" s="2">
        <v>44425</v>
      </c>
      <c r="B1947">
        <v>29.69</v>
      </c>
      <c r="C1947">
        <v>19.64</v>
      </c>
      <c r="D1947">
        <v>32</v>
      </c>
      <c r="E1947">
        <v>40.78</v>
      </c>
      <c r="F1947">
        <v>10.41</v>
      </c>
      <c r="G1947">
        <v>36</v>
      </c>
      <c r="H1947">
        <v>11.31</v>
      </c>
      <c r="I1947">
        <v>33.82</v>
      </c>
    </row>
    <row r="1948" spans="1:9" x14ac:dyDescent="0.25">
      <c r="A1948" s="2">
        <v>44426</v>
      </c>
      <c r="B1948">
        <v>29.71</v>
      </c>
      <c r="C1948">
        <v>19.71</v>
      </c>
      <c r="D1948">
        <v>32.08</v>
      </c>
      <c r="E1948">
        <v>40.69</v>
      </c>
      <c r="F1948">
        <v>10.43</v>
      </c>
      <c r="G1948">
        <v>35.81</v>
      </c>
      <c r="H1948">
        <v>11.35</v>
      </c>
      <c r="I1948">
        <v>33.840000000000003</v>
      </c>
    </row>
    <row r="1949" spans="1:9" x14ac:dyDescent="0.25">
      <c r="A1949" s="2">
        <v>44427</v>
      </c>
      <c r="B1949">
        <v>29.62</v>
      </c>
      <c r="C1949">
        <v>19.71</v>
      </c>
      <c r="D1949">
        <v>32.119999999999997</v>
      </c>
      <c r="E1949">
        <v>40.71</v>
      </c>
      <c r="F1949">
        <v>10.49</v>
      </c>
      <c r="G1949">
        <v>35.81</v>
      </c>
      <c r="H1949">
        <v>11.34</v>
      </c>
      <c r="I1949">
        <v>34.01</v>
      </c>
    </row>
    <row r="1950" spans="1:9" x14ac:dyDescent="0.25">
      <c r="A1950" s="2">
        <v>44428</v>
      </c>
      <c r="B1950">
        <v>29.33</v>
      </c>
      <c r="C1950">
        <v>19.760000000000002</v>
      </c>
      <c r="D1950">
        <v>31.58</v>
      </c>
      <c r="E1950">
        <v>40.270000000000003</v>
      </c>
      <c r="F1950">
        <v>10.51</v>
      </c>
      <c r="G1950">
        <v>35.83</v>
      </c>
      <c r="H1950">
        <v>11.35</v>
      </c>
      <c r="I1950">
        <v>33.5</v>
      </c>
    </row>
    <row r="1951" spans="1:9" x14ac:dyDescent="0.25">
      <c r="A1951" s="2">
        <v>44431</v>
      </c>
      <c r="B1951">
        <v>29.43</v>
      </c>
      <c r="C1951">
        <v>19.79</v>
      </c>
      <c r="D1951">
        <v>31.75</v>
      </c>
      <c r="E1951">
        <v>40.450000000000003</v>
      </c>
      <c r="F1951">
        <v>10.57</v>
      </c>
      <c r="G1951">
        <v>35.020000000000003</v>
      </c>
      <c r="H1951">
        <v>11.3</v>
      </c>
      <c r="I1951">
        <v>33.82</v>
      </c>
    </row>
    <row r="1952" spans="1:9" x14ac:dyDescent="0.25">
      <c r="A1952" s="2">
        <v>44432</v>
      </c>
      <c r="B1952">
        <v>29.61</v>
      </c>
      <c r="C1952">
        <v>19.75</v>
      </c>
      <c r="D1952">
        <v>32.1</v>
      </c>
      <c r="E1952">
        <v>40.79</v>
      </c>
      <c r="F1952">
        <v>10.51</v>
      </c>
      <c r="G1952">
        <v>35.29</v>
      </c>
      <c r="H1952">
        <v>11.31</v>
      </c>
      <c r="I1952">
        <v>34.159999999999997</v>
      </c>
    </row>
    <row r="1953" spans="1:9" x14ac:dyDescent="0.25">
      <c r="A1953" s="2">
        <v>44433</v>
      </c>
      <c r="B1953">
        <v>29.74</v>
      </c>
      <c r="C1953">
        <v>19.73</v>
      </c>
      <c r="D1953">
        <v>32.26</v>
      </c>
      <c r="E1953">
        <v>41.07</v>
      </c>
      <c r="F1953">
        <v>10.55</v>
      </c>
      <c r="G1953">
        <v>35.659999999999997</v>
      </c>
      <c r="H1953">
        <v>11.32</v>
      </c>
      <c r="I1953">
        <v>34.32</v>
      </c>
    </row>
    <row r="1954" spans="1:9" x14ac:dyDescent="0.25">
      <c r="A1954" s="2">
        <v>44434</v>
      </c>
      <c r="B1954">
        <v>29.9</v>
      </c>
      <c r="C1954">
        <v>19.66</v>
      </c>
      <c r="D1954">
        <v>32.24</v>
      </c>
      <c r="E1954">
        <v>40.99</v>
      </c>
      <c r="F1954">
        <v>10.41</v>
      </c>
      <c r="G1954">
        <v>35.96</v>
      </c>
      <c r="H1954">
        <v>11.39</v>
      </c>
      <c r="I1954">
        <v>34.35</v>
      </c>
    </row>
    <row r="1955" spans="1:9" x14ac:dyDescent="0.25">
      <c r="A1955" s="2">
        <v>44435</v>
      </c>
      <c r="B1955">
        <v>29.85</v>
      </c>
      <c r="C1955">
        <v>19.59</v>
      </c>
      <c r="D1955">
        <v>32.06</v>
      </c>
      <c r="E1955">
        <v>40.69</v>
      </c>
      <c r="F1955">
        <v>10.31</v>
      </c>
      <c r="G1955">
        <v>35.94</v>
      </c>
      <c r="H1955">
        <v>11.3</v>
      </c>
      <c r="I1955">
        <v>34.07</v>
      </c>
    </row>
    <row r="1956" spans="1:9" x14ac:dyDescent="0.25">
      <c r="A1956" s="2">
        <v>44438</v>
      </c>
      <c r="B1956">
        <v>29.83</v>
      </c>
      <c r="C1956">
        <v>19.579999999999998</v>
      </c>
      <c r="D1956">
        <v>31.87</v>
      </c>
      <c r="E1956">
        <v>40.880000000000003</v>
      </c>
      <c r="F1956">
        <v>10.38</v>
      </c>
      <c r="G1956">
        <v>35.78</v>
      </c>
      <c r="H1956">
        <v>11.27</v>
      </c>
      <c r="I1956">
        <v>34.15</v>
      </c>
    </row>
    <row r="1957" spans="1:9" x14ac:dyDescent="0.25">
      <c r="A1957" s="2">
        <v>44439</v>
      </c>
      <c r="B1957">
        <v>30.17</v>
      </c>
      <c r="C1957">
        <v>19.690000000000001</v>
      </c>
      <c r="D1957">
        <v>32</v>
      </c>
      <c r="E1957">
        <v>41.09</v>
      </c>
      <c r="F1957">
        <v>10.47</v>
      </c>
      <c r="G1957">
        <v>35.94</v>
      </c>
      <c r="H1957">
        <v>11.36</v>
      </c>
      <c r="I1957">
        <v>34.43</v>
      </c>
    </row>
    <row r="1958" spans="1:9" x14ac:dyDescent="0.25">
      <c r="A1958" s="2">
        <v>44440</v>
      </c>
      <c r="B1958">
        <v>30.12</v>
      </c>
      <c r="C1958">
        <v>19.64</v>
      </c>
      <c r="D1958">
        <v>32.06</v>
      </c>
      <c r="E1958">
        <v>41.09</v>
      </c>
      <c r="F1958">
        <v>10.45</v>
      </c>
      <c r="G1958">
        <v>36.119999999999997</v>
      </c>
      <c r="H1958">
        <v>11.41</v>
      </c>
      <c r="I1958">
        <v>34.32</v>
      </c>
    </row>
    <row r="1959" spans="1:9" x14ac:dyDescent="0.25">
      <c r="A1959" s="2">
        <v>44441</v>
      </c>
      <c r="B1959">
        <v>30.19</v>
      </c>
      <c r="C1959">
        <v>19.66</v>
      </c>
      <c r="D1959">
        <v>32.020000000000003</v>
      </c>
      <c r="E1959">
        <v>41.2</v>
      </c>
      <c r="F1959">
        <v>10.43</v>
      </c>
      <c r="G1959">
        <v>36.19</v>
      </c>
      <c r="H1959">
        <v>11.47</v>
      </c>
      <c r="I1959">
        <v>34.32</v>
      </c>
    </row>
    <row r="1960" spans="1:9" x14ac:dyDescent="0.25">
      <c r="A1960" s="2">
        <v>44442</v>
      </c>
      <c r="B1960">
        <v>30.13</v>
      </c>
      <c r="C1960">
        <v>19.68</v>
      </c>
      <c r="D1960">
        <v>31.94</v>
      </c>
      <c r="E1960">
        <v>41.29</v>
      </c>
      <c r="F1960">
        <v>10.49</v>
      </c>
      <c r="G1960">
        <v>36.29</v>
      </c>
      <c r="H1960">
        <v>11.44</v>
      </c>
      <c r="I1960">
        <v>34.49</v>
      </c>
    </row>
    <row r="1961" spans="1:9" x14ac:dyDescent="0.25">
      <c r="A1961" s="2">
        <v>44445</v>
      </c>
      <c r="B1961">
        <v>30.17</v>
      </c>
      <c r="C1961">
        <v>19.64</v>
      </c>
      <c r="D1961">
        <v>31.92</v>
      </c>
      <c r="E1961">
        <v>41.14</v>
      </c>
      <c r="F1961">
        <v>10.41</v>
      </c>
      <c r="G1961">
        <v>36.46</v>
      </c>
      <c r="H1961">
        <v>11.45</v>
      </c>
      <c r="I1961">
        <v>34.33</v>
      </c>
    </row>
    <row r="1962" spans="1:9" x14ac:dyDescent="0.25">
      <c r="A1962" s="2">
        <v>44446</v>
      </c>
      <c r="B1962">
        <v>30.2</v>
      </c>
      <c r="C1962">
        <v>19.62</v>
      </c>
      <c r="D1962">
        <v>31.96</v>
      </c>
      <c r="E1962">
        <v>41.44</v>
      </c>
      <c r="F1962">
        <v>10.44</v>
      </c>
      <c r="G1962">
        <v>36.29</v>
      </c>
      <c r="H1962">
        <v>11.43</v>
      </c>
      <c r="I1962">
        <v>34.619999999999997</v>
      </c>
    </row>
    <row r="1963" spans="1:9" x14ac:dyDescent="0.25">
      <c r="A1963" s="2">
        <v>44447</v>
      </c>
      <c r="B1963">
        <v>30.05</v>
      </c>
      <c r="C1963">
        <v>19.46</v>
      </c>
      <c r="D1963">
        <v>31.95</v>
      </c>
      <c r="E1963">
        <v>41.16</v>
      </c>
      <c r="F1963">
        <v>10.28</v>
      </c>
      <c r="G1963">
        <v>36.57</v>
      </c>
      <c r="H1963">
        <v>11.42</v>
      </c>
      <c r="I1963">
        <v>34.24</v>
      </c>
    </row>
    <row r="1964" spans="1:9" x14ac:dyDescent="0.25">
      <c r="A1964" s="2">
        <v>44448</v>
      </c>
      <c r="B1964">
        <v>29.9</v>
      </c>
      <c r="C1964">
        <v>19.440000000000001</v>
      </c>
      <c r="D1964">
        <v>31.81</v>
      </c>
      <c r="E1964">
        <v>40.96</v>
      </c>
      <c r="F1964">
        <v>10.29</v>
      </c>
      <c r="G1964">
        <v>36.29</v>
      </c>
      <c r="H1964">
        <v>11.3</v>
      </c>
      <c r="I1964">
        <v>34.01</v>
      </c>
    </row>
    <row r="1965" spans="1:9" x14ac:dyDescent="0.25">
      <c r="A1965" s="2">
        <v>44449</v>
      </c>
      <c r="B1965">
        <v>29.9</v>
      </c>
      <c r="C1965">
        <v>19.579999999999998</v>
      </c>
      <c r="D1965">
        <v>31.94</v>
      </c>
      <c r="E1965">
        <v>40.950000000000003</v>
      </c>
      <c r="F1965">
        <v>10.43</v>
      </c>
      <c r="G1965">
        <v>35.93</v>
      </c>
      <c r="H1965">
        <v>11.28</v>
      </c>
      <c r="I1965">
        <v>34.21</v>
      </c>
    </row>
    <row r="1966" spans="1:9" x14ac:dyDescent="0.25">
      <c r="A1966" s="2">
        <v>44452</v>
      </c>
      <c r="B1966">
        <v>29.83</v>
      </c>
      <c r="C1966">
        <v>19.579999999999998</v>
      </c>
      <c r="D1966">
        <v>31.77</v>
      </c>
      <c r="E1966">
        <v>40.770000000000003</v>
      </c>
      <c r="F1966">
        <v>10.38</v>
      </c>
      <c r="G1966">
        <v>35.880000000000003</v>
      </c>
      <c r="H1966">
        <v>11.34</v>
      </c>
      <c r="I1966">
        <v>33.979999999999997</v>
      </c>
    </row>
    <row r="1967" spans="1:9" x14ac:dyDescent="0.25">
      <c r="A1967" s="2">
        <v>44453</v>
      </c>
      <c r="B1967">
        <v>29.66</v>
      </c>
      <c r="C1967">
        <v>19.66</v>
      </c>
      <c r="D1967">
        <v>31.45</v>
      </c>
      <c r="E1967">
        <v>40.79</v>
      </c>
      <c r="F1967">
        <v>10.46</v>
      </c>
      <c r="G1967">
        <v>35.78</v>
      </c>
      <c r="H1967">
        <v>11.33</v>
      </c>
      <c r="I1967">
        <v>33.92</v>
      </c>
    </row>
    <row r="1968" spans="1:9" x14ac:dyDescent="0.25">
      <c r="A1968" s="2">
        <v>44454</v>
      </c>
      <c r="B1968">
        <v>29.78</v>
      </c>
      <c r="C1968">
        <v>19.72</v>
      </c>
      <c r="D1968">
        <v>31.59</v>
      </c>
      <c r="E1968">
        <v>40.799999999999997</v>
      </c>
      <c r="F1968">
        <v>10.54</v>
      </c>
      <c r="G1968">
        <v>35.83</v>
      </c>
      <c r="H1968">
        <v>11.34</v>
      </c>
      <c r="I1968">
        <v>33.92</v>
      </c>
    </row>
    <row r="1969" spans="1:9" x14ac:dyDescent="0.25">
      <c r="A1969" s="2">
        <v>44455</v>
      </c>
      <c r="B1969">
        <v>29.69</v>
      </c>
      <c r="C1969">
        <v>19.72</v>
      </c>
      <c r="D1969">
        <v>31.36</v>
      </c>
      <c r="E1969">
        <v>40.53</v>
      </c>
      <c r="F1969">
        <v>10.47</v>
      </c>
      <c r="G1969">
        <v>35.83</v>
      </c>
      <c r="H1969">
        <v>11.35</v>
      </c>
      <c r="I1969">
        <v>33.67</v>
      </c>
    </row>
    <row r="1970" spans="1:9" x14ac:dyDescent="0.25">
      <c r="A1970" s="2">
        <v>44456</v>
      </c>
      <c r="B1970">
        <v>29.86</v>
      </c>
      <c r="C1970">
        <v>19.739999999999998</v>
      </c>
      <c r="D1970">
        <v>31.6</v>
      </c>
      <c r="E1970">
        <v>40.69</v>
      </c>
      <c r="F1970">
        <v>10.46</v>
      </c>
      <c r="G1970">
        <v>35.450000000000003</v>
      </c>
      <c r="H1970">
        <v>11.35</v>
      </c>
      <c r="I1970">
        <v>33.869999999999997</v>
      </c>
    </row>
    <row r="1971" spans="1:9" x14ac:dyDescent="0.25">
      <c r="A1971" s="2">
        <v>44459</v>
      </c>
      <c r="B1971">
        <v>29.53</v>
      </c>
      <c r="C1971">
        <v>19.59</v>
      </c>
      <c r="D1971">
        <v>31.6</v>
      </c>
      <c r="E1971">
        <v>40.39</v>
      </c>
      <c r="F1971">
        <v>10.35</v>
      </c>
      <c r="G1971">
        <v>35.619999999999997</v>
      </c>
      <c r="H1971">
        <v>11.29</v>
      </c>
      <c r="I1971">
        <v>33.729999999999997</v>
      </c>
    </row>
    <row r="1972" spans="1:9" x14ac:dyDescent="0.25">
      <c r="A1972" s="2">
        <v>44460</v>
      </c>
      <c r="B1972">
        <v>28.99</v>
      </c>
      <c r="C1972">
        <v>19.66</v>
      </c>
      <c r="D1972">
        <v>30.97</v>
      </c>
      <c r="E1972">
        <v>39.57</v>
      </c>
      <c r="F1972">
        <v>10.27</v>
      </c>
      <c r="G1972">
        <v>35.28</v>
      </c>
      <c r="H1972">
        <v>11.22</v>
      </c>
      <c r="I1972">
        <v>32.78</v>
      </c>
    </row>
    <row r="1973" spans="1:9" x14ac:dyDescent="0.25">
      <c r="A1973" s="2">
        <v>44461</v>
      </c>
      <c r="B1973">
        <v>28.88</v>
      </c>
      <c r="C1973">
        <v>19.66</v>
      </c>
      <c r="D1973">
        <v>30.66</v>
      </c>
      <c r="E1973">
        <v>39.74</v>
      </c>
      <c r="F1973">
        <v>10.31</v>
      </c>
      <c r="G1973">
        <v>34.36</v>
      </c>
      <c r="H1973">
        <v>11.13</v>
      </c>
      <c r="I1973">
        <v>33.11</v>
      </c>
    </row>
    <row r="1974" spans="1:9" x14ac:dyDescent="0.25">
      <c r="A1974" s="2">
        <v>44462</v>
      </c>
      <c r="B1974">
        <v>29.08</v>
      </c>
      <c r="C1974">
        <v>19.7</v>
      </c>
      <c r="D1974">
        <v>30.81</v>
      </c>
      <c r="E1974">
        <v>40.11</v>
      </c>
      <c r="F1974">
        <v>10.32</v>
      </c>
      <c r="G1974">
        <v>34.57</v>
      </c>
      <c r="H1974">
        <v>11.13</v>
      </c>
      <c r="I1974">
        <v>33.340000000000003</v>
      </c>
    </row>
    <row r="1975" spans="1:9" x14ac:dyDescent="0.25">
      <c r="A1975" s="2">
        <v>44463</v>
      </c>
      <c r="B1975">
        <v>29.4</v>
      </c>
      <c r="C1975">
        <v>19.54</v>
      </c>
      <c r="D1975">
        <v>31.26</v>
      </c>
      <c r="E1975">
        <v>40.35</v>
      </c>
      <c r="F1975">
        <v>10.06</v>
      </c>
      <c r="G1975">
        <v>34.9</v>
      </c>
      <c r="H1975">
        <v>11.15</v>
      </c>
      <c r="I1975">
        <v>33.76</v>
      </c>
    </row>
    <row r="1976" spans="1:9" x14ac:dyDescent="0.25">
      <c r="A1976" s="2">
        <v>44466</v>
      </c>
      <c r="B1976">
        <v>29.31</v>
      </c>
      <c r="C1976">
        <v>19.34</v>
      </c>
      <c r="D1976">
        <v>31.27</v>
      </c>
      <c r="E1976">
        <v>40.04</v>
      </c>
      <c r="F1976">
        <v>9.74</v>
      </c>
      <c r="G1976">
        <v>35.270000000000003</v>
      </c>
      <c r="H1976">
        <v>11.01</v>
      </c>
      <c r="I1976">
        <v>33.49</v>
      </c>
    </row>
    <row r="1977" spans="1:9" x14ac:dyDescent="0.25">
      <c r="A1977" s="2">
        <v>44467</v>
      </c>
      <c r="B1977">
        <v>29.15</v>
      </c>
      <c r="C1977">
        <v>19.190000000000001</v>
      </c>
      <c r="D1977">
        <v>31.33</v>
      </c>
      <c r="E1977">
        <v>39.94</v>
      </c>
      <c r="F1977">
        <v>9.58</v>
      </c>
      <c r="G1977">
        <v>34.93</v>
      </c>
      <c r="H1977">
        <v>10.84</v>
      </c>
      <c r="I1977">
        <v>33.43</v>
      </c>
    </row>
    <row r="1978" spans="1:9" x14ac:dyDescent="0.25">
      <c r="A1978" s="2">
        <v>44468</v>
      </c>
      <c r="B1978">
        <v>28.35</v>
      </c>
      <c r="C1978">
        <v>19.010000000000002</v>
      </c>
      <c r="D1978">
        <v>30.79</v>
      </c>
      <c r="E1978">
        <v>38.89</v>
      </c>
      <c r="F1978">
        <v>9.33</v>
      </c>
      <c r="G1978">
        <v>34.85</v>
      </c>
      <c r="H1978">
        <v>10.77</v>
      </c>
      <c r="I1978">
        <v>32.39</v>
      </c>
    </row>
    <row r="1979" spans="1:9" x14ac:dyDescent="0.25">
      <c r="A1979" s="2">
        <v>44469</v>
      </c>
      <c r="B1979">
        <v>27.91</v>
      </c>
      <c r="C1979">
        <v>18.89</v>
      </c>
      <c r="D1979">
        <v>30.22</v>
      </c>
      <c r="E1979">
        <v>39.04</v>
      </c>
      <c r="F1979">
        <v>9.48</v>
      </c>
      <c r="G1979">
        <v>33.82</v>
      </c>
      <c r="H1979">
        <v>10.6</v>
      </c>
      <c r="I1979">
        <v>32.64</v>
      </c>
    </row>
    <row r="1980" spans="1:9" x14ac:dyDescent="0.25">
      <c r="A1980" s="2">
        <v>44470</v>
      </c>
      <c r="B1980">
        <v>27.92</v>
      </c>
      <c r="C1980">
        <v>18.88</v>
      </c>
      <c r="D1980">
        <v>30.43</v>
      </c>
      <c r="E1980">
        <v>38.96</v>
      </c>
      <c r="F1980">
        <v>9.4700000000000006</v>
      </c>
      <c r="G1980">
        <v>33.79</v>
      </c>
      <c r="H1980">
        <v>10.67</v>
      </c>
      <c r="I1980">
        <v>32.57</v>
      </c>
    </row>
    <row r="1981" spans="1:9" x14ac:dyDescent="0.25">
      <c r="A1981" s="2">
        <v>44473</v>
      </c>
      <c r="B1981">
        <v>27.62</v>
      </c>
      <c r="C1981">
        <v>18.91</v>
      </c>
      <c r="D1981">
        <v>30.03</v>
      </c>
      <c r="E1981">
        <v>38.840000000000003</v>
      </c>
      <c r="F1981">
        <v>9.4</v>
      </c>
      <c r="G1981">
        <v>33.79</v>
      </c>
      <c r="H1981">
        <v>10.63</v>
      </c>
      <c r="I1981">
        <v>32.22</v>
      </c>
    </row>
    <row r="1982" spans="1:9" x14ac:dyDescent="0.25">
      <c r="A1982" s="2">
        <v>44474</v>
      </c>
      <c r="B1982">
        <v>27.57</v>
      </c>
      <c r="C1982">
        <v>18.899999999999999</v>
      </c>
      <c r="D1982">
        <v>30.17</v>
      </c>
      <c r="E1982">
        <v>38.340000000000003</v>
      </c>
      <c r="F1982">
        <v>9.3000000000000007</v>
      </c>
      <c r="G1982">
        <v>33.58</v>
      </c>
      <c r="H1982">
        <v>10.71</v>
      </c>
      <c r="I1982">
        <v>31.67</v>
      </c>
    </row>
    <row r="1983" spans="1:9" x14ac:dyDescent="0.25">
      <c r="A1983" s="2">
        <v>44475</v>
      </c>
      <c r="B1983">
        <v>27.37</v>
      </c>
      <c r="C1983">
        <v>18.809999999999999</v>
      </c>
      <c r="D1983">
        <v>29.87</v>
      </c>
      <c r="E1983">
        <v>38.619999999999997</v>
      </c>
      <c r="F1983">
        <v>9.17</v>
      </c>
      <c r="G1983">
        <v>33.28</v>
      </c>
      <c r="H1983">
        <v>10.54</v>
      </c>
      <c r="I1983">
        <v>32.22</v>
      </c>
    </row>
    <row r="1984" spans="1:9" x14ac:dyDescent="0.25">
      <c r="A1984" s="2">
        <v>44476</v>
      </c>
      <c r="B1984">
        <v>27.54</v>
      </c>
      <c r="C1984">
        <v>18.77</v>
      </c>
      <c r="D1984">
        <v>30.03</v>
      </c>
      <c r="E1984">
        <v>38.51</v>
      </c>
      <c r="F1984">
        <v>9.1</v>
      </c>
      <c r="G1984">
        <v>33.450000000000003</v>
      </c>
      <c r="H1984">
        <v>10.49</v>
      </c>
      <c r="I1984">
        <v>31.86</v>
      </c>
    </row>
    <row r="1985" spans="1:9" x14ac:dyDescent="0.25">
      <c r="A1985" s="2">
        <v>44477</v>
      </c>
      <c r="B1985">
        <v>27.83</v>
      </c>
      <c r="C1985">
        <v>18.670000000000002</v>
      </c>
      <c r="D1985">
        <v>30.73</v>
      </c>
      <c r="E1985">
        <v>39.4</v>
      </c>
      <c r="F1985">
        <v>9.17</v>
      </c>
      <c r="G1985">
        <v>33.119999999999997</v>
      </c>
      <c r="H1985">
        <v>10.44</v>
      </c>
      <c r="I1985">
        <v>32.909999999999997</v>
      </c>
    </row>
    <row r="1986" spans="1:9" x14ac:dyDescent="0.25">
      <c r="A1986" s="2">
        <v>44480</v>
      </c>
      <c r="B1986">
        <v>27.97</v>
      </c>
      <c r="C1986">
        <v>18.510000000000002</v>
      </c>
      <c r="D1986">
        <v>30.78</v>
      </c>
      <c r="E1986">
        <v>39.22</v>
      </c>
      <c r="F1986">
        <v>9.01</v>
      </c>
      <c r="G1986">
        <v>33.94</v>
      </c>
      <c r="H1986">
        <v>10.45</v>
      </c>
      <c r="I1986">
        <v>32.630000000000003</v>
      </c>
    </row>
    <row r="1987" spans="1:9" x14ac:dyDescent="0.25">
      <c r="A1987" s="2">
        <v>44481</v>
      </c>
      <c r="B1987">
        <v>27.72</v>
      </c>
      <c r="C1987">
        <v>18.309999999999999</v>
      </c>
      <c r="D1987">
        <v>30.63</v>
      </c>
      <c r="E1987">
        <v>39.049999999999997</v>
      </c>
      <c r="F1987">
        <v>8.81</v>
      </c>
      <c r="G1987">
        <v>33.840000000000003</v>
      </c>
      <c r="H1987">
        <v>10.37</v>
      </c>
      <c r="I1987">
        <v>32.659999999999997</v>
      </c>
    </row>
    <row r="1988" spans="1:9" x14ac:dyDescent="0.25">
      <c r="A1988" s="2">
        <v>44482</v>
      </c>
      <c r="B1988">
        <v>27.48</v>
      </c>
      <c r="C1988">
        <v>18.21</v>
      </c>
      <c r="D1988">
        <v>30.33</v>
      </c>
      <c r="E1988">
        <v>38.799999999999997</v>
      </c>
      <c r="F1988">
        <v>8.6999999999999993</v>
      </c>
      <c r="G1988">
        <v>33.69</v>
      </c>
      <c r="H1988">
        <v>10.32</v>
      </c>
      <c r="I1988">
        <v>32.4</v>
      </c>
    </row>
    <row r="1989" spans="1:9" x14ac:dyDescent="0.25">
      <c r="A1989" s="2">
        <v>44483</v>
      </c>
      <c r="B1989">
        <v>27.56</v>
      </c>
      <c r="C1989">
        <v>18.32</v>
      </c>
      <c r="D1989">
        <v>30.26</v>
      </c>
      <c r="E1989">
        <v>39.049999999999997</v>
      </c>
      <c r="F1989">
        <v>8.84</v>
      </c>
      <c r="G1989">
        <v>33.54</v>
      </c>
      <c r="H1989">
        <v>10.25</v>
      </c>
      <c r="I1989">
        <v>32.36</v>
      </c>
    </row>
    <row r="1990" spans="1:9" x14ac:dyDescent="0.25">
      <c r="A1990" s="2">
        <v>44484</v>
      </c>
      <c r="B1990">
        <v>28.04</v>
      </c>
      <c r="C1990">
        <v>18.48</v>
      </c>
      <c r="D1990">
        <v>30.81</v>
      </c>
      <c r="E1990">
        <v>39.96</v>
      </c>
      <c r="F1990">
        <v>9.19</v>
      </c>
      <c r="G1990">
        <v>33.82</v>
      </c>
      <c r="H1990">
        <v>10.32</v>
      </c>
      <c r="I1990">
        <v>33.21</v>
      </c>
    </row>
    <row r="1991" spans="1:9" x14ac:dyDescent="0.25">
      <c r="A1991" s="2">
        <v>44487</v>
      </c>
      <c r="B1991">
        <v>28.58</v>
      </c>
      <c r="C1991">
        <v>18.54</v>
      </c>
      <c r="D1991">
        <v>31.64</v>
      </c>
      <c r="E1991">
        <v>40.47</v>
      </c>
      <c r="F1991">
        <v>9.17</v>
      </c>
      <c r="G1991">
        <v>34.549999999999997</v>
      </c>
      <c r="H1991">
        <v>10.47</v>
      </c>
      <c r="I1991">
        <v>33.61</v>
      </c>
    </row>
    <row r="1992" spans="1:9" x14ac:dyDescent="0.25">
      <c r="A1992" s="2">
        <v>44488</v>
      </c>
      <c r="B1992">
        <v>28.71</v>
      </c>
      <c r="C1992">
        <v>18.46</v>
      </c>
      <c r="D1992">
        <v>31.84</v>
      </c>
      <c r="E1992">
        <v>40.36</v>
      </c>
      <c r="F1992">
        <v>9.02</v>
      </c>
      <c r="G1992">
        <v>35.06</v>
      </c>
      <c r="H1992">
        <v>10.46</v>
      </c>
      <c r="I1992">
        <v>33.53</v>
      </c>
    </row>
    <row r="1993" spans="1:9" x14ac:dyDescent="0.25">
      <c r="A1993" s="2">
        <v>44489</v>
      </c>
      <c r="B1993">
        <v>28.79</v>
      </c>
      <c r="C1993">
        <v>18.28</v>
      </c>
      <c r="D1993">
        <v>31.96</v>
      </c>
      <c r="E1993">
        <v>40.47</v>
      </c>
      <c r="F1993">
        <v>8.8800000000000008</v>
      </c>
      <c r="G1993">
        <v>34.909999999999997</v>
      </c>
      <c r="H1993">
        <v>10.34</v>
      </c>
      <c r="I1993">
        <v>33.590000000000003</v>
      </c>
    </row>
    <row r="1994" spans="1:9" x14ac:dyDescent="0.25">
      <c r="A1994" s="2">
        <v>44490</v>
      </c>
      <c r="B1994">
        <v>28.94</v>
      </c>
      <c r="C1994">
        <v>18.28</v>
      </c>
      <c r="D1994">
        <v>32.03</v>
      </c>
      <c r="E1994">
        <v>40.630000000000003</v>
      </c>
      <c r="F1994">
        <v>8.8699999999999992</v>
      </c>
      <c r="G1994">
        <v>35.03</v>
      </c>
      <c r="H1994">
        <v>10.27</v>
      </c>
      <c r="I1994">
        <v>33.729999999999997</v>
      </c>
    </row>
    <row r="1995" spans="1:9" x14ac:dyDescent="0.25">
      <c r="A1995" s="2">
        <v>44491</v>
      </c>
      <c r="B1995">
        <v>28.94</v>
      </c>
      <c r="C1995">
        <v>18.149999999999999</v>
      </c>
      <c r="D1995">
        <v>32.14</v>
      </c>
      <c r="E1995">
        <v>40.54</v>
      </c>
      <c r="F1995">
        <v>8.7100000000000009</v>
      </c>
      <c r="G1995">
        <v>35.31</v>
      </c>
      <c r="H1995">
        <v>10.3</v>
      </c>
      <c r="I1995">
        <v>33.590000000000003</v>
      </c>
    </row>
    <row r="1996" spans="1:9" x14ac:dyDescent="0.25">
      <c r="A1996" s="2">
        <v>44494</v>
      </c>
      <c r="B1996">
        <v>29.11</v>
      </c>
      <c r="C1996">
        <v>18.100000000000001</v>
      </c>
      <c r="D1996">
        <v>32.25</v>
      </c>
      <c r="E1996">
        <v>40.67</v>
      </c>
      <c r="F1996">
        <v>8.6999999999999993</v>
      </c>
      <c r="G1996">
        <v>35.15</v>
      </c>
      <c r="H1996">
        <v>10.15</v>
      </c>
      <c r="I1996">
        <v>33.869999999999997</v>
      </c>
    </row>
    <row r="1997" spans="1:9" x14ac:dyDescent="0.25">
      <c r="A1997" s="2">
        <v>44495</v>
      </c>
      <c r="B1997">
        <v>29.24</v>
      </c>
      <c r="C1997">
        <v>18.170000000000002</v>
      </c>
      <c r="D1997">
        <v>32.409999999999997</v>
      </c>
      <c r="E1997">
        <v>40.93</v>
      </c>
      <c r="F1997">
        <v>8.82</v>
      </c>
      <c r="G1997">
        <v>35.369999999999997</v>
      </c>
      <c r="H1997">
        <v>10.15</v>
      </c>
      <c r="I1997">
        <v>34.159999999999997</v>
      </c>
    </row>
    <row r="1998" spans="1:9" x14ac:dyDescent="0.25">
      <c r="A1998" s="2">
        <v>44496</v>
      </c>
      <c r="B1998">
        <v>29.42</v>
      </c>
      <c r="C1998">
        <v>18.170000000000002</v>
      </c>
      <c r="D1998">
        <v>32.93</v>
      </c>
      <c r="E1998">
        <v>41.3</v>
      </c>
      <c r="F1998">
        <v>8.94</v>
      </c>
      <c r="G1998">
        <v>35.49</v>
      </c>
      <c r="H1998">
        <v>10.19</v>
      </c>
      <c r="I1998">
        <v>34.549999999999997</v>
      </c>
    </row>
    <row r="1999" spans="1:9" x14ac:dyDescent="0.25">
      <c r="A1999" s="2">
        <v>44497</v>
      </c>
      <c r="B1999">
        <v>29.59</v>
      </c>
      <c r="C1999">
        <v>18.41</v>
      </c>
      <c r="D1999">
        <v>33.11</v>
      </c>
      <c r="E1999">
        <v>41.28</v>
      </c>
      <c r="F1999">
        <v>9.1999999999999993</v>
      </c>
      <c r="G1999">
        <v>35.909999999999997</v>
      </c>
      <c r="H1999">
        <v>10.23</v>
      </c>
      <c r="I1999">
        <v>34.549999999999997</v>
      </c>
    </row>
    <row r="2000" spans="1:9" x14ac:dyDescent="0.25">
      <c r="A2000" s="2">
        <v>44498</v>
      </c>
      <c r="B2000">
        <v>29.48</v>
      </c>
      <c r="C2000">
        <v>18.46</v>
      </c>
      <c r="D2000">
        <v>32.99</v>
      </c>
      <c r="E2000">
        <v>41.08</v>
      </c>
      <c r="F2000">
        <v>9.1</v>
      </c>
      <c r="G2000">
        <v>35.92</v>
      </c>
      <c r="H2000">
        <v>10.35</v>
      </c>
      <c r="I2000">
        <v>34.340000000000003</v>
      </c>
    </row>
    <row r="2001" spans="1:9" x14ac:dyDescent="0.25">
      <c r="A2001" s="2">
        <v>44501</v>
      </c>
      <c r="B2001">
        <v>29.53</v>
      </c>
      <c r="C2001">
        <v>18.239999999999998</v>
      </c>
      <c r="D2001">
        <v>32.92</v>
      </c>
      <c r="E2001">
        <v>41.15</v>
      </c>
      <c r="F2001">
        <v>8.9600000000000009</v>
      </c>
      <c r="G2001">
        <v>35.75</v>
      </c>
      <c r="H2001">
        <v>10.199999999999999</v>
      </c>
      <c r="I2001">
        <v>34.590000000000003</v>
      </c>
    </row>
    <row r="2002" spans="1:9" x14ac:dyDescent="0.25">
      <c r="A2002" s="2">
        <v>44502</v>
      </c>
      <c r="B2002">
        <v>29.63</v>
      </c>
      <c r="C2002">
        <v>18.190000000000001</v>
      </c>
      <c r="D2002">
        <v>33.119999999999997</v>
      </c>
      <c r="E2002">
        <v>41.23</v>
      </c>
      <c r="F2002">
        <v>8.75</v>
      </c>
      <c r="G2002">
        <v>35.81</v>
      </c>
      <c r="H2002">
        <v>10.11</v>
      </c>
      <c r="I2002">
        <v>34.78</v>
      </c>
    </row>
    <row r="2003" spans="1:9" x14ac:dyDescent="0.25">
      <c r="A2003" s="2">
        <v>44503</v>
      </c>
      <c r="B2003">
        <v>29.88</v>
      </c>
      <c r="C2003">
        <v>18.39</v>
      </c>
      <c r="D2003">
        <v>33.409999999999997</v>
      </c>
      <c r="E2003">
        <v>41.59</v>
      </c>
      <c r="F2003">
        <v>8.9499999999999993</v>
      </c>
      <c r="G2003">
        <v>36.1</v>
      </c>
      <c r="H2003">
        <v>9.98</v>
      </c>
      <c r="I2003">
        <v>35.159999999999997</v>
      </c>
    </row>
    <row r="2004" spans="1:9" x14ac:dyDescent="0.25">
      <c r="A2004" s="2">
        <v>44504</v>
      </c>
      <c r="B2004">
        <v>30.11</v>
      </c>
      <c r="C2004">
        <v>18.46</v>
      </c>
      <c r="D2004">
        <v>33.74</v>
      </c>
      <c r="E2004">
        <v>41.79</v>
      </c>
      <c r="F2004">
        <v>9.01</v>
      </c>
      <c r="G2004">
        <v>36.39</v>
      </c>
      <c r="H2004">
        <v>10.130000000000001</v>
      </c>
      <c r="I2004">
        <v>35.229999999999997</v>
      </c>
    </row>
    <row r="2005" spans="1:9" x14ac:dyDescent="0.25">
      <c r="A2005" s="2">
        <v>44505</v>
      </c>
      <c r="B2005">
        <v>30.51</v>
      </c>
      <c r="C2005">
        <v>18.600000000000001</v>
      </c>
      <c r="D2005">
        <v>34.22</v>
      </c>
      <c r="E2005">
        <v>42.48</v>
      </c>
      <c r="F2005">
        <v>9.33</v>
      </c>
      <c r="G2005">
        <v>36.549999999999997</v>
      </c>
      <c r="H2005">
        <v>10.11</v>
      </c>
      <c r="I2005">
        <v>35.840000000000003</v>
      </c>
    </row>
    <row r="2006" spans="1:9" x14ac:dyDescent="0.25">
      <c r="A2006" s="2">
        <v>44508</v>
      </c>
      <c r="B2006">
        <v>31.01</v>
      </c>
      <c r="C2006">
        <v>18.87</v>
      </c>
      <c r="D2006">
        <v>34.92</v>
      </c>
      <c r="E2006">
        <v>42.87</v>
      </c>
      <c r="F2006">
        <v>9.7200000000000006</v>
      </c>
      <c r="G2006">
        <v>37.11</v>
      </c>
      <c r="H2006">
        <v>10.37</v>
      </c>
      <c r="I2006">
        <v>36.299999999999997</v>
      </c>
    </row>
    <row r="2007" spans="1:9" x14ac:dyDescent="0.25">
      <c r="A2007" s="2">
        <v>44509</v>
      </c>
      <c r="B2007">
        <v>31.19</v>
      </c>
      <c r="C2007">
        <v>18.98</v>
      </c>
      <c r="D2007">
        <v>35.1</v>
      </c>
      <c r="E2007">
        <v>42.82</v>
      </c>
      <c r="F2007">
        <v>9.6999999999999993</v>
      </c>
      <c r="G2007">
        <v>37.520000000000003</v>
      </c>
      <c r="H2007">
        <v>10.63</v>
      </c>
      <c r="I2007">
        <v>36.03</v>
      </c>
    </row>
    <row r="2008" spans="1:9" x14ac:dyDescent="0.25">
      <c r="A2008" s="2">
        <v>44510</v>
      </c>
      <c r="B2008">
        <v>31.29</v>
      </c>
      <c r="C2008">
        <v>19.09</v>
      </c>
      <c r="D2008">
        <v>34.950000000000003</v>
      </c>
      <c r="E2008">
        <v>42.86</v>
      </c>
      <c r="F2008">
        <v>9.8699999999999992</v>
      </c>
      <c r="G2008">
        <v>37.450000000000003</v>
      </c>
      <c r="H2008">
        <v>10.61</v>
      </c>
      <c r="I2008">
        <v>36.08</v>
      </c>
    </row>
    <row r="2009" spans="1:9" x14ac:dyDescent="0.25">
      <c r="A2009" s="2">
        <v>44511</v>
      </c>
      <c r="B2009">
        <v>31.03</v>
      </c>
      <c r="C2009">
        <v>19.010000000000002</v>
      </c>
      <c r="D2009">
        <v>34.97</v>
      </c>
      <c r="E2009">
        <v>42.68</v>
      </c>
      <c r="F2009">
        <v>9.61</v>
      </c>
      <c r="G2009">
        <v>37.56</v>
      </c>
      <c r="H2009">
        <v>10.75</v>
      </c>
      <c r="I2009">
        <v>35.97</v>
      </c>
    </row>
    <row r="2010" spans="1:9" x14ac:dyDescent="0.25">
      <c r="A2010" s="2">
        <v>44512</v>
      </c>
      <c r="B2010">
        <v>30.82</v>
      </c>
      <c r="C2010">
        <v>18.82</v>
      </c>
      <c r="D2010">
        <v>34.79</v>
      </c>
      <c r="E2010">
        <v>42.77</v>
      </c>
      <c r="F2010">
        <v>9.4499999999999993</v>
      </c>
      <c r="G2010">
        <v>37.409999999999997</v>
      </c>
      <c r="H2010">
        <v>10.53</v>
      </c>
      <c r="I2010">
        <v>35.979999999999997</v>
      </c>
    </row>
    <row r="2011" spans="1:9" x14ac:dyDescent="0.25">
      <c r="A2011" s="2">
        <v>44515</v>
      </c>
      <c r="B2011">
        <v>31</v>
      </c>
      <c r="C2011">
        <v>18.78</v>
      </c>
      <c r="D2011">
        <v>35.049999999999997</v>
      </c>
      <c r="E2011">
        <v>43.13</v>
      </c>
      <c r="F2011">
        <v>9.4700000000000006</v>
      </c>
      <c r="G2011">
        <v>37.54</v>
      </c>
      <c r="H2011">
        <v>10.47</v>
      </c>
      <c r="I2011">
        <v>36.17</v>
      </c>
    </row>
    <row r="2012" spans="1:9" x14ac:dyDescent="0.25">
      <c r="A2012" s="2">
        <v>44516</v>
      </c>
      <c r="B2012">
        <v>31.13</v>
      </c>
      <c r="C2012">
        <v>18.61</v>
      </c>
      <c r="D2012">
        <v>35.590000000000003</v>
      </c>
      <c r="E2012">
        <v>43.41</v>
      </c>
      <c r="F2012">
        <v>9.3800000000000008</v>
      </c>
      <c r="G2012">
        <v>37.78</v>
      </c>
      <c r="H2012">
        <v>10.47</v>
      </c>
      <c r="I2012">
        <v>36.35</v>
      </c>
    </row>
    <row r="2013" spans="1:9" x14ac:dyDescent="0.25">
      <c r="A2013" s="2">
        <v>44517</v>
      </c>
      <c r="B2013">
        <v>31.37</v>
      </c>
      <c r="C2013">
        <v>18.52</v>
      </c>
      <c r="D2013">
        <v>35.729999999999997</v>
      </c>
      <c r="E2013">
        <v>43.78</v>
      </c>
      <c r="F2013">
        <v>9.3699999999999992</v>
      </c>
      <c r="G2013">
        <v>38.04</v>
      </c>
      <c r="H2013">
        <v>10.37</v>
      </c>
      <c r="I2013">
        <v>36.75</v>
      </c>
    </row>
    <row r="2014" spans="1:9" x14ac:dyDescent="0.25">
      <c r="A2014" s="2">
        <v>44522</v>
      </c>
      <c r="B2014">
        <v>31.44</v>
      </c>
      <c r="C2014">
        <v>18.399999999999999</v>
      </c>
      <c r="D2014">
        <v>36.06</v>
      </c>
      <c r="E2014">
        <v>43.79</v>
      </c>
      <c r="F2014">
        <v>9.2899999999999991</v>
      </c>
      <c r="G2014">
        <v>38.22</v>
      </c>
      <c r="H2014">
        <v>10.29</v>
      </c>
      <c r="I2014">
        <v>36.54</v>
      </c>
    </row>
    <row r="2015" spans="1:9" x14ac:dyDescent="0.25">
      <c r="A2015" s="2">
        <v>44523</v>
      </c>
      <c r="B2015">
        <v>31.46</v>
      </c>
      <c r="C2015">
        <v>18.649999999999999</v>
      </c>
      <c r="D2015">
        <v>36.57</v>
      </c>
      <c r="E2015">
        <v>43.74</v>
      </c>
      <c r="F2015">
        <v>9.43</v>
      </c>
      <c r="G2015">
        <v>38.29</v>
      </c>
      <c r="H2015">
        <v>10.4</v>
      </c>
      <c r="I2015">
        <v>36.81</v>
      </c>
    </row>
    <row r="2016" spans="1:9" x14ac:dyDescent="0.25">
      <c r="A2016" s="2">
        <v>44524</v>
      </c>
      <c r="B2016">
        <v>30.83</v>
      </c>
      <c r="C2016">
        <v>18.350000000000001</v>
      </c>
      <c r="D2016">
        <v>36.159999999999997</v>
      </c>
      <c r="E2016">
        <v>42.88</v>
      </c>
      <c r="F2016">
        <v>8.92</v>
      </c>
      <c r="G2016">
        <v>38.19</v>
      </c>
      <c r="H2016">
        <v>10.24</v>
      </c>
      <c r="I2016">
        <v>35.9</v>
      </c>
    </row>
    <row r="2017" spans="1:9" x14ac:dyDescent="0.25">
      <c r="A2017" s="2">
        <v>44525</v>
      </c>
      <c r="B2017">
        <v>30.61</v>
      </c>
      <c r="C2017">
        <v>18</v>
      </c>
      <c r="D2017">
        <v>35.94</v>
      </c>
      <c r="E2017">
        <v>43.03</v>
      </c>
      <c r="F2017">
        <v>8.82</v>
      </c>
      <c r="G2017">
        <v>37.26</v>
      </c>
      <c r="H2017">
        <v>9.86</v>
      </c>
      <c r="I2017">
        <v>35.950000000000003</v>
      </c>
    </row>
    <row r="2018" spans="1:9" x14ac:dyDescent="0.25">
      <c r="A2018" s="2">
        <v>44526</v>
      </c>
      <c r="B2018">
        <v>30.84</v>
      </c>
      <c r="C2018">
        <v>18</v>
      </c>
      <c r="D2018">
        <v>36.21</v>
      </c>
      <c r="E2018">
        <v>43.2</v>
      </c>
      <c r="F2018">
        <v>8.81</v>
      </c>
      <c r="G2018">
        <v>37.17</v>
      </c>
      <c r="H2018">
        <v>9.82</v>
      </c>
      <c r="I2018">
        <v>36.119999999999997</v>
      </c>
    </row>
    <row r="2019" spans="1:9" x14ac:dyDescent="0.25">
      <c r="A2019" s="2">
        <v>44529</v>
      </c>
      <c r="B2019">
        <v>30.29</v>
      </c>
      <c r="C2019">
        <v>18.010000000000002</v>
      </c>
      <c r="D2019">
        <v>35.57</v>
      </c>
      <c r="E2019">
        <v>41.4</v>
      </c>
      <c r="F2019">
        <v>8.4700000000000006</v>
      </c>
      <c r="G2019">
        <v>37.450000000000003</v>
      </c>
      <c r="H2019">
        <v>9.83</v>
      </c>
      <c r="I2019">
        <v>34.630000000000003</v>
      </c>
    </row>
    <row r="2020" spans="1:9" x14ac:dyDescent="0.25">
      <c r="A2020" s="2">
        <v>44530</v>
      </c>
      <c r="B2020">
        <v>29.92</v>
      </c>
      <c r="C2020">
        <v>18.03</v>
      </c>
      <c r="D2020">
        <v>34.53</v>
      </c>
      <c r="E2020">
        <v>41.64</v>
      </c>
      <c r="F2020">
        <v>8.61</v>
      </c>
      <c r="G2020">
        <v>35.97</v>
      </c>
      <c r="H2020">
        <v>9.7100000000000009</v>
      </c>
      <c r="I2020">
        <v>34.869999999999997</v>
      </c>
    </row>
    <row r="2021" spans="1:9" x14ac:dyDescent="0.25">
      <c r="A2021" s="2">
        <v>44531</v>
      </c>
      <c r="B2021">
        <v>29.97</v>
      </c>
      <c r="C2021">
        <v>18.010000000000002</v>
      </c>
      <c r="D2021">
        <v>34.75</v>
      </c>
      <c r="E2021">
        <v>41.14</v>
      </c>
      <c r="F2021">
        <v>8.66</v>
      </c>
      <c r="G2021">
        <v>35.93</v>
      </c>
      <c r="H2021">
        <v>9.66</v>
      </c>
      <c r="I2021">
        <v>34.36</v>
      </c>
    </row>
    <row r="2022" spans="1:9" x14ac:dyDescent="0.25">
      <c r="A2022" s="2">
        <v>44532</v>
      </c>
      <c r="B2022">
        <v>29.59</v>
      </c>
      <c r="C2022">
        <v>18.16</v>
      </c>
      <c r="D2022">
        <v>34.46</v>
      </c>
      <c r="E2022">
        <v>41.37</v>
      </c>
      <c r="F2022">
        <v>8.85</v>
      </c>
      <c r="G2022">
        <v>35.799999999999997</v>
      </c>
      <c r="H2022">
        <v>9.8000000000000007</v>
      </c>
      <c r="I2022">
        <v>34.89</v>
      </c>
    </row>
    <row r="2023" spans="1:9" x14ac:dyDescent="0.25">
      <c r="A2023" s="2">
        <v>44533</v>
      </c>
      <c r="B2023">
        <v>29.35</v>
      </c>
      <c r="C2023">
        <v>18.29</v>
      </c>
      <c r="D2023">
        <v>33.520000000000003</v>
      </c>
      <c r="E2023">
        <v>41.31</v>
      </c>
      <c r="F2023">
        <v>9.0299999999999994</v>
      </c>
      <c r="G2023">
        <v>36.22</v>
      </c>
      <c r="H2023">
        <v>9.8699999999999992</v>
      </c>
      <c r="I2023">
        <v>34.29</v>
      </c>
    </row>
    <row r="2024" spans="1:9" x14ac:dyDescent="0.25">
      <c r="A2024" s="2">
        <v>44536</v>
      </c>
      <c r="B2024">
        <v>29.52</v>
      </c>
      <c r="C2024">
        <v>18.43</v>
      </c>
      <c r="D2024">
        <v>34.04</v>
      </c>
      <c r="E2024">
        <v>41.29</v>
      </c>
      <c r="F2024">
        <v>9.23</v>
      </c>
      <c r="G2024">
        <v>35.69</v>
      </c>
      <c r="H2024">
        <v>9.99</v>
      </c>
      <c r="I2024">
        <v>34.42</v>
      </c>
    </row>
    <row r="2025" spans="1:9" x14ac:dyDescent="0.25">
      <c r="A2025" s="2">
        <v>44537</v>
      </c>
      <c r="B2025">
        <v>29.71</v>
      </c>
      <c r="C2025">
        <v>18.55</v>
      </c>
      <c r="D2025">
        <v>34.29</v>
      </c>
      <c r="E2025">
        <v>41.73</v>
      </c>
      <c r="F2025">
        <v>9.4</v>
      </c>
      <c r="G2025">
        <v>35.82</v>
      </c>
      <c r="H2025">
        <v>10.1</v>
      </c>
      <c r="I2025">
        <v>34.799999999999997</v>
      </c>
    </row>
    <row r="2026" spans="1:9" x14ac:dyDescent="0.25">
      <c r="A2026" s="2">
        <v>44538</v>
      </c>
      <c r="B2026">
        <v>30.42</v>
      </c>
      <c r="C2026">
        <v>18.66</v>
      </c>
      <c r="D2026">
        <v>35.43</v>
      </c>
      <c r="E2026">
        <v>43.13</v>
      </c>
      <c r="F2026">
        <v>9.61</v>
      </c>
      <c r="G2026">
        <v>36.15</v>
      </c>
      <c r="H2026">
        <v>10.17</v>
      </c>
      <c r="I2026">
        <v>36.19</v>
      </c>
    </row>
    <row r="2027" spans="1:9" x14ac:dyDescent="0.25">
      <c r="A2027" s="2">
        <v>44539</v>
      </c>
      <c r="B2027">
        <v>30.93</v>
      </c>
      <c r="C2027">
        <v>18.5</v>
      </c>
      <c r="D2027">
        <v>36.090000000000003</v>
      </c>
      <c r="E2027">
        <v>42.87</v>
      </c>
      <c r="F2027">
        <v>9.36</v>
      </c>
      <c r="G2027">
        <v>37.39</v>
      </c>
      <c r="H2027">
        <v>10.28</v>
      </c>
      <c r="I2027">
        <v>35.71</v>
      </c>
    </row>
    <row r="2028" spans="1:9" x14ac:dyDescent="0.25">
      <c r="A2028" s="2">
        <v>44540</v>
      </c>
      <c r="B2028">
        <v>30.87</v>
      </c>
      <c r="C2028">
        <v>18.489999999999998</v>
      </c>
      <c r="D2028">
        <v>35.83</v>
      </c>
      <c r="E2028">
        <v>42.95</v>
      </c>
      <c r="F2028">
        <v>9.4600000000000009</v>
      </c>
      <c r="G2028">
        <v>37.47</v>
      </c>
      <c r="H2028">
        <v>10.19</v>
      </c>
      <c r="I2028">
        <v>35.93</v>
      </c>
    </row>
    <row r="2029" spans="1:9" x14ac:dyDescent="0.25">
      <c r="A2029" s="2">
        <v>44543</v>
      </c>
      <c r="B2029">
        <v>30.77</v>
      </c>
      <c r="C2029">
        <v>18.52</v>
      </c>
      <c r="D2029">
        <v>35.74</v>
      </c>
      <c r="E2029">
        <v>42.82</v>
      </c>
      <c r="F2029">
        <v>9.49</v>
      </c>
      <c r="G2029">
        <v>37.49</v>
      </c>
      <c r="H2029">
        <v>10.28</v>
      </c>
      <c r="I2029">
        <v>35.619999999999997</v>
      </c>
    </row>
    <row r="2030" spans="1:9" x14ac:dyDescent="0.25">
      <c r="A2030" s="2">
        <v>44544</v>
      </c>
      <c r="B2030">
        <v>30.95</v>
      </c>
      <c r="C2030">
        <v>18.55</v>
      </c>
      <c r="D2030">
        <v>35.880000000000003</v>
      </c>
      <c r="E2030">
        <v>42.81</v>
      </c>
      <c r="F2030">
        <v>9.6199999999999992</v>
      </c>
      <c r="G2030">
        <v>37.270000000000003</v>
      </c>
      <c r="H2030">
        <v>10.24</v>
      </c>
      <c r="I2030">
        <v>35.65</v>
      </c>
    </row>
    <row r="2031" spans="1:9" x14ac:dyDescent="0.25">
      <c r="A2031" s="2">
        <v>44545</v>
      </c>
      <c r="B2031">
        <v>30.49</v>
      </c>
      <c r="C2031">
        <v>18.579999999999998</v>
      </c>
      <c r="D2031">
        <v>35.5</v>
      </c>
      <c r="E2031">
        <v>42.23</v>
      </c>
      <c r="F2031">
        <v>9.58</v>
      </c>
      <c r="G2031">
        <v>37.25</v>
      </c>
      <c r="H2031">
        <v>10.33</v>
      </c>
      <c r="I2031">
        <v>35.18</v>
      </c>
    </row>
    <row r="2032" spans="1:9" x14ac:dyDescent="0.25">
      <c r="A2032" s="2">
        <v>44546</v>
      </c>
      <c r="B2032">
        <v>30.36</v>
      </c>
      <c r="C2032">
        <v>18.57</v>
      </c>
      <c r="D2032">
        <v>35.22</v>
      </c>
      <c r="E2032">
        <v>42.3</v>
      </c>
      <c r="F2032">
        <v>9.44</v>
      </c>
      <c r="G2032">
        <v>36.54</v>
      </c>
      <c r="H2032">
        <v>10.24</v>
      </c>
      <c r="I2032">
        <v>35.1</v>
      </c>
    </row>
    <row r="2033" spans="1:9" x14ac:dyDescent="0.25">
      <c r="A2033" s="2">
        <v>44547</v>
      </c>
      <c r="B2033">
        <v>30.7</v>
      </c>
      <c r="C2033">
        <v>18.440000000000001</v>
      </c>
      <c r="D2033">
        <v>36.07</v>
      </c>
      <c r="E2033">
        <v>42.49</v>
      </c>
      <c r="F2033">
        <v>9.3699999999999992</v>
      </c>
      <c r="G2033">
        <v>36.520000000000003</v>
      </c>
      <c r="H2033">
        <v>10.15</v>
      </c>
      <c r="I2033">
        <v>35.590000000000003</v>
      </c>
    </row>
    <row r="2034" spans="1:9" x14ac:dyDescent="0.25">
      <c r="A2034" s="2">
        <v>44550</v>
      </c>
      <c r="B2034">
        <v>30.51</v>
      </c>
      <c r="C2034">
        <v>18.5</v>
      </c>
      <c r="D2034">
        <v>35.56</v>
      </c>
      <c r="E2034">
        <v>42.15</v>
      </c>
      <c r="F2034">
        <v>9.44</v>
      </c>
      <c r="G2034">
        <v>37.21</v>
      </c>
      <c r="H2034">
        <v>10.14</v>
      </c>
      <c r="I2034">
        <v>35.229999999999997</v>
      </c>
    </row>
    <row r="2035" spans="1:9" x14ac:dyDescent="0.25">
      <c r="A2035" s="2">
        <v>44551</v>
      </c>
      <c r="B2035">
        <v>29.93</v>
      </c>
      <c r="C2035">
        <v>18.579999999999998</v>
      </c>
      <c r="D2035">
        <v>34.840000000000003</v>
      </c>
      <c r="E2035">
        <v>41.12</v>
      </c>
      <c r="F2035">
        <v>9.2100000000000009</v>
      </c>
      <c r="G2035">
        <v>36.78</v>
      </c>
      <c r="H2035">
        <v>10.26</v>
      </c>
      <c r="I2035">
        <v>34.29</v>
      </c>
    </row>
    <row r="2036" spans="1:9" x14ac:dyDescent="0.25">
      <c r="A2036" s="2">
        <v>44552</v>
      </c>
      <c r="B2036">
        <v>29.66</v>
      </c>
      <c r="C2036">
        <v>18.29</v>
      </c>
      <c r="D2036">
        <v>34.64</v>
      </c>
      <c r="E2036">
        <v>41.61</v>
      </c>
      <c r="F2036">
        <v>9.08</v>
      </c>
      <c r="G2036">
        <v>35.94</v>
      </c>
      <c r="H2036">
        <v>10.11</v>
      </c>
      <c r="I2036">
        <v>34.81</v>
      </c>
    </row>
    <row r="2037" spans="1:9" x14ac:dyDescent="0.25">
      <c r="A2037" s="2">
        <v>44553</v>
      </c>
      <c r="B2037">
        <v>30.32</v>
      </c>
      <c r="C2037">
        <v>18.260000000000002</v>
      </c>
      <c r="D2037">
        <v>35.47</v>
      </c>
      <c r="E2037">
        <v>42.08</v>
      </c>
      <c r="F2037">
        <v>9.0500000000000007</v>
      </c>
      <c r="G2037">
        <v>36.299999999999997</v>
      </c>
      <c r="H2037">
        <v>10.039999999999999</v>
      </c>
      <c r="I2037">
        <v>35.24</v>
      </c>
    </row>
    <row r="2038" spans="1:9" x14ac:dyDescent="0.25">
      <c r="A2038" s="2">
        <v>44557</v>
      </c>
      <c r="B2038">
        <v>30.8</v>
      </c>
      <c r="C2038">
        <v>18.170000000000002</v>
      </c>
      <c r="D2038">
        <v>35.86</v>
      </c>
      <c r="E2038">
        <v>42.45</v>
      </c>
      <c r="F2038">
        <v>9.01</v>
      </c>
      <c r="G2038">
        <v>36.86</v>
      </c>
      <c r="H2038">
        <v>10.02</v>
      </c>
      <c r="I2038">
        <v>35.630000000000003</v>
      </c>
    </row>
    <row r="2039" spans="1:9" x14ac:dyDescent="0.25">
      <c r="A2039" s="2">
        <v>44558</v>
      </c>
      <c r="B2039">
        <v>31.19</v>
      </c>
      <c r="C2039">
        <v>18.16</v>
      </c>
      <c r="D2039">
        <v>36.21</v>
      </c>
      <c r="E2039">
        <v>42.65</v>
      </c>
      <c r="F2039">
        <v>8.98</v>
      </c>
      <c r="G2039">
        <v>37.380000000000003</v>
      </c>
      <c r="H2039">
        <v>9.9600000000000009</v>
      </c>
      <c r="I2039">
        <v>35.83</v>
      </c>
    </row>
    <row r="2040" spans="1:9" x14ac:dyDescent="0.25">
      <c r="A2040" s="2">
        <v>44559</v>
      </c>
      <c r="B2040">
        <v>31.47</v>
      </c>
      <c r="C2040">
        <v>18.190000000000001</v>
      </c>
      <c r="D2040">
        <v>36.44</v>
      </c>
      <c r="E2040">
        <v>42.96</v>
      </c>
      <c r="F2040">
        <v>9.0299999999999994</v>
      </c>
      <c r="G2040">
        <v>37.729999999999997</v>
      </c>
      <c r="H2040">
        <v>9.98</v>
      </c>
      <c r="I2040">
        <v>36.17</v>
      </c>
    </row>
    <row r="2041" spans="1:9" x14ac:dyDescent="0.25">
      <c r="A2041" s="2">
        <v>44560</v>
      </c>
      <c r="B2041">
        <v>31.47</v>
      </c>
      <c r="C2041">
        <v>18.059999999999999</v>
      </c>
      <c r="D2041">
        <v>36.229999999999997</v>
      </c>
      <c r="E2041">
        <v>42.72</v>
      </c>
      <c r="F2041">
        <v>8.89</v>
      </c>
      <c r="G2041">
        <v>38.090000000000003</v>
      </c>
      <c r="H2041">
        <v>9.99</v>
      </c>
      <c r="I2041">
        <v>35.79</v>
      </c>
    </row>
    <row r="2042" spans="1:9" x14ac:dyDescent="0.25">
      <c r="A2042" s="2">
        <v>44561</v>
      </c>
      <c r="B2042">
        <v>31.45</v>
      </c>
      <c r="C2042">
        <v>18.02</v>
      </c>
      <c r="D2042">
        <v>36.4</v>
      </c>
      <c r="E2042">
        <v>42.77</v>
      </c>
      <c r="F2042">
        <v>8.9499999999999993</v>
      </c>
      <c r="G2042">
        <v>37.85</v>
      </c>
      <c r="H2042">
        <v>9.85</v>
      </c>
      <c r="I2042">
        <v>35.92</v>
      </c>
    </row>
    <row r="2043" spans="1:9" x14ac:dyDescent="0.25">
      <c r="A2043" s="2">
        <v>44564</v>
      </c>
      <c r="B2043">
        <v>31.44</v>
      </c>
      <c r="C2043">
        <v>17.96</v>
      </c>
      <c r="D2043">
        <v>36.49</v>
      </c>
      <c r="E2043">
        <v>42.83</v>
      </c>
      <c r="F2043">
        <v>8.91</v>
      </c>
      <c r="G2043">
        <v>37.85</v>
      </c>
      <c r="H2043">
        <v>9.85</v>
      </c>
      <c r="I2043">
        <v>35.96</v>
      </c>
    </row>
    <row r="2044" spans="1:9" x14ac:dyDescent="0.25">
      <c r="A2044" s="2">
        <v>44565</v>
      </c>
      <c r="B2044">
        <v>31.15</v>
      </c>
      <c r="C2044">
        <v>17.95</v>
      </c>
      <c r="D2044">
        <v>36.369999999999997</v>
      </c>
      <c r="E2044">
        <v>42.73</v>
      </c>
      <c r="F2044">
        <v>8.83</v>
      </c>
      <c r="G2044">
        <v>38.020000000000003</v>
      </c>
      <c r="H2044">
        <v>9.8800000000000008</v>
      </c>
      <c r="I2044">
        <v>35.94</v>
      </c>
    </row>
    <row r="2045" spans="1:9" x14ac:dyDescent="0.25">
      <c r="A2045" s="2">
        <v>44566</v>
      </c>
      <c r="B2045">
        <v>30.91</v>
      </c>
      <c r="C2045">
        <v>17.78</v>
      </c>
      <c r="D2045">
        <v>36.520000000000003</v>
      </c>
      <c r="E2045">
        <v>42.96</v>
      </c>
      <c r="F2045">
        <v>8.7100000000000009</v>
      </c>
      <c r="G2045">
        <v>38.090000000000003</v>
      </c>
      <c r="H2045">
        <v>9.76</v>
      </c>
      <c r="I2045">
        <v>36.200000000000003</v>
      </c>
    </row>
    <row r="2046" spans="1:9" x14ac:dyDescent="0.25">
      <c r="A2046" s="2">
        <v>44567</v>
      </c>
      <c r="B2046">
        <v>30.81</v>
      </c>
      <c r="C2046">
        <v>17.64</v>
      </c>
      <c r="D2046">
        <v>36.619999999999997</v>
      </c>
      <c r="E2046">
        <v>42.25</v>
      </c>
      <c r="F2046">
        <v>8.58</v>
      </c>
      <c r="G2046">
        <v>38.29</v>
      </c>
      <c r="H2046">
        <v>9.7100000000000009</v>
      </c>
      <c r="I2046">
        <v>35.82</v>
      </c>
    </row>
    <row r="2047" spans="1:9" x14ac:dyDescent="0.25">
      <c r="A2047" s="2">
        <v>44568</v>
      </c>
      <c r="B2047">
        <v>30.05</v>
      </c>
      <c r="C2047">
        <v>17.46</v>
      </c>
      <c r="D2047">
        <v>35.479999999999997</v>
      </c>
      <c r="E2047">
        <v>41.41</v>
      </c>
      <c r="F2047">
        <v>8.2100000000000009</v>
      </c>
      <c r="G2047">
        <v>38.020000000000003</v>
      </c>
      <c r="H2047">
        <v>9.64</v>
      </c>
      <c r="I2047">
        <v>35</v>
      </c>
    </row>
    <row r="2048" spans="1:9" x14ac:dyDescent="0.25">
      <c r="A2048" s="2">
        <v>44571</v>
      </c>
      <c r="B2048">
        <v>29.53</v>
      </c>
      <c r="C2048">
        <v>17.23</v>
      </c>
      <c r="D2048">
        <v>35.1</v>
      </c>
      <c r="E2048">
        <v>41.13</v>
      </c>
      <c r="F2048">
        <v>8.02</v>
      </c>
      <c r="G2048">
        <v>36.78</v>
      </c>
      <c r="H2048">
        <v>9.43</v>
      </c>
      <c r="I2048">
        <v>34.56</v>
      </c>
    </row>
    <row r="2049" spans="1:9" x14ac:dyDescent="0.25">
      <c r="A2049" s="2">
        <v>44572</v>
      </c>
      <c r="B2049">
        <v>29.13</v>
      </c>
      <c r="C2049">
        <v>17.079999999999998</v>
      </c>
      <c r="D2049">
        <v>34.4</v>
      </c>
      <c r="E2049">
        <v>40.51</v>
      </c>
      <c r="F2049">
        <v>7.85</v>
      </c>
      <c r="G2049">
        <v>36.6</v>
      </c>
      <c r="H2049">
        <v>9.33</v>
      </c>
      <c r="I2049">
        <v>33.79</v>
      </c>
    </row>
    <row r="2050" spans="1:9" x14ac:dyDescent="0.25">
      <c r="A2050" s="2">
        <v>44573</v>
      </c>
      <c r="B2050">
        <v>29.17</v>
      </c>
      <c r="C2050">
        <v>16.91</v>
      </c>
      <c r="D2050">
        <v>34.700000000000003</v>
      </c>
      <c r="E2050">
        <v>40.9</v>
      </c>
      <c r="F2050">
        <v>7.81</v>
      </c>
      <c r="G2050">
        <v>35.76</v>
      </c>
      <c r="H2050">
        <v>9.19</v>
      </c>
      <c r="I2050">
        <v>34.18</v>
      </c>
    </row>
    <row r="2051" spans="1:9" x14ac:dyDescent="0.25">
      <c r="A2051" s="2">
        <v>44574</v>
      </c>
      <c r="B2051">
        <v>29.54</v>
      </c>
      <c r="C2051">
        <v>16.97</v>
      </c>
      <c r="D2051">
        <v>35.020000000000003</v>
      </c>
      <c r="E2051">
        <v>41.29</v>
      </c>
      <c r="F2051">
        <v>7.81</v>
      </c>
      <c r="G2051">
        <v>36.11</v>
      </c>
      <c r="H2051">
        <v>9.1999999999999993</v>
      </c>
      <c r="I2051">
        <v>34.590000000000003</v>
      </c>
    </row>
    <row r="2052" spans="1:9" x14ac:dyDescent="0.25">
      <c r="A2052" s="2">
        <v>44575</v>
      </c>
      <c r="B2052">
        <v>29.39</v>
      </c>
      <c r="C2052">
        <v>16.98</v>
      </c>
      <c r="D2052">
        <v>34.979999999999997</v>
      </c>
      <c r="E2052">
        <v>40.75</v>
      </c>
      <c r="F2052">
        <v>7.73</v>
      </c>
      <c r="G2052">
        <v>36.58</v>
      </c>
      <c r="H2052">
        <v>9.26</v>
      </c>
      <c r="I2052">
        <v>34.450000000000003</v>
      </c>
    </row>
    <row r="2053" spans="1:9" x14ac:dyDescent="0.25">
      <c r="A2053" s="2">
        <v>44578</v>
      </c>
      <c r="B2053">
        <v>28.84</v>
      </c>
      <c r="C2053">
        <v>16.88</v>
      </c>
      <c r="D2053">
        <v>34.14</v>
      </c>
      <c r="E2053">
        <v>40.090000000000003</v>
      </c>
      <c r="F2053">
        <v>7.47</v>
      </c>
      <c r="G2053">
        <v>36.5</v>
      </c>
      <c r="H2053">
        <v>9.25</v>
      </c>
      <c r="I2053">
        <v>33.6</v>
      </c>
    </row>
    <row r="2054" spans="1:9" x14ac:dyDescent="0.25">
      <c r="A2054" s="2">
        <v>44579</v>
      </c>
      <c r="B2054">
        <v>28.67</v>
      </c>
      <c r="C2054">
        <v>16.62</v>
      </c>
      <c r="D2054">
        <v>34.22</v>
      </c>
      <c r="E2054">
        <v>40.15</v>
      </c>
      <c r="F2054">
        <v>7.33</v>
      </c>
      <c r="G2054">
        <v>35.520000000000003</v>
      </c>
      <c r="H2054">
        <v>9.0299999999999994</v>
      </c>
      <c r="I2054">
        <v>34.04</v>
      </c>
    </row>
    <row r="2055" spans="1:9" x14ac:dyDescent="0.25">
      <c r="A2055" s="2">
        <v>44580</v>
      </c>
      <c r="B2055">
        <v>28.32</v>
      </c>
      <c r="C2055">
        <v>16.47</v>
      </c>
      <c r="D2055">
        <v>33.869999999999997</v>
      </c>
      <c r="E2055">
        <v>39.450000000000003</v>
      </c>
      <c r="F2055">
        <v>7.04</v>
      </c>
      <c r="G2055">
        <v>35.74</v>
      </c>
      <c r="H2055">
        <v>8.9600000000000009</v>
      </c>
      <c r="I2055">
        <v>33.39</v>
      </c>
    </row>
    <row r="2056" spans="1:9" x14ac:dyDescent="0.25">
      <c r="A2056" s="2">
        <v>44581</v>
      </c>
      <c r="B2056">
        <v>27.63</v>
      </c>
      <c r="C2056">
        <v>16.14</v>
      </c>
      <c r="D2056">
        <v>33.54</v>
      </c>
      <c r="E2056">
        <v>39.22</v>
      </c>
      <c r="F2056">
        <v>7.18</v>
      </c>
      <c r="G2056">
        <v>35.14</v>
      </c>
      <c r="H2056">
        <v>8.73</v>
      </c>
      <c r="I2056">
        <v>33.06</v>
      </c>
    </row>
    <row r="2057" spans="1:9" x14ac:dyDescent="0.25">
      <c r="A2057" s="2">
        <v>44582</v>
      </c>
      <c r="B2057">
        <v>27.53</v>
      </c>
      <c r="C2057">
        <v>16.2</v>
      </c>
      <c r="D2057">
        <v>33.33</v>
      </c>
      <c r="E2057">
        <v>39.47</v>
      </c>
      <c r="F2057">
        <v>7.35</v>
      </c>
      <c r="G2057">
        <v>34.97</v>
      </c>
      <c r="H2057">
        <v>8.7799999999999994</v>
      </c>
      <c r="I2057">
        <v>33.49</v>
      </c>
    </row>
    <row r="2058" spans="1:9" x14ac:dyDescent="0.25">
      <c r="A2058" s="2">
        <v>44585</v>
      </c>
      <c r="B2058">
        <v>26.97</v>
      </c>
      <c r="C2058">
        <v>16.329999999999998</v>
      </c>
      <c r="D2058">
        <v>32.6</v>
      </c>
      <c r="E2058">
        <v>38.69</v>
      </c>
      <c r="F2058">
        <v>7.5</v>
      </c>
      <c r="G2058">
        <v>35.14</v>
      </c>
      <c r="H2058">
        <v>8.93</v>
      </c>
      <c r="I2058">
        <v>32.49</v>
      </c>
    </row>
    <row r="2059" spans="1:9" x14ac:dyDescent="0.25">
      <c r="A2059" s="2">
        <v>44586</v>
      </c>
      <c r="B2059">
        <v>26.1</v>
      </c>
      <c r="C2059">
        <v>16.489999999999998</v>
      </c>
      <c r="D2059">
        <v>30.97</v>
      </c>
      <c r="E2059">
        <v>37.46</v>
      </c>
      <c r="F2059">
        <v>7.33</v>
      </c>
      <c r="G2059">
        <v>34.22</v>
      </c>
      <c r="H2059">
        <v>9.0399999999999991</v>
      </c>
      <c r="I2059">
        <v>30.6</v>
      </c>
    </row>
    <row r="2060" spans="1:9" x14ac:dyDescent="0.25">
      <c r="A2060" s="2">
        <v>44587</v>
      </c>
      <c r="B2060">
        <v>26.12</v>
      </c>
      <c r="C2060">
        <v>16.34</v>
      </c>
      <c r="D2060">
        <v>31.26</v>
      </c>
      <c r="E2060">
        <v>37.29</v>
      </c>
      <c r="F2060">
        <v>7.29</v>
      </c>
      <c r="G2060">
        <v>32.35</v>
      </c>
      <c r="H2060">
        <v>8.92</v>
      </c>
      <c r="I2060">
        <v>30.96</v>
      </c>
    </row>
    <row r="2061" spans="1:9" x14ac:dyDescent="0.25">
      <c r="A2061" s="2">
        <v>44588</v>
      </c>
      <c r="B2061">
        <v>25.88</v>
      </c>
      <c r="C2061">
        <v>16.170000000000002</v>
      </c>
      <c r="D2061">
        <v>31.46</v>
      </c>
      <c r="E2061">
        <v>37.6</v>
      </c>
      <c r="F2061">
        <v>7.36</v>
      </c>
      <c r="G2061">
        <v>32.47</v>
      </c>
      <c r="H2061">
        <v>8.84</v>
      </c>
      <c r="I2061">
        <v>31.84</v>
      </c>
    </row>
    <row r="2062" spans="1:9" x14ac:dyDescent="0.25">
      <c r="A2062" s="2">
        <v>44589</v>
      </c>
      <c r="B2062">
        <v>25.71</v>
      </c>
      <c r="C2062">
        <v>16.149999999999999</v>
      </c>
      <c r="D2062">
        <v>31.57</v>
      </c>
      <c r="E2062">
        <v>37.72</v>
      </c>
      <c r="F2062">
        <v>7.5</v>
      </c>
      <c r="G2062">
        <v>32.92</v>
      </c>
      <c r="H2062">
        <v>8.84</v>
      </c>
      <c r="I2062">
        <v>32</v>
      </c>
    </row>
    <row r="2063" spans="1:9" x14ac:dyDescent="0.25">
      <c r="A2063" s="2">
        <v>44592</v>
      </c>
      <c r="B2063">
        <v>25.57</v>
      </c>
      <c r="C2063">
        <v>16</v>
      </c>
      <c r="D2063">
        <v>31.25</v>
      </c>
      <c r="E2063">
        <v>37.71</v>
      </c>
      <c r="F2063">
        <v>7.32</v>
      </c>
      <c r="G2063">
        <v>33.1</v>
      </c>
      <c r="H2063">
        <v>8.8000000000000007</v>
      </c>
      <c r="I2063">
        <v>31.25</v>
      </c>
    </row>
    <row r="2064" spans="1:9" x14ac:dyDescent="0.25">
      <c r="A2064" s="2">
        <v>44593</v>
      </c>
      <c r="B2064">
        <v>26.56</v>
      </c>
      <c r="C2064">
        <v>15.82</v>
      </c>
      <c r="D2064">
        <v>32.159999999999997</v>
      </c>
      <c r="E2064">
        <v>38.549999999999997</v>
      </c>
      <c r="F2064">
        <v>7.12</v>
      </c>
      <c r="G2064">
        <v>32.520000000000003</v>
      </c>
      <c r="H2064">
        <v>8.64</v>
      </c>
      <c r="I2064">
        <v>32.07</v>
      </c>
    </row>
    <row r="2065" spans="1:9" x14ac:dyDescent="0.25">
      <c r="A2065" s="2">
        <v>44594</v>
      </c>
      <c r="B2065">
        <v>27.17</v>
      </c>
      <c r="C2065">
        <v>15.66</v>
      </c>
      <c r="D2065">
        <v>32.729999999999997</v>
      </c>
      <c r="E2065">
        <v>38.92</v>
      </c>
      <c r="F2065">
        <v>7</v>
      </c>
      <c r="G2065">
        <v>33.28</v>
      </c>
      <c r="H2065">
        <v>8.48</v>
      </c>
      <c r="I2065">
        <v>32.450000000000003</v>
      </c>
    </row>
    <row r="2066" spans="1:9" x14ac:dyDescent="0.25">
      <c r="A2066" s="2">
        <v>44595</v>
      </c>
      <c r="B2066">
        <v>27.64</v>
      </c>
      <c r="C2066">
        <v>15.69</v>
      </c>
      <c r="D2066">
        <v>32.85</v>
      </c>
      <c r="E2066">
        <v>39.21</v>
      </c>
      <c r="F2066">
        <v>7.08</v>
      </c>
      <c r="G2066">
        <v>34.04</v>
      </c>
      <c r="H2066">
        <v>8.4700000000000006</v>
      </c>
      <c r="I2066">
        <v>32.799999999999997</v>
      </c>
    </row>
    <row r="2067" spans="1:9" x14ac:dyDescent="0.25">
      <c r="A2067" s="2">
        <v>44596</v>
      </c>
      <c r="B2067">
        <v>27.38</v>
      </c>
      <c r="C2067">
        <v>15.54</v>
      </c>
      <c r="D2067">
        <v>32.32</v>
      </c>
      <c r="E2067">
        <v>37.770000000000003</v>
      </c>
      <c r="F2067">
        <v>6.48</v>
      </c>
      <c r="G2067">
        <v>34.369999999999997</v>
      </c>
      <c r="H2067">
        <v>8.5299999999999994</v>
      </c>
      <c r="I2067">
        <v>31.48</v>
      </c>
    </row>
    <row r="2068" spans="1:9" x14ac:dyDescent="0.25">
      <c r="A2068" s="2">
        <v>44599</v>
      </c>
      <c r="B2068">
        <v>25.87</v>
      </c>
      <c r="C2068">
        <v>14.84</v>
      </c>
      <c r="D2068">
        <v>30.38</v>
      </c>
      <c r="E2068">
        <v>36.79</v>
      </c>
      <c r="F2068">
        <v>5.71</v>
      </c>
      <c r="G2068">
        <v>33.44</v>
      </c>
      <c r="H2068">
        <v>8.09</v>
      </c>
      <c r="I2068">
        <v>30.36</v>
      </c>
    </row>
    <row r="2069" spans="1:9" x14ac:dyDescent="0.25">
      <c r="A2069" s="2">
        <v>44600</v>
      </c>
      <c r="B2069">
        <v>25.79</v>
      </c>
      <c r="C2069">
        <v>14.38</v>
      </c>
      <c r="D2069">
        <v>30.25</v>
      </c>
      <c r="E2069">
        <v>36.5</v>
      </c>
      <c r="F2069">
        <v>5.26</v>
      </c>
      <c r="G2069">
        <v>32</v>
      </c>
      <c r="H2069">
        <v>7.45</v>
      </c>
      <c r="I2069">
        <v>30.21</v>
      </c>
    </row>
    <row r="2070" spans="1:9" x14ac:dyDescent="0.25">
      <c r="A2070" s="2">
        <v>44601</v>
      </c>
      <c r="B2070">
        <v>25.7</v>
      </c>
      <c r="C2070">
        <v>14.22</v>
      </c>
      <c r="D2070">
        <v>30.08</v>
      </c>
      <c r="E2070">
        <v>36.51</v>
      </c>
      <c r="F2070">
        <v>5.13</v>
      </c>
      <c r="G2070">
        <v>32.07</v>
      </c>
      <c r="H2070">
        <v>7.14</v>
      </c>
      <c r="I2070">
        <v>30.06</v>
      </c>
    </row>
    <row r="2071" spans="1:9" x14ac:dyDescent="0.25">
      <c r="A2071" s="2">
        <v>44602</v>
      </c>
      <c r="B2071">
        <v>26.2</v>
      </c>
      <c r="C2071">
        <v>14.33</v>
      </c>
      <c r="D2071">
        <v>30.86</v>
      </c>
      <c r="E2071">
        <v>37.56</v>
      </c>
      <c r="F2071">
        <v>5.38</v>
      </c>
      <c r="G2071">
        <v>32.04</v>
      </c>
      <c r="H2071">
        <v>7.08</v>
      </c>
      <c r="I2071">
        <v>31.05</v>
      </c>
    </row>
    <row r="2072" spans="1:9" x14ac:dyDescent="0.25">
      <c r="A2072" s="2">
        <v>44603</v>
      </c>
      <c r="B2072">
        <v>26.51</v>
      </c>
      <c r="C2072">
        <v>14.22</v>
      </c>
      <c r="D2072">
        <v>31.24</v>
      </c>
      <c r="E2072">
        <v>36.99</v>
      </c>
      <c r="F2072">
        <v>5.0199999999999996</v>
      </c>
      <c r="G2072">
        <v>33.049999999999997</v>
      </c>
      <c r="H2072">
        <v>7.29</v>
      </c>
      <c r="I2072">
        <v>30.56</v>
      </c>
    </row>
    <row r="2073" spans="1:9" x14ac:dyDescent="0.25">
      <c r="A2073" s="2">
        <v>44606</v>
      </c>
      <c r="B2073">
        <v>25.64</v>
      </c>
      <c r="C2073">
        <v>13.91</v>
      </c>
      <c r="D2073">
        <v>30.28</v>
      </c>
      <c r="E2073">
        <v>36.340000000000003</v>
      </c>
      <c r="F2073">
        <v>4.79</v>
      </c>
      <c r="G2073">
        <v>33.090000000000003</v>
      </c>
      <c r="H2073">
        <v>7.04</v>
      </c>
      <c r="I2073">
        <v>29.92</v>
      </c>
    </row>
    <row r="2074" spans="1:9" x14ac:dyDescent="0.25">
      <c r="A2074" s="2">
        <v>44607</v>
      </c>
      <c r="B2074">
        <v>24.99</v>
      </c>
      <c r="C2074">
        <v>13.82</v>
      </c>
      <c r="D2074">
        <v>29.57</v>
      </c>
      <c r="E2074">
        <v>35.75</v>
      </c>
      <c r="F2074">
        <v>4.66</v>
      </c>
      <c r="G2074">
        <v>32.770000000000003</v>
      </c>
      <c r="H2074">
        <v>6.9</v>
      </c>
      <c r="I2074">
        <v>29.1</v>
      </c>
    </row>
    <row r="2075" spans="1:9" x14ac:dyDescent="0.25">
      <c r="A2075" s="2">
        <v>44608</v>
      </c>
      <c r="B2075">
        <v>25</v>
      </c>
      <c r="C2075">
        <v>13.52</v>
      </c>
      <c r="D2075">
        <v>29.91</v>
      </c>
      <c r="E2075">
        <v>36.159999999999997</v>
      </c>
      <c r="F2075">
        <v>4.6399999999999997</v>
      </c>
      <c r="G2075">
        <v>31.65</v>
      </c>
      <c r="H2075">
        <v>6.65</v>
      </c>
      <c r="I2075">
        <v>29.45</v>
      </c>
    </row>
    <row r="2076" spans="1:9" x14ac:dyDescent="0.25">
      <c r="A2076" s="2">
        <v>44609</v>
      </c>
      <c r="B2076">
        <v>25.47</v>
      </c>
      <c r="C2076">
        <v>13.49</v>
      </c>
      <c r="D2076">
        <v>29.98</v>
      </c>
      <c r="E2076">
        <v>36.479999999999997</v>
      </c>
      <c r="F2076">
        <v>4.75</v>
      </c>
      <c r="G2076">
        <v>32.11</v>
      </c>
      <c r="H2076">
        <v>6.6</v>
      </c>
      <c r="I2076">
        <v>29.53</v>
      </c>
    </row>
    <row r="2077" spans="1:9" x14ac:dyDescent="0.25">
      <c r="A2077" s="2">
        <v>44610</v>
      </c>
      <c r="B2077">
        <v>25.29</v>
      </c>
      <c r="C2077">
        <v>13.63</v>
      </c>
      <c r="D2077">
        <v>30.12</v>
      </c>
      <c r="E2077">
        <v>36</v>
      </c>
      <c r="F2077">
        <v>4.7699999999999996</v>
      </c>
      <c r="G2077">
        <v>32.46</v>
      </c>
      <c r="H2077">
        <v>6.75</v>
      </c>
      <c r="I2077">
        <v>29.39</v>
      </c>
    </row>
    <row r="2078" spans="1:9" x14ac:dyDescent="0.25">
      <c r="A2078" s="2">
        <v>44613</v>
      </c>
      <c r="B2078">
        <v>24.77</v>
      </c>
      <c r="C2078">
        <v>13.7</v>
      </c>
      <c r="D2078">
        <v>29.34</v>
      </c>
      <c r="E2078">
        <v>35.47</v>
      </c>
      <c r="F2078">
        <v>4.78</v>
      </c>
      <c r="G2078">
        <v>32.26</v>
      </c>
      <c r="H2078">
        <v>6.81</v>
      </c>
      <c r="I2078">
        <v>28.92</v>
      </c>
    </row>
    <row r="2079" spans="1:9" x14ac:dyDescent="0.25">
      <c r="A2079" s="2">
        <v>44614</v>
      </c>
      <c r="B2079">
        <v>24.32</v>
      </c>
      <c r="C2079">
        <v>13.67</v>
      </c>
      <c r="D2079">
        <v>28.87</v>
      </c>
      <c r="E2079">
        <v>35.020000000000003</v>
      </c>
      <c r="F2079">
        <v>4.58</v>
      </c>
      <c r="G2079">
        <v>31.58</v>
      </c>
      <c r="H2079">
        <v>6.86</v>
      </c>
      <c r="I2079">
        <v>28.22</v>
      </c>
    </row>
    <row r="2080" spans="1:9" x14ac:dyDescent="0.25">
      <c r="A2080" s="2">
        <v>44615</v>
      </c>
      <c r="B2080">
        <v>23.88</v>
      </c>
      <c r="C2080">
        <v>13.49</v>
      </c>
      <c r="D2080">
        <v>28.79</v>
      </c>
      <c r="E2080">
        <v>34.5</v>
      </c>
      <c r="F2080">
        <v>4.33</v>
      </c>
      <c r="G2080">
        <v>31.02</v>
      </c>
      <c r="H2080">
        <v>6.8</v>
      </c>
      <c r="I2080">
        <v>27.88</v>
      </c>
    </row>
    <row r="2081" spans="1:9" x14ac:dyDescent="0.25">
      <c r="A2081" s="2">
        <v>44616</v>
      </c>
      <c r="B2081">
        <v>23.27</v>
      </c>
      <c r="C2081">
        <v>13.22</v>
      </c>
      <c r="D2081">
        <v>28.15</v>
      </c>
      <c r="E2081">
        <v>33.83</v>
      </c>
      <c r="F2081">
        <v>3.99</v>
      </c>
      <c r="G2081">
        <v>30.62</v>
      </c>
      <c r="H2081">
        <v>6.42</v>
      </c>
      <c r="I2081">
        <v>27.53</v>
      </c>
    </row>
    <row r="2082" spans="1:9" x14ac:dyDescent="0.25">
      <c r="A2082" s="2">
        <v>44617</v>
      </c>
      <c r="B2082">
        <v>22.24</v>
      </c>
      <c r="C2082">
        <v>12.49</v>
      </c>
      <c r="D2082">
        <v>27.31</v>
      </c>
      <c r="E2082">
        <v>33.04</v>
      </c>
      <c r="F2082">
        <v>3.22</v>
      </c>
      <c r="G2082">
        <v>30.26</v>
      </c>
      <c r="H2082">
        <v>6.27</v>
      </c>
      <c r="I2082">
        <v>26.12</v>
      </c>
    </row>
    <row r="2083" spans="1:9" x14ac:dyDescent="0.25">
      <c r="A2083" s="2">
        <v>44620</v>
      </c>
      <c r="B2083">
        <v>22.67</v>
      </c>
      <c r="C2083">
        <v>12.02</v>
      </c>
      <c r="D2083">
        <v>29.01</v>
      </c>
      <c r="E2083">
        <v>34.39</v>
      </c>
      <c r="F2083">
        <v>3.68</v>
      </c>
      <c r="G2083">
        <v>28.32</v>
      </c>
      <c r="H2083">
        <v>5.67</v>
      </c>
      <c r="I2083">
        <v>27.64</v>
      </c>
    </row>
    <row r="2084" spans="1:9" x14ac:dyDescent="0.25">
      <c r="A2084" s="2">
        <v>44621</v>
      </c>
      <c r="B2084">
        <v>23.16</v>
      </c>
      <c r="C2084">
        <v>12.05</v>
      </c>
      <c r="D2084">
        <v>29.4</v>
      </c>
      <c r="E2084">
        <v>34.49</v>
      </c>
      <c r="F2084">
        <v>3.38</v>
      </c>
      <c r="G2084">
        <v>30.1</v>
      </c>
      <c r="H2084">
        <v>5.83</v>
      </c>
      <c r="I2084">
        <v>27.56</v>
      </c>
    </row>
    <row r="2085" spans="1:9" x14ac:dyDescent="0.25">
      <c r="A2085" s="2">
        <v>44622</v>
      </c>
      <c r="B2085">
        <v>23.29</v>
      </c>
      <c r="C2085">
        <v>12.23</v>
      </c>
      <c r="D2085">
        <v>29.58</v>
      </c>
      <c r="E2085">
        <v>34.65</v>
      </c>
      <c r="F2085">
        <v>3.73</v>
      </c>
      <c r="G2085">
        <v>29.84</v>
      </c>
      <c r="H2085">
        <v>5.46</v>
      </c>
      <c r="I2085">
        <v>28</v>
      </c>
    </row>
    <row r="2086" spans="1:9" x14ac:dyDescent="0.25">
      <c r="A2086" s="2">
        <v>44623</v>
      </c>
      <c r="B2086">
        <v>22.96</v>
      </c>
      <c r="C2086">
        <v>11.94</v>
      </c>
      <c r="D2086">
        <v>30.27</v>
      </c>
      <c r="E2086">
        <v>34.79</v>
      </c>
      <c r="F2086">
        <v>3.49</v>
      </c>
      <c r="G2086">
        <v>29.47</v>
      </c>
      <c r="H2086">
        <v>5.58</v>
      </c>
      <c r="I2086">
        <v>27.87</v>
      </c>
    </row>
    <row r="2087" spans="1:9" x14ac:dyDescent="0.25">
      <c r="A2087" s="2">
        <v>44624</v>
      </c>
      <c r="B2087">
        <v>22.98</v>
      </c>
      <c r="C2087">
        <v>11.57</v>
      </c>
      <c r="D2087">
        <v>30.53</v>
      </c>
      <c r="E2087">
        <v>34.65</v>
      </c>
      <c r="F2087">
        <v>3.25</v>
      </c>
      <c r="G2087">
        <v>29.15</v>
      </c>
      <c r="H2087">
        <v>5.07</v>
      </c>
      <c r="I2087">
        <v>27.94</v>
      </c>
    </row>
    <row r="2088" spans="1:9" x14ac:dyDescent="0.25">
      <c r="A2088" s="2">
        <v>44627</v>
      </c>
      <c r="B2088">
        <v>22.47</v>
      </c>
      <c r="C2088">
        <v>11.55</v>
      </c>
      <c r="D2088">
        <v>30.16</v>
      </c>
      <c r="E2088">
        <v>34.11</v>
      </c>
      <c r="F2088">
        <v>3.08</v>
      </c>
      <c r="G2088">
        <v>29.28</v>
      </c>
      <c r="H2088">
        <v>5.15</v>
      </c>
      <c r="I2088">
        <v>27.44</v>
      </c>
    </row>
    <row r="2089" spans="1:9" x14ac:dyDescent="0.25">
      <c r="A2089" s="2">
        <v>44628</v>
      </c>
      <c r="B2089">
        <v>21.51</v>
      </c>
      <c r="C2089">
        <v>11.07</v>
      </c>
      <c r="D2089">
        <v>30.36</v>
      </c>
      <c r="E2089">
        <v>32.950000000000003</v>
      </c>
      <c r="F2089">
        <v>2.48</v>
      </c>
      <c r="G2089">
        <v>28.08</v>
      </c>
      <c r="H2089">
        <v>5.0599999999999996</v>
      </c>
      <c r="I2089">
        <v>26.68</v>
      </c>
    </row>
    <row r="2090" spans="1:9" x14ac:dyDescent="0.25">
      <c r="A2090" s="2">
        <v>44629</v>
      </c>
      <c r="B2090">
        <v>20.07</v>
      </c>
      <c r="C2090">
        <v>10.42</v>
      </c>
      <c r="D2090">
        <v>28.78</v>
      </c>
      <c r="E2090">
        <v>32.03</v>
      </c>
      <c r="F2090">
        <v>2.11</v>
      </c>
      <c r="G2090">
        <v>27.06</v>
      </c>
      <c r="H2090">
        <v>4.4400000000000004</v>
      </c>
      <c r="I2090">
        <v>25.53</v>
      </c>
    </row>
    <row r="2091" spans="1:9" x14ac:dyDescent="0.25">
      <c r="A2091" s="2">
        <v>44630</v>
      </c>
      <c r="B2091">
        <v>20.059999999999999</v>
      </c>
      <c r="C2091">
        <v>9.94</v>
      </c>
      <c r="D2091">
        <v>28.72</v>
      </c>
      <c r="E2091">
        <v>32.46</v>
      </c>
      <c r="F2091">
        <v>2.0299999999999998</v>
      </c>
      <c r="G2091">
        <v>25.87</v>
      </c>
      <c r="H2091">
        <v>4.01</v>
      </c>
      <c r="I2091">
        <v>26.14</v>
      </c>
    </row>
    <row r="2092" spans="1:9" x14ac:dyDescent="0.25">
      <c r="A2092" s="2">
        <v>44631</v>
      </c>
      <c r="B2092">
        <v>20.260000000000002</v>
      </c>
      <c r="C2092">
        <v>9.69</v>
      </c>
      <c r="D2092">
        <v>28.17</v>
      </c>
      <c r="E2092">
        <v>32.18</v>
      </c>
      <c r="F2092">
        <v>1.75</v>
      </c>
      <c r="G2092">
        <v>26.73</v>
      </c>
      <c r="H2092">
        <v>3.92</v>
      </c>
      <c r="I2092">
        <v>25.64</v>
      </c>
    </row>
    <row r="2093" spans="1:9" x14ac:dyDescent="0.25">
      <c r="A2093" s="2">
        <v>44634</v>
      </c>
      <c r="B2093">
        <v>20.23</v>
      </c>
      <c r="C2093">
        <v>9.5500000000000007</v>
      </c>
      <c r="D2093">
        <v>28.45</v>
      </c>
      <c r="E2093">
        <v>32.29</v>
      </c>
      <c r="F2093">
        <v>1.9</v>
      </c>
      <c r="G2093">
        <v>26.51</v>
      </c>
      <c r="H2093">
        <v>3.7</v>
      </c>
      <c r="I2093">
        <v>26.3</v>
      </c>
    </row>
    <row r="2094" spans="1:9" x14ac:dyDescent="0.25">
      <c r="A2094" s="2">
        <v>44635</v>
      </c>
      <c r="B2094">
        <v>19.62</v>
      </c>
      <c r="C2094">
        <v>9.31</v>
      </c>
      <c r="D2094">
        <v>27.97</v>
      </c>
      <c r="E2094">
        <v>31.37</v>
      </c>
      <c r="F2094">
        <v>1.47</v>
      </c>
      <c r="G2094">
        <v>26.73</v>
      </c>
      <c r="H2094">
        <v>3.69</v>
      </c>
      <c r="I2094">
        <v>25.68</v>
      </c>
    </row>
    <row r="2095" spans="1:9" x14ac:dyDescent="0.25">
      <c r="A2095" s="2">
        <v>44636</v>
      </c>
      <c r="B2095">
        <v>19.46</v>
      </c>
      <c r="C2095">
        <v>9.01</v>
      </c>
      <c r="D2095">
        <v>27.68</v>
      </c>
      <c r="E2095">
        <v>31.41</v>
      </c>
      <c r="F2095">
        <v>1.51</v>
      </c>
      <c r="G2095">
        <v>26.34</v>
      </c>
      <c r="H2095">
        <v>3.37</v>
      </c>
      <c r="I2095">
        <v>25.91</v>
      </c>
    </row>
    <row r="2096" spans="1:9" x14ac:dyDescent="0.25">
      <c r="A2096" s="2">
        <v>44637</v>
      </c>
      <c r="B2096">
        <v>20.22</v>
      </c>
      <c r="C2096">
        <v>8.92</v>
      </c>
      <c r="D2096">
        <v>28.82</v>
      </c>
      <c r="E2096">
        <v>33.01</v>
      </c>
      <c r="F2096">
        <v>1.81</v>
      </c>
      <c r="G2096">
        <v>26.11</v>
      </c>
      <c r="H2096">
        <v>3.32</v>
      </c>
      <c r="I2096">
        <v>27.29</v>
      </c>
    </row>
    <row r="2097" spans="1:9" x14ac:dyDescent="0.25">
      <c r="A2097" s="2">
        <v>44638</v>
      </c>
      <c r="B2097">
        <v>21.3</v>
      </c>
      <c r="C2097">
        <v>9.19</v>
      </c>
      <c r="D2097">
        <v>29.64</v>
      </c>
      <c r="E2097">
        <v>33.68</v>
      </c>
      <c r="F2097">
        <v>2.09</v>
      </c>
      <c r="G2097">
        <v>27.71</v>
      </c>
      <c r="H2097">
        <v>3.6</v>
      </c>
      <c r="I2097">
        <v>27.72</v>
      </c>
    </row>
    <row r="2098" spans="1:9" x14ac:dyDescent="0.25">
      <c r="A2098" s="2">
        <v>44641</v>
      </c>
      <c r="B2098">
        <v>22.13</v>
      </c>
      <c r="C2098">
        <v>9.56</v>
      </c>
      <c r="D2098">
        <v>30.19</v>
      </c>
      <c r="E2098">
        <v>34.39</v>
      </c>
      <c r="F2098">
        <v>2.31</v>
      </c>
      <c r="G2098">
        <v>28.27</v>
      </c>
      <c r="H2098">
        <v>3.79</v>
      </c>
      <c r="I2098">
        <v>28.61</v>
      </c>
    </row>
    <row r="2099" spans="1:9" x14ac:dyDescent="0.25">
      <c r="A2099" s="2">
        <v>44642</v>
      </c>
      <c r="B2099">
        <v>22.48</v>
      </c>
      <c r="C2099">
        <v>9.6300000000000008</v>
      </c>
      <c r="D2099">
        <v>30.9</v>
      </c>
      <c r="E2099">
        <v>34.520000000000003</v>
      </c>
      <c r="F2099">
        <v>2.0699999999999998</v>
      </c>
      <c r="G2099">
        <v>28.87</v>
      </c>
      <c r="H2099">
        <v>3.98</v>
      </c>
      <c r="I2099">
        <v>28.61</v>
      </c>
    </row>
    <row r="2100" spans="1:9" x14ac:dyDescent="0.25">
      <c r="A2100" s="2">
        <v>44643</v>
      </c>
      <c r="B2100">
        <v>22.31</v>
      </c>
      <c r="C2100">
        <v>9.2899999999999991</v>
      </c>
      <c r="D2100">
        <v>30.92</v>
      </c>
      <c r="E2100">
        <v>34.71</v>
      </c>
      <c r="F2100">
        <v>1.7</v>
      </c>
      <c r="G2100">
        <v>29.44</v>
      </c>
      <c r="H2100">
        <v>3.81</v>
      </c>
      <c r="I2100">
        <v>29.03</v>
      </c>
    </row>
    <row r="2101" spans="1:9" x14ac:dyDescent="0.25">
      <c r="A2101" s="2">
        <v>44644</v>
      </c>
      <c r="B2101">
        <v>22.32</v>
      </c>
      <c r="C2101">
        <v>9.0399999999999991</v>
      </c>
      <c r="D2101">
        <v>31.27</v>
      </c>
      <c r="E2101">
        <v>34.68</v>
      </c>
      <c r="F2101">
        <v>1.76</v>
      </c>
      <c r="G2101">
        <v>29.74</v>
      </c>
      <c r="H2101">
        <v>3.59</v>
      </c>
      <c r="I2101">
        <v>28.91</v>
      </c>
    </row>
    <row r="2102" spans="1:9" x14ac:dyDescent="0.25">
      <c r="A2102" s="2">
        <v>44645</v>
      </c>
      <c r="B2102">
        <v>22.27</v>
      </c>
      <c r="C2102">
        <v>9.14</v>
      </c>
      <c r="D2102">
        <v>31.16</v>
      </c>
      <c r="E2102">
        <v>34.619999999999997</v>
      </c>
      <c r="F2102">
        <v>1.72</v>
      </c>
      <c r="G2102">
        <v>29.75</v>
      </c>
      <c r="H2102">
        <v>3.72</v>
      </c>
      <c r="I2102">
        <v>28.7</v>
      </c>
    </row>
    <row r="2103" spans="1:9" x14ac:dyDescent="0.25">
      <c r="A2103" s="2">
        <v>44648</v>
      </c>
      <c r="B2103">
        <v>22.15</v>
      </c>
      <c r="C2103">
        <v>8.84</v>
      </c>
      <c r="D2103">
        <v>31.5</v>
      </c>
      <c r="E2103">
        <v>34.700000000000003</v>
      </c>
      <c r="F2103">
        <v>1.57</v>
      </c>
      <c r="G2103">
        <v>29.51</v>
      </c>
      <c r="H2103">
        <v>3.54</v>
      </c>
      <c r="I2103">
        <v>28.85</v>
      </c>
    </row>
    <row r="2104" spans="1:9" x14ac:dyDescent="0.25">
      <c r="A2104" s="2">
        <v>44649</v>
      </c>
      <c r="B2104">
        <v>22.38</v>
      </c>
      <c r="C2104">
        <v>8.74</v>
      </c>
      <c r="D2104">
        <v>31.7</v>
      </c>
      <c r="E2104">
        <v>34.99</v>
      </c>
      <c r="F2104">
        <v>1.69</v>
      </c>
      <c r="G2104">
        <v>29.72</v>
      </c>
      <c r="H2104">
        <v>3.46</v>
      </c>
      <c r="I2104">
        <v>28.98</v>
      </c>
    </row>
    <row r="2105" spans="1:9" x14ac:dyDescent="0.25">
      <c r="A2105" s="2">
        <v>44650</v>
      </c>
      <c r="B2105">
        <v>22.9</v>
      </c>
      <c r="C2105">
        <v>8.69</v>
      </c>
      <c r="D2105">
        <v>32.14</v>
      </c>
      <c r="E2105">
        <v>35.369999999999997</v>
      </c>
      <c r="F2105">
        <v>1.78</v>
      </c>
      <c r="G2105">
        <v>29.87</v>
      </c>
      <c r="H2105">
        <v>3.41</v>
      </c>
      <c r="I2105">
        <v>29.57</v>
      </c>
    </row>
    <row r="2106" spans="1:9" x14ac:dyDescent="0.25">
      <c r="A2106" s="2">
        <v>44651</v>
      </c>
      <c r="B2106">
        <v>23.23</v>
      </c>
      <c r="C2106">
        <v>9.0500000000000007</v>
      </c>
      <c r="D2106">
        <v>31.9</v>
      </c>
      <c r="E2106">
        <v>35.14</v>
      </c>
      <c r="F2106">
        <v>1.74</v>
      </c>
      <c r="G2106">
        <v>30.56</v>
      </c>
      <c r="H2106">
        <v>3.56</v>
      </c>
      <c r="I2106">
        <v>29.27</v>
      </c>
    </row>
    <row r="2107" spans="1:9" x14ac:dyDescent="0.25">
      <c r="A2107" s="2">
        <v>44652</v>
      </c>
      <c r="B2107">
        <v>23.19</v>
      </c>
      <c r="C2107">
        <v>9.4</v>
      </c>
      <c r="D2107">
        <v>31.58</v>
      </c>
      <c r="E2107">
        <v>35.04</v>
      </c>
      <c r="F2107">
        <v>2.06</v>
      </c>
      <c r="G2107">
        <v>30.53</v>
      </c>
      <c r="H2107">
        <v>3.62</v>
      </c>
      <c r="I2107">
        <v>29.46</v>
      </c>
    </row>
    <row r="2108" spans="1:9" x14ac:dyDescent="0.25">
      <c r="A2108" s="2">
        <v>44655</v>
      </c>
      <c r="B2108">
        <v>22.73</v>
      </c>
      <c r="C2108">
        <v>9.4600000000000009</v>
      </c>
      <c r="D2108">
        <v>31.34</v>
      </c>
      <c r="E2108">
        <v>35.08</v>
      </c>
      <c r="F2108">
        <v>2.0699999999999998</v>
      </c>
      <c r="G2108">
        <v>30.36</v>
      </c>
      <c r="H2108">
        <v>3.87</v>
      </c>
      <c r="I2108">
        <v>29.18</v>
      </c>
    </row>
    <row r="2109" spans="1:9" x14ac:dyDescent="0.25">
      <c r="A2109" s="2">
        <v>44656</v>
      </c>
      <c r="B2109">
        <v>23.04</v>
      </c>
      <c r="C2109">
        <v>9.4</v>
      </c>
      <c r="D2109">
        <v>31.96</v>
      </c>
      <c r="E2109">
        <v>35.97</v>
      </c>
      <c r="F2109">
        <v>2.31</v>
      </c>
      <c r="G2109">
        <v>30.21</v>
      </c>
      <c r="H2109">
        <v>3.91</v>
      </c>
      <c r="I2109">
        <v>29.82</v>
      </c>
    </row>
    <row r="2110" spans="1:9" x14ac:dyDescent="0.25">
      <c r="A2110" s="2">
        <v>44657</v>
      </c>
      <c r="B2110">
        <v>23.1</v>
      </c>
      <c r="C2110">
        <v>9.36</v>
      </c>
      <c r="D2110">
        <v>32.58</v>
      </c>
      <c r="E2110">
        <v>35.83</v>
      </c>
      <c r="F2110">
        <v>1.97</v>
      </c>
      <c r="G2110">
        <v>30.93</v>
      </c>
      <c r="H2110">
        <v>4.07</v>
      </c>
      <c r="I2110">
        <v>29.66</v>
      </c>
    </row>
    <row r="2111" spans="1:9" x14ac:dyDescent="0.25">
      <c r="A2111" s="2">
        <v>44658</v>
      </c>
      <c r="B2111">
        <v>22.48</v>
      </c>
      <c r="C2111">
        <v>9.1</v>
      </c>
      <c r="D2111">
        <v>31.69</v>
      </c>
      <c r="E2111">
        <v>34.869999999999997</v>
      </c>
      <c r="F2111">
        <v>1.51</v>
      </c>
      <c r="G2111">
        <v>31.08</v>
      </c>
      <c r="H2111">
        <v>3.71</v>
      </c>
      <c r="I2111">
        <v>28.45</v>
      </c>
    </row>
    <row r="2112" spans="1:9" x14ac:dyDescent="0.25">
      <c r="A2112" s="2">
        <v>44659</v>
      </c>
      <c r="B2112">
        <v>21.84</v>
      </c>
      <c r="C2112">
        <v>8.6199999999999992</v>
      </c>
      <c r="D2112">
        <v>31.18</v>
      </c>
      <c r="E2112">
        <v>34.619999999999997</v>
      </c>
      <c r="F2112">
        <v>1.39</v>
      </c>
      <c r="G2112">
        <v>30.01</v>
      </c>
      <c r="H2112">
        <v>3.46</v>
      </c>
      <c r="I2112">
        <v>28.21</v>
      </c>
    </row>
    <row r="2113" spans="1:9" x14ac:dyDescent="0.25">
      <c r="A2113" s="2">
        <v>44662</v>
      </c>
      <c r="B2113">
        <v>21.92</v>
      </c>
      <c r="C2113">
        <v>8.5299999999999994</v>
      </c>
      <c r="D2113">
        <v>31.4</v>
      </c>
      <c r="E2113">
        <v>34.74</v>
      </c>
      <c r="F2113">
        <v>1.2</v>
      </c>
      <c r="G2113">
        <v>29.58</v>
      </c>
      <c r="H2113">
        <v>3.28</v>
      </c>
      <c r="I2113">
        <v>28.56</v>
      </c>
    </row>
    <row r="2114" spans="1:9" x14ac:dyDescent="0.25">
      <c r="A2114" s="2">
        <v>44663</v>
      </c>
      <c r="B2114">
        <v>21.36</v>
      </c>
      <c r="C2114">
        <v>8.1</v>
      </c>
      <c r="D2114">
        <v>31.01</v>
      </c>
      <c r="E2114">
        <v>33.64</v>
      </c>
      <c r="F2114">
        <v>0.62</v>
      </c>
      <c r="G2114">
        <v>29.81</v>
      </c>
      <c r="H2114">
        <v>3.06</v>
      </c>
      <c r="I2114">
        <v>27.54</v>
      </c>
    </row>
    <row r="2115" spans="1:9" x14ac:dyDescent="0.25">
      <c r="A2115" s="2">
        <v>44664</v>
      </c>
      <c r="B2115">
        <v>20.57</v>
      </c>
      <c r="C2115">
        <v>7.82</v>
      </c>
      <c r="D2115">
        <v>30.16</v>
      </c>
      <c r="E2115">
        <v>33.479999999999997</v>
      </c>
      <c r="F2115">
        <v>0.61</v>
      </c>
      <c r="G2115">
        <v>28.91</v>
      </c>
      <c r="H2115">
        <v>2.63</v>
      </c>
      <c r="I2115">
        <v>27.59</v>
      </c>
    </row>
    <row r="2116" spans="1:9" x14ac:dyDescent="0.25">
      <c r="A2116" s="2">
        <v>44665</v>
      </c>
      <c r="B2116">
        <v>20.71</v>
      </c>
      <c r="C2116">
        <v>7.92</v>
      </c>
      <c r="D2116">
        <v>30.09</v>
      </c>
      <c r="E2116">
        <v>33.65</v>
      </c>
      <c r="F2116">
        <v>0.61</v>
      </c>
      <c r="G2116">
        <v>28.63</v>
      </c>
      <c r="H2116">
        <v>2.58</v>
      </c>
      <c r="I2116">
        <v>27.46</v>
      </c>
    </row>
    <row r="2117" spans="1:9" x14ac:dyDescent="0.25">
      <c r="A2117" s="2">
        <v>44670</v>
      </c>
      <c r="B2117">
        <v>20.83</v>
      </c>
      <c r="C2117">
        <v>7.83</v>
      </c>
      <c r="D2117">
        <v>30.77</v>
      </c>
      <c r="E2117">
        <v>33.659999999999997</v>
      </c>
      <c r="F2117">
        <v>0.47</v>
      </c>
      <c r="G2117">
        <v>28.72</v>
      </c>
      <c r="H2117">
        <v>2.72</v>
      </c>
      <c r="I2117">
        <v>27.46</v>
      </c>
    </row>
    <row r="2118" spans="1:9" x14ac:dyDescent="0.25">
      <c r="A2118" s="2">
        <v>44671</v>
      </c>
      <c r="B2118">
        <v>20.5</v>
      </c>
      <c r="C2118">
        <v>7.52</v>
      </c>
      <c r="D2118">
        <v>30.38</v>
      </c>
      <c r="E2118">
        <v>33.33</v>
      </c>
      <c r="F2118">
        <v>0.06</v>
      </c>
      <c r="G2118">
        <v>28.93</v>
      </c>
      <c r="H2118">
        <v>2.5</v>
      </c>
      <c r="I2118">
        <v>26.93</v>
      </c>
    </row>
    <row r="2119" spans="1:9" x14ac:dyDescent="0.25">
      <c r="A2119" s="2">
        <v>44672</v>
      </c>
      <c r="B2119">
        <v>20.71</v>
      </c>
      <c r="C2119">
        <v>7.13</v>
      </c>
      <c r="D2119">
        <v>30.52</v>
      </c>
      <c r="E2119">
        <v>33.44</v>
      </c>
      <c r="F2119">
        <v>0.06</v>
      </c>
      <c r="G2119">
        <v>28.46</v>
      </c>
      <c r="H2119">
        <v>2.13</v>
      </c>
      <c r="I2119">
        <v>27.28</v>
      </c>
    </row>
    <row r="2120" spans="1:9" x14ac:dyDescent="0.25">
      <c r="A2120" s="2">
        <v>44673</v>
      </c>
      <c r="B2120">
        <v>20.6</v>
      </c>
      <c r="C2120">
        <v>7.08</v>
      </c>
      <c r="D2120">
        <v>30.48</v>
      </c>
      <c r="E2120">
        <v>32.96</v>
      </c>
      <c r="F2120">
        <v>-0.13</v>
      </c>
      <c r="G2120">
        <v>28.81</v>
      </c>
      <c r="H2120">
        <v>2.23</v>
      </c>
      <c r="I2120">
        <v>26.96</v>
      </c>
    </row>
    <row r="2121" spans="1:9" x14ac:dyDescent="0.25">
      <c r="A2121" s="2">
        <v>44676</v>
      </c>
      <c r="B2121">
        <v>19.670000000000002</v>
      </c>
      <c r="C2121">
        <v>6.93</v>
      </c>
      <c r="D2121">
        <v>29.29</v>
      </c>
      <c r="E2121">
        <v>31.88</v>
      </c>
      <c r="F2121">
        <v>-0.43</v>
      </c>
      <c r="G2121">
        <v>28.57</v>
      </c>
      <c r="H2121">
        <v>1.98</v>
      </c>
      <c r="I2121">
        <v>25.86</v>
      </c>
    </row>
    <row r="2122" spans="1:9" x14ac:dyDescent="0.25">
      <c r="A2122" s="2">
        <v>44677</v>
      </c>
      <c r="B2122">
        <v>18.88</v>
      </c>
      <c r="C2122">
        <v>6.84</v>
      </c>
      <c r="D2122">
        <v>28.15</v>
      </c>
      <c r="E2122">
        <v>31.33</v>
      </c>
      <c r="F2122">
        <v>-0.33</v>
      </c>
      <c r="G2122">
        <v>27.45</v>
      </c>
      <c r="H2122">
        <v>1.66</v>
      </c>
      <c r="I2122">
        <v>25.31</v>
      </c>
    </row>
    <row r="2123" spans="1:9" x14ac:dyDescent="0.25">
      <c r="A2123" s="2">
        <v>44678</v>
      </c>
      <c r="B2123">
        <v>18.96</v>
      </c>
      <c r="C2123">
        <v>7</v>
      </c>
      <c r="D2123">
        <v>28.64</v>
      </c>
      <c r="E2123">
        <v>31.28</v>
      </c>
      <c r="F2123">
        <v>-0.17</v>
      </c>
      <c r="G2123">
        <v>26.44</v>
      </c>
      <c r="H2123">
        <v>1.67</v>
      </c>
      <c r="I2123">
        <v>25.39</v>
      </c>
    </row>
    <row r="2124" spans="1:9" x14ac:dyDescent="0.25">
      <c r="A2124" s="2">
        <v>44679</v>
      </c>
      <c r="B2124">
        <v>18.3</v>
      </c>
      <c r="C2124">
        <v>6.91</v>
      </c>
      <c r="D2124">
        <v>28.24</v>
      </c>
      <c r="E2124">
        <v>31.39</v>
      </c>
      <c r="F2124">
        <v>-0.28000000000000003</v>
      </c>
      <c r="G2124">
        <v>26.47</v>
      </c>
      <c r="H2124">
        <v>1.78</v>
      </c>
      <c r="I2124">
        <v>25.61</v>
      </c>
    </row>
    <row r="2125" spans="1:9" x14ac:dyDescent="0.25">
      <c r="A2125" s="2">
        <v>44680</v>
      </c>
      <c r="B2125">
        <v>18.72</v>
      </c>
      <c r="C2125">
        <v>6.71</v>
      </c>
      <c r="D2125">
        <v>28.72</v>
      </c>
      <c r="E2125">
        <v>31.87</v>
      </c>
      <c r="F2125">
        <v>-0.54</v>
      </c>
      <c r="G2125">
        <v>26.09</v>
      </c>
      <c r="H2125">
        <v>1.61</v>
      </c>
      <c r="I2125">
        <v>25.34</v>
      </c>
    </row>
    <row r="2126" spans="1:9" x14ac:dyDescent="0.25">
      <c r="A2126" s="2">
        <v>44683</v>
      </c>
      <c r="B2126">
        <v>18.8</v>
      </c>
      <c r="C2126">
        <v>6.35</v>
      </c>
      <c r="D2126">
        <v>29.35</v>
      </c>
      <c r="E2126">
        <v>31.71</v>
      </c>
      <c r="F2126">
        <v>-0.94</v>
      </c>
      <c r="G2126">
        <v>26.6</v>
      </c>
      <c r="H2126">
        <v>1.3</v>
      </c>
      <c r="I2126">
        <v>25.38</v>
      </c>
    </row>
    <row r="2127" spans="1:9" x14ac:dyDescent="0.25">
      <c r="A2127" s="2">
        <v>44684</v>
      </c>
      <c r="B2127">
        <v>17.46</v>
      </c>
      <c r="C2127">
        <v>6.09</v>
      </c>
      <c r="D2127">
        <v>28.84</v>
      </c>
      <c r="E2127">
        <v>31.04</v>
      </c>
      <c r="F2127">
        <v>-1.1399999999999999</v>
      </c>
      <c r="G2127">
        <v>27.01</v>
      </c>
      <c r="H2127">
        <v>1.1299999999999999</v>
      </c>
      <c r="I2127">
        <v>24.36</v>
      </c>
    </row>
    <row r="2128" spans="1:9" x14ac:dyDescent="0.25">
      <c r="A2128" s="2">
        <v>44686</v>
      </c>
      <c r="B2128">
        <v>17.53</v>
      </c>
      <c r="C2128">
        <v>5.76</v>
      </c>
      <c r="D2128">
        <v>27.75</v>
      </c>
      <c r="E2128">
        <v>30.95</v>
      </c>
      <c r="F2128">
        <v>-1.31</v>
      </c>
      <c r="G2128">
        <v>25.99</v>
      </c>
      <c r="H2128">
        <v>0.95</v>
      </c>
      <c r="I2128">
        <v>24.73</v>
      </c>
    </row>
    <row r="2129" spans="1:9" x14ac:dyDescent="0.25">
      <c r="A2129" s="2">
        <v>44687</v>
      </c>
      <c r="B2129">
        <v>17.760000000000002</v>
      </c>
      <c r="C2129">
        <v>5.58</v>
      </c>
      <c r="D2129">
        <v>28.43</v>
      </c>
      <c r="E2129">
        <v>30.48</v>
      </c>
      <c r="F2129">
        <v>-1.59</v>
      </c>
      <c r="G2129">
        <v>25.94</v>
      </c>
      <c r="H2129">
        <v>0.85</v>
      </c>
      <c r="I2129">
        <v>24.12</v>
      </c>
    </row>
    <row r="2130" spans="1:9" x14ac:dyDescent="0.25">
      <c r="A2130" s="2">
        <v>44690</v>
      </c>
      <c r="B2130">
        <v>16.440000000000001</v>
      </c>
      <c r="C2130">
        <v>5.1100000000000003</v>
      </c>
      <c r="D2130">
        <v>26.74</v>
      </c>
      <c r="E2130">
        <v>28.95</v>
      </c>
      <c r="F2130">
        <v>-2.2599999999999998</v>
      </c>
      <c r="G2130">
        <v>26.07</v>
      </c>
      <c r="H2130">
        <v>0.68</v>
      </c>
      <c r="I2130">
        <v>22.68</v>
      </c>
    </row>
    <row r="2131" spans="1:9" x14ac:dyDescent="0.25">
      <c r="A2131" s="2">
        <v>44691</v>
      </c>
      <c r="B2131">
        <v>15.55</v>
      </c>
      <c r="C2131">
        <v>4.7300000000000004</v>
      </c>
      <c r="D2131">
        <v>25.39</v>
      </c>
      <c r="E2131">
        <v>27.64</v>
      </c>
      <c r="F2131">
        <v>-2.57</v>
      </c>
      <c r="G2131">
        <v>24.33</v>
      </c>
      <c r="H2131">
        <v>0.09</v>
      </c>
      <c r="I2131">
        <v>21.64</v>
      </c>
    </row>
    <row r="2132" spans="1:9" x14ac:dyDescent="0.25">
      <c r="A2132" s="2">
        <v>44692</v>
      </c>
      <c r="B2132">
        <v>15.39</v>
      </c>
      <c r="C2132">
        <v>4.78</v>
      </c>
      <c r="D2132">
        <v>24.65</v>
      </c>
      <c r="E2132">
        <v>27.56</v>
      </c>
      <c r="F2132">
        <v>-2.48</v>
      </c>
      <c r="G2132">
        <v>23.08</v>
      </c>
      <c r="H2132">
        <v>-0.17</v>
      </c>
      <c r="I2132">
        <v>21.64</v>
      </c>
    </row>
    <row r="2133" spans="1:9" x14ac:dyDescent="0.25">
      <c r="A2133" s="2">
        <v>44693</v>
      </c>
      <c r="B2133">
        <v>14.89</v>
      </c>
      <c r="C2133">
        <v>4.9000000000000004</v>
      </c>
      <c r="D2133">
        <v>25</v>
      </c>
      <c r="E2133">
        <v>27.89</v>
      </c>
      <c r="F2133">
        <v>-2.21</v>
      </c>
      <c r="G2133">
        <v>22.7</v>
      </c>
      <c r="H2133">
        <v>-0.05</v>
      </c>
      <c r="I2133">
        <v>22.17</v>
      </c>
    </row>
    <row r="2134" spans="1:9" x14ac:dyDescent="0.25">
      <c r="A2134" s="2">
        <v>44694</v>
      </c>
      <c r="B2134">
        <v>14.66</v>
      </c>
      <c r="C2134">
        <v>5.18</v>
      </c>
      <c r="D2134">
        <v>24.62</v>
      </c>
      <c r="E2134">
        <v>28.11</v>
      </c>
      <c r="F2134">
        <v>-1.76</v>
      </c>
      <c r="G2134">
        <v>22.86</v>
      </c>
      <c r="H2134">
        <v>0.08</v>
      </c>
      <c r="I2134">
        <v>22.15</v>
      </c>
    </row>
    <row r="2135" spans="1:9" x14ac:dyDescent="0.25">
      <c r="A2135" s="2">
        <v>44697</v>
      </c>
      <c r="B2135">
        <v>15.15</v>
      </c>
      <c r="C2135">
        <v>5.27</v>
      </c>
      <c r="D2135">
        <v>25.77</v>
      </c>
      <c r="E2135">
        <v>29.06</v>
      </c>
      <c r="F2135">
        <v>-1.75</v>
      </c>
      <c r="G2135">
        <v>22.57</v>
      </c>
      <c r="H2135">
        <v>0.36</v>
      </c>
      <c r="I2135">
        <v>23.13</v>
      </c>
    </row>
    <row r="2136" spans="1:9" x14ac:dyDescent="0.25">
      <c r="A2136" s="2">
        <v>44698</v>
      </c>
      <c r="B2136">
        <v>16.149999999999999</v>
      </c>
      <c r="C2136">
        <v>5.12</v>
      </c>
      <c r="D2136">
        <v>26.48</v>
      </c>
      <c r="E2136">
        <v>29.25</v>
      </c>
      <c r="F2136">
        <v>-1.85</v>
      </c>
      <c r="G2136">
        <v>23.58</v>
      </c>
      <c r="H2136">
        <v>0.27</v>
      </c>
      <c r="I2136">
        <v>22.95</v>
      </c>
    </row>
    <row r="2137" spans="1:9" x14ac:dyDescent="0.25">
      <c r="A2137" s="2">
        <v>44699</v>
      </c>
      <c r="B2137">
        <v>15.95</v>
      </c>
      <c r="C2137">
        <v>4.9000000000000004</v>
      </c>
      <c r="D2137">
        <v>26.41</v>
      </c>
      <c r="E2137">
        <v>29.23</v>
      </c>
      <c r="F2137">
        <v>-2.23</v>
      </c>
      <c r="G2137">
        <v>23.91</v>
      </c>
      <c r="H2137">
        <v>0.27</v>
      </c>
      <c r="I2137">
        <v>22.88</v>
      </c>
    </row>
    <row r="2138" spans="1:9" x14ac:dyDescent="0.25">
      <c r="A2138" s="2">
        <v>44700</v>
      </c>
      <c r="B2138">
        <v>15.84</v>
      </c>
      <c r="C2138">
        <v>4.7300000000000004</v>
      </c>
      <c r="D2138">
        <v>26.03</v>
      </c>
      <c r="E2138">
        <v>28.62</v>
      </c>
      <c r="F2138">
        <v>-2.33</v>
      </c>
      <c r="G2138">
        <v>23.97</v>
      </c>
      <c r="H2138">
        <v>0</v>
      </c>
      <c r="I2138">
        <v>22.44</v>
      </c>
    </row>
    <row r="2139" spans="1:9" x14ac:dyDescent="0.25">
      <c r="A2139" s="2">
        <v>44701</v>
      </c>
      <c r="B2139">
        <v>14.9</v>
      </c>
      <c r="C2139">
        <v>4.6399999999999997</v>
      </c>
      <c r="D2139">
        <v>24.72</v>
      </c>
      <c r="E2139">
        <v>27.69</v>
      </c>
      <c r="F2139">
        <v>-2.46</v>
      </c>
      <c r="G2139">
        <v>23.71</v>
      </c>
      <c r="H2139">
        <v>-0.02</v>
      </c>
      <c r="I2139">
        <v>21.54</v>
      </c>
    </row>
    <row r="2140" spans="1:9" x14ac:dyDescent="0.25">
      <c r="A2140" s="2">
        <v>44704</v>
      </c>
      <c r="B2140">
        <v>14.52</v>
      </c>
      <c r="C2140">
        <v>4.7300000000000004</v>
      </c>
      <c r="D2140">
        <v>24.17</v>
      </c>
      <c r="E2140">
        <v>27.85</v>
      </c>
      <c r="F2140">
        <v>-2.4300000000000002</v>
      </c>
      <c r="G2140">
        <v>22.54</v>
      </c>
      <c r="H2140">
        <v>-0.08</v>
      </c>
      <c r="I2140">
        <v>21.55</v>
      </c>
    </row>
    <row r="2141" spans="1:9" x14ac:dyDescent="0.25">
      <c r="A2141" s="2">
        <v>44705</v>
      </c>
      <c r="B2141">
        <v>15.04</v>
      </c>
      <c r="C2141">
        <v>4.66</v>
      </c>
      <c r="D2141">
        <v>24.56</v>
      </c>
      <c r="E2141">
        <v>27.89</v>
      </c>
      <c r="F2141">
        <v>-2.57</v>
      </c>
      <c r="G2141">
        <v>22.8</v>
      </c>
      <c r="H2141">
        <v>0.08</v>
      </c>
      <c r="I2141">
        <v>21.76</v>
      </c>
    </row>
    <row r="2142" spans="1:9" x14ac:dyDescent="0.25">
      <c r="A2142" s="2">
        <v>44706</v>
      </c>
      <c r="B2142">
        <v>15.05</v>
      </c>
      <c r="C2142">
        <v>4.72</v>
      </c>
      <c r="D2142">
        <v>24.24</v>
      </c>
      <c r="E2142">
        <v>27.25</v>
      </c>
      <c r="F2142">
        <v>-2.58</v>
      </c>
      <c r="G2142">
        <v>23.02</v>
      </c>
      <c r="H2142">
        <v>-0.04</v>
      </c>
      <c r="I2142">
        <v>20.83</v>
      </c>
    </row>
    <row r="2143" spans="1:9" x14ac:dyDescent="0.25">
      <c r="A2143" s="2">
        <v>44707</v>
      </c>
      <c r="B2143">
        <v>14.97</v>
      </c>
      <c r="C2143">
        <v>4.9400000000000004</v>
      </c>
      <c r="D2143">
        <v>24.2</v>
      </c>
      <c r="E2143">
        <v>27.87</v>
      </c>
      <c r="F2143">
        <v>-2.2200000000000002</v>
      </c>
      <c r="G2143">
        <v>22.59</v>
      </c>
      <c r="H2143">
        <v>0.05</v>
      </c>
      <c r="I2143">
        <v>21.56</v>
      </c>
    </row>
    <row r="2144" spans="1:9" x14ac:dyDescent="0.25">
      <c r="A2144" s="2">
        <v>44708</v>
      </c>
      <c r="B2144">
        <v>15.6</v>
      </c>
      <c r="C2144">
        <v>5.14</v>
      </c>
      <c r="D2144">
        <v>24.99</v>
      </c>
      <c r="E2144">
        <v>28.41</v>
      </c>
      <c r="F2144">
        <v>-2.16</v>
      </c>
      <c r="G2144">
        <v>22.83</v>
      </c>
      <c r="H2144">
        <v>0.22</v>
      </c>
      <c r="I2144">
        <v>21.98</v>
      </c>
    </row>
    <row r="2145" spans="1:9" x14ac:dyDescent="0.25">
      <c r="A2145" s="2">
        <v>44711</v>
      </c>
      <c r="B2145">
        <v>16.28</v>
      </c>
      <c r="C2145">
        <v>5.39</v>
      </c>
      <c r="D2145">
        <v>25.78</v>
      </c>
      <c r="E2145">
        <v>29.53</v>
      </c>
      <c r="F2145">
        <v>-1.74</v>
      </c>
      <c r="G2145">
        <v>23.33</v>
      </c>
      <c r="H2145">
        <v>0.32</v>
      </c>
      <c r="I2145">
        <v>23.32</v>
      </c>
    </row>
    <row r="2146" spans="1:9" x14ac:dyDescent="0.25">
      <c r="A2146" s="2">
        <v>44712</v>
      </c>
      <c r="B2146">
        <v>17.43</v>
      </c>
      <c r="C2146">
        <v>5.62</v>
      </c>
      <c r="D2146">
        <v>26.86</v>
      </c>
      <c r="E2146">
        <v>29.87</v>
      </c>
      <c r="F2146">
        <v>-1.92</v>
      </c>
      <c r="G2146">
        <v>24.55</v>
      </c>
      <c r="H2146">
        <v>0.61</v>
      </c>
      <c r="I2146">
        <v>23.45</v>
      </c>
    </row>
    <row r="2147" spans="1:9" x14ac:dyDescent="0.25">
      <c r="A2147" s="2">
        <v>44713</v>
      </c>
      <c r="B2147">
        <v>17.22</v>
      </c>
      <c r="C2147">
        <v>5.51</v>
      </c>
      <c r="D2147">
        <v>26.45</v>
      </c>
      <c r="E2147">
        <v>29.51</v>
      </c>
      <c r="F2147">
        <v>-2.1800000000000002</v>
      </c>
      <c r="G2147">
        <v>24.94</v>
      </c>
      <c r="H2147">
        <v>0.52</v>
      </c>
      <c r="I2147">
        <v>22.82</v>
      </c>
    </row>
    <row r="2148" spans="1:9" x14ac:dyDescent="0.25">
      <c r="A2148" s="2">
        <v>44714</v>
      </c>
      <c r="B2148">
        <v>16.829999999999998</v>
      </c>
      <c r="C2148">
        <v>5.24</v>
      </c>
      <c r="D2148">
        <v>25.92</v>
      </c>
      <c r="E2148">
        <v>29.1</v>
      </c>
      <c r="F2148">
        <v>-2.3199999999999998</v>
      </c>
      <c r="G2148">
        <v>24.75</v>
      </c>
      <c r="H2148">
        <v>0.31</v>
      </c>
      <c r="I2148">
        <v>22.54</v>
      </c>
    </row>
    <row r="2149" spans="1:9" x14ac:dyDescent="0.25">
      <c r="A2149" s="2">
        <v>44715</v>
      </c>
      <c r="B2149">
        <v>16.84</v>
      </c>
      <c r="C2149">
        <v>5.14</v>
      </c>
      <c r="D2149">
        <v>25.77</v>
      </c>
      <c r="E2149">
        <v>29.12</v>
      </c>
      <c r="F2149">
        <v>-2.4700000000000002</v>
      </c>
      <c r="G2149">
        <v>24.77</v>
      </c>
      <c r="H2149">
        <v>0.18</v>
      </c>
      <c r="I2149">
        <v>22.27</v>
      </c>
    </row>
    <row r="2150" spans="1:9" x14ac:dyDescent="0.25">
      <c r="A2150" s="2">
        <v>44718</v>
      </c>
      <c r="B2150">
        <v>16.899999999999999</v>
      </c>
      <c r="C2150">
        <v>4.97</v>
      </c>
      <c r="D2150">
        <v>25.67</v>
      </c>
      <c r="E2150">
        <v>28.94</v>
      </c>
      <c r="F2150">
        <v>-2.54</v>
      </c>
      <c r="G2150">
        <v>24.74</v>
      </c>
      <c r="H2150">
        <v>0.11</v>
      </c>
      <c r="I2150">
        <v>22.12</v>
      </c>
    </row>
    <row r="2151" spans="1:9" x14ac:dyDescent="0.25">
      <c r="A2151" s="2">
        <v>44719</v>
      </c>
      <c r="B2151">
        <v>16.739999999999998</v>
      </c>
      <c r="C2151">
        <v>4.71</v>
      </c>
      <c r="D2151">
        <v>25.88</v>
      </c>
      <c r="E2151">
        <v>28.85</v>
      </c>
      <c r="F2151">
        <v>-2.75</v>
      </c>
      <c r="G2151">
        <v>24.74</v>
      </c>
      <c r="H2151">
        <v>0.04</v>
      </c>
      <c r="I2151">
        <v>22.27</v>
      </c>
    </row>
    <row r="2152" spans="1:9" x14ac:dyDescent="0.25">
      <c r="A2152" s="2">
        <v>44720</v>
      </c>
      <c r="B2152">
        <v>16.77</v>
      </c>
      <c r="C2152">
        <v>4.76</v>
      </c>
      <c r="D2152">
        <v>25.38</v>
      </c>
      <c r="E2152">
        <v>28.98</v>
      </c>
      <c r="F2152">
        <v>-2.77</v>
      </c>
      <c r="G2152">
        <v>24.89</v>
      </c>
      <c r="H2152">
        <v>-0.23</v>
      </c>
      <c r="I2152">
        <v>22.12</v>
      </c>
    </row>
    <row r="2153" spans="1:9" x14ac:dyDescent="0.25">
      <c r="A2153" s="2">
        <v>44721</v>
      </c>
      <c r="B2153">
        <v>16.62</v>
      </c>
      <c r="C2153">
        <v>4.4800000000000004</v>
      </c>
      <c r="D2153">
        <v>25.63</v>
      </c>
      <c r="E2153">
        <v>28.77</v>
      </c>
      <c r="F2153">
        <v>-3.02</v>
      </c>
      <c r="G2153">
        <v>24.54</v>
      </c>
      <c r="H2153">
        <v>-0.26</v>
      </c>
      <c r="I2153">
        <v>22</v>
      </c>
    </row>
    <row r="2154" spans="1:9" x14ac:dyDescent="0.25">
      <c r="A2154" s="2">
        <v>44722</v>
      </c>
      <c r="B2154">
        <v>16.07</v>
      </c>
      <c r="C2154">
        <v>4.07</v>
      </c>
      <c r="D2154">
        <v>24.73</v>
      </c>
      <c r="E2154">
        <v>27.87</v>
      </c>
      <c r="F2154">
        <v>-3.41</v>
      </c>
      <c r="G2154">
        <v>24.54</v>
      </c>
      <c r="H2154">
        <v>-0.48</v>
      </c>
      <c r="I2154">
        <v>21.35</v>
      </c>
    </row>
    <row r="2155" spans="1:9" x14ac:dyDescent="0.25">
      <c r="A2155" s="2">
        <v>44725</v>
      </c>
      <c r="B2155">
        <v>14.89</v>
      </c>
      <c r="C2155">
        <v>3.67</v>
      </c>
      <c r="D2155">
        <v>23.21</v>
      </c>
      <c r="E2155">
        <v>26.76</v>
      </c>
      <c r="F2155">
        <v>-4.0199999999999996</v>
      </c>
      <c r="G2155">
        <v>23.76</v>
      </c>
      <c r="H2155">
        <v>-0.82</v>
      </c>
      <c r="I2155">
        <v>19.75</v>
      </c>
    </row>
    <row r="2156" spans="1:9" x14ac:dyDescent="0.25">
      <c r="A2156" s="2">
        <v>44726</v>
      </c>
      <c r="B2156">
        <v>13.2</v>
      </c>
      <c r="C2156">
        <v>2.83</v>
      </c>
      <c r="D2156">
        <v>21.64</v>
      </c>
      <c r="E2156">
        <v>24.36</v>
      </c>
      <c r="F2156">
        <v>-5.42</v>
      </c>
      <c r="G2156">
        <v>22.35</v>
      </c>
      <c r="H2156">
        <v>-1.38</v>
      </c>
      <c r="I2156">
        <v>17.89</v>
      </c>
    </row>
    <row r="2157" spans="1:9" x14ac:dyDescent="0.25">
      <c r="A2157" s="2">
        <v>44727</v>
      </c>
      <c r="B2157">
        <v>11.57</v>
      </c>
      <c r="C2157">
        <v>1.68</v>
      </c>
      <c r="D2157">
        <v>19.899999999999999</v>
      </c>
      <c r="E2157">
        <v>23.5</v>
      </c>
      <c r="F2157">
        <v>-5.9</v>
      </c>
      <c r="G2157">
        <v>20.21</v>
      </c>
      <c r="H2157">
        <v>-2.5499999999999998</v>
      </c>
      <c r="I2157">
        <v>17</v>
      </c>
    </row>
    <row r="2158" spans="1:9" x14ac:dyDescent="0.25">
      <c r="A2158" s="2">
        <v>44728</v>
      </c>
      <c r="B2158">
        <v>11.39</v>
      </c>
      <c r="C2158">
        <v>1.71</v>
      </c>
      <c r="D2158">
        <v>19.690000000000001</v>
      </c>
      <c r="E2158">
        <v>24.02</v>
      </c>
      <c r="F2158">
        <v>-5.55</v>
      </c>
      <c r="G2158">
        <v>19.16</v>
      </c>
      <c r="H2158">
        <v>-3.11</v>
      </c>
      <c r="I2158">
        <v>17.559999999999999</v>
      </c>
    </row>
    <row r="2159" spans="1:9" x14ac:dyDescent="0.25">
      <c r="A2159" s="2">
        <v>44729</v>
      </c>
      <c r="B2159">
        <v>11.34</v>
      </c>
      <c r="C2159">
        <v>1.66</v>
      </c>
      <c r="D2159">
        <v>19.57</v>
      </c>
      <c r="E2159">
        <v>22.72</v>
      </c>
      <c r="F2159">
        <v>-5.97</v>
      </c>
      <c r="G2159">
        <v>19.57</v>
      </c>
      <c r="H2159">
        <v>-2.84</v>
      </c>
      <c r="I2159">
        <v>16.16</v>
      </c>
    </row>
    <row r="2160" spans="1:9" x14ac:dyDescent="0.25">
      <c r="A2160" s="2">
        <v>44732</v>
      </c>
      <c r="B2160">
        <v>10.62</v>
      </c>
      <c r="C2160">
        <v>1.54</v>
      </c>
      <c r="D2160">
        <v>18.239999999999998</v>
      </c>
      <c r="E2160">
        <v>22.44</v>
      </c>
      <c r="F2160">
        <v>-5.82</v>
      </c>
      <c r="G2160">
        <v>18.66</v>
      </c>
      <c r="H2160">
        <v>-3.22</v>
      </c>
      <c r="I2160">
        <v>16.37</v>
      </c>
    </row>
    <row r="2161" spans="1:9" x14ac:dyDescent="0.25">
      <c r="A2161" s="2">
        <v>44733</v>
      </c>
      <c r="B2161">
        <v>10.72</v>
      </c>
      <c r="C2161">
        <v>1.54</v>
      </c>
      <c r="D2161">
        <v>18.41</v>
      </c>
      <c r="E2161">
        <v>22.37</v>
      </c>
      <c r="F2161">
        <v>-6.13</v>
      </c>
      <c r="G2161">
        <v>18.23</v>
      </c>
      <c r="H2161">
        <v>-3.09</v>
      </c>
      <c r="I2161">
        <v>16.28</v>
      </c>
    </row>
    <row r="2162" spans="1:9" x14ac:dyDescent="0.25">
      <c r="A2162" s="2">
        <v>44734</v>
      </c>
      <c r="B2162">
        <v>10.82</v>
      </c>
      <c r="C2162">
        <v>1.44</v>
      </c>
      <c r="D2162">
        <v>18.36</v>
      </c>
      <c r="E2162">
        <v>22.68</v>
      </c>
      <c r="F2162">
        <v>-6.21</v>
      </c>
      <c r="G2162">
        <v>18.18</v>
      </c>
      <c r="H2162">
        <v>-3.25</v>
      </c>
      <c r="I2162">
        <v>16.55</v>
      </c>
    </row>
    <row r="2163" spans="1:9" x14ac:dyDescent="0.25">
      <c r="A2163" s="2">
        <v>44739</v>
      </c>
      <c r="B2163">
        <v>11.4</v>
      </c>
      <c r="C2163">
        <v>1.67</v>
      </c>
      <c r="D2163">
        <v>18.809999999999999</v>
      </c>
      <c r="E2163">
        <v>22.81</v>
      </c>
      <c r="F2163">
        <v>-6.04</v>
      </c>
      <c r="G2163">
        <v>18.54</v>
      </c>
      <c r="H2163">
        <v>-3.31</v>
      </c>
      <c r="I2163">
        <v>16.72</v>
      </c>
    </row>
    <row r="2164" spans="1:9" x14ac:dyDescent="0.25">
      <c r="A2164" s="2">
        <v>44740</v>
      </c>
      <c r="B2164">
        <v>12.73</v>
      </c>
      <c r="C2164">
        <v>1.93</v>
      </c>
      <c r="D2164">
        <v>21.31</v>
      </c>
      <c r="E2164">
        <v>24.38</v>
      </c>
      <c r="F2164">
        <v>-5.99</v>
      </c>
      <c r="G2164">
        <v>19.649999999999999</v>
      </c>
      <c r="H2164">
        <v>-2.77</v>
      </c>
      <c r="I2164">
        <v>18.29</v>
      </c>
    </row>
    <row r="2165" spans="1:9" x14ac:dyDescent="0.25">
      <c r="A2165" s="2">
        <v>44741</v>
      </c>
      <c r="B2165">
        <v>12.27</v>
      </c>
      <c r="C2165">
        <v>1.6</v>
      </c>
      <c r="D2165">
        <v>20.85</v>
      </c>
      <c r="E2165">
        <v>23.96</v>
      </c>
      <c r="F2165">
        <v>-6.37</v>
      </c>
      <c r="G2165">
        <v>20.13</v>
      </c>
      <c r="H2165">
        <v>-3.14</v>
      </c>
      <c r="I2165">
        <v>18.03</v>
      </c>
    </row>
    <row r="2166" spans="1:9" x14ac:dyDescent="0.25">
      <c r="A2166" s="2">
        <v>44742</v>
      </c>
      <c r="B2166">
        <v>11.87</v>
      </c>
      <c r="C2166">
        <v>1.54</v>
      </c>
      <c r="D2166">
        <v>20.309999999999999</v>
      </c>
      <c r="E2166">
        <v>23.93</v>
      </c>
      <c r="F2166">
        <v>-6.36</v>
      </c>
      <c r="G2166">
        <v>19.8</v>
      </c>
      <c r="H2166">
        <v>-3.48</v>
      </c>
      <c r="I2166">
        <v>17.77</v>
      </c>
    </row>
    <row r="2167" spans="1:9" x14ac:dyDescent="0.25">
      <c r="A2167" s="2">
        <v>44743</v>
      </c>
      <c r="B2167">
        <v>11.81</v>
      </c>
      <c r="C2167">
        <v>1.64</v>
      </c>
      <c r="D2167">
        <v>20.45</v>
      </c>
      <c r="E2167">
        <v>23.79</v>
      </c>
      <c r="F2167">
        <v>-6.18</v>
      </c>
      <c r="G2167">
        <v>19.350000000000001</v>
      </c>
      <c r="H2167">
        <v>-3.41</v>
      </c>
      <c r="I2167">
        <v>17.41</v>
      </c>
    </row>
    <row r="2168" spans="1:9" x14ac:dyDescent="0.25">
      <c r="A2168" s="2">
        <v>44746</v>
      </c>
      <c r="B2168">
        <v>11.66</v>
      </c>
      <c r="C2168">
        <v>1.87</v>
      </c>
      <c r="D2168">
        <v>20.65</v>
      </c>
      <c r="E2168">
        <v>24.52</v>
      </c>
      <c r="F2168">
        <v>-5.47</v>
      </c>
      <c r="G2168">
        <v>18.97</v>
      </c>
      <c r="H2168">
        <v>-3.38</v>
      </c>
      <c r="I2168">
        <v>18.149999999999999</v>
      </c>
    </row>
    <row r="2169" spans="1:9" x14ac:dyDescent="0.25">
      <c r="A2169" s="2">
        <v>44747</v>
      </c>
      <c r="B2169">
        <v>12.09</v>
      </c>
      <c r="C2169">
        <v>1.95</v>
      </c>
      <c r="D2169">
        <v>21.57</v>
      </c>
      <c r="E2169">
        <v>24.34</v>
      </c>
      <c r="F2169">
        <v>-5.72</v>
      </c>
      <c r="G2169">
        <v>19.23</v>
      </c>
      <c r="H2169">
        <v>-3</v>
      </c>
      <c r="I2169">
        <v>18.04</v>
      </c>
    </row>
    <row r="2170" spans="1:9" x14ac:dyDescent="0.25">
      <c r="A2170" s="2">
        <v>44748</v>
      </c>
      <c r="B2170">
        <v>12.19</v>
      </c>
      <c r="C2170">
        <v>2.2999999999999998</v>
      </c>
      <c r="D2170">
        <v>21.26</v>
      </c>
      <c r="E2170">
        <v>24.7</v>
      </c>
      <c r="F2170">
        <v>-5.37</v>
      </c>
      <c r="G2170">
        <v>19.16</v>
      </c>
      <c r="H2170">
        <v>-3.17</v>
      </c>
      <c r="I2170">
        <v>18.38</v>
      </c>
    </row>
    <row r="2171" spans="1:9" x14ac:dyDescent="0.25">
      <c r="A2171" s="2">
        <v>44749</v>
      </c>
      <c r="B2171">
        <v>12.65</v>
      </c>
      <c r="C2171">
        <v>2.44</v>
      </c>
      <c r="D2171">
        <v>22.81</v>
      </c>
      <c r="E2171">
        <v>25.56</v>
      </c>
      <c r="F2171">
        <v>-5.29</v>
      </c>
      <c r="G2171">
        <v>19.420000000000002</v>
      </c>
      <c r="H2171">
        <v>-2.94</v>
      </c>
      <c r="I2171">
        <v>19.510000000000002</v>
      </c>
    </row>
    <row r="2172" spans="1:9" x14ac:dyDescent="0.25">
      <c r="A2172" s="2">
        <v>44750</v>
      </c>
      <c r="B2172">
        <v>12.9</v>
      </c>
      <c r="C2172">
        <v>2.2000000000000002</v>
      </c>
      <c r="D2172">
        <v>23.53</v>
      </c>
      <c r="E2172">
        <v>26.13</v>
      </c>
      <c r="F2172">
        <v>-5.36</v>
      </c>
      <c r="G2172">
        <v>20.309999999999999</v>
      </c>
      <c r="H2172">
        <v>-2.89</v>
      </c>
      <c r="I2172">
        <v>20.04</v>
      </c>
    </row>
    <row r="2173" spans="1:9" x14ac:dyDescent="0.25">
      <c r="A2173" s="2">
        <v>44753</v>
      </c>
      <c r="B2173">
        <v>13.25</v>
      </c>
      <c r="C2173">
        <v>2.0699999999999998</v>
      </c>
      <c r="D2173">
        <v>24.13</v>
      </c>
      <c r="E2173">
        <v>26.29</v>
      </c>
      <c r="F2173">
        <v>-5.48</v>
      </c>
      <c r="G2173">
        <v>21.04</v>
      </c>
      <c r="H2173">
        <v>-3</v>
      </c>
      <c r="I2173">
        <v>20.2</v>
      </c>
    </row>
    <row r="2174" spans="1:9" x14ac:dyDescent="0.25">
      <c r="A2174" s="2">
        <v>44754</v>
      </c>
      <c r="B2174">
        <v>13.16</v>
      </c>
      <c r="C2174">
        <v>2.1</v>
      </c>
      <c r="D2174">
        <v>24.13</v>
      </c>
      <c r="E2174">
        <v>26.36</v>
      </c>
      <c r="F2174">
        <v>-5.26</v>
      </c>
      <c r="G2174">
        <v>21.53</v>
      </c>
      <c r="H2174">
        <v>-2.95</v>
      </c>
      <c r="I2174">
        <v>20.23</v>
      </c>
    </row>
    <row r="2175" spans="1:9" x14ac:dyDescent="0.25">
      <c r="A2175" s="2">
        <v>44755</v>
      </c>
      <c r="B2175">
        <v>13.11</v>
      </c>
      <c r="C2175">
        <v>2.34</v>
      </c>
      <c r="D2175">
        <v>24.54</v>
      </c>
      <c r="E2175">
        <v>26.48</v>
      </c>
      <c r="F2175">
        <v>-5.18</v>
      </c>
      <c r="G2175">
        <v>21.45</v>
      </c>
      <c r="H2175">
        <v>-2.77</v>
      </c>
      <c r="I2175">
        <v>20.59</v>
      </c>
    </row>
    <row r="2176" spans="1:9" x14ac:dyDescent="0.25">
      <c r="A2176" s="2">
        <v>44756</v>
      </c>
      <c r="B2176">
        <v>12.64</v>
      </c>
      <c r="C2176">
        <v>2.25</v>
      </c>
      <c r="D2176">
        <v>24.21</v>
      </c>
      <c r="E2176">
        <v>25.86</v>
      </c>
      <c r="F2176">
        <v>-5.44</v>
      </c>
      <c r="G2176">
        <v>21.34</v>
      </c>
      <c r="H2176">
        <v>-2.66</v>
      </c>
      <c r="I2176">
        <v>19.809999999999999</v>
      </c>
    </row>
    <row r="2177" spans="1:9" x14ac:dyDescent="0.25">
      <c r="A2177" s="2">
        <v>44757</v>
      </c>
      <c r="B2177">
        <v>12.19</v>
      </c>
      <c r="C2177">
        <v>1.98</v>
      </c>
      <c r="D2177">
        <v>23.42</v>
      </c>
      <c r="E2177">
        <v>25.36</v>
      </c>
      <c r="F2177">
        <v>-5.73</v>
      </c>
      <c r="G2177">
        <v>20.7</v>
      </c>
      <c r="H2177">
        <v>-2.8</v>
      </c>
      <c r="I2177">
        <v>19.309999999999999</v>
      </c>
    </row>
    <row r="2178" spans="1:9" x14ac:dyDescent="0.25">
      <c r="A2178" s="2">
        <v>44760</v>
      </c>
      <c r="B2178">
        <v>12.41</v>
      </c>
      <c r="C2178">
        <v>1.9</v>
      </c>
      <c r="D2178">
        <v>24.01</v>
      </c>
      <c r="E2178">
        <v>25.92</v>
      </c>
      <c r="F2178">
        <v>-5.66</v>
      </c>
      <c r="G2178">
        <v>20.190000000000001</v>
      </c>
      <c r="H2178">
        <v>-3.1</v>
      </c>
      <c r="I2178">
        <v>20.13</v>
      </c>
    </row>
    <row r="2179" spans="1:9" x14ac:dyDescent="0.25">
      <c r="A2179" s="2">
        <v>44761</v>
      </c>
      <c r="B2179">
        <v>12.66</v>
      </c>
      <c r="C2179">
        <v>1.83</v>
      </c>
      <c r="D2179">
        <v>24.46</v>
      </c>
      <c r="E2179">
        <v>25.92</v>
      </c>
      <c r="F2179">
        <v>-5.72</v>
      </c>
      <c r="G2179">
        <v>20.7</v>
      </c>
      <c r="H2179">
        <v>-2.97</v>
      </c>
      <c r="I2179">
        <v>20.25</v>
      </c>
    </row>
    <row r="2180" spans="1:9" x14ac:dyDescent="0.25">
      <c r="A2180" s="2">
        <v>44762</v>
      </c>
      <c r="B2180">
        <v>12.76</v>
      </c>
      <c r="C2180">
        <v>1.74</v>
      </c>
      <c r="D2180">
        <v>23.79</v>
      </c>
      <c r="E2180">
        <v>26</v>
      </c>
      <c r="F2180">
        <v>-5.78</v>
      </c>
      <c r="G2180">
        <v>21.02</v>
      </c>
      <c r="H2180">
        <v>-3.1</v>
      </c>
      <c r="I2180">
        <v>20.16</v>
      </c>
    </row>
    <row r="2181" spans="1:9" x14ac:dyDescent="0.25">
      <c r="A2181" s="2">
        <v>44763</v>
      </c>
      <c r="B2181">
        <v>13.38</v>
      </c>
      <c r="C2181">
        <v>1.9</v>
      </c>
      <c r="D2181">
        <v>24.5</v>
      </c>
      <c r="E2181">
        <v>26.68</v>
      </c>
      <c r="F2181">
        <v>-5.43</v>
      </c>
      <c r="G2181">
        <v>20.85</v>
      </c>
      <c r="H2181">
        <v>-3.22</v>
      </c>
      <c r="I2181">
        <v>20.94</v>
      </c>
    </row>
    <row r="2182" spans="1:9" x14ac:dyDescent="0.25">
      <c r="A2182" s="2">
        <v>44764</v>
      </c>
      <c r="B2182">
        <v>13.89</v>
      </c>
      <c r="C2182">
        <v>2.19</v>
      </c>
      <c r="D2182">
        <v>25.15</v>
      </c>
      <c r="E2182">
        <v>27.13</v>
      </c>
      <c r="F2182">
        <v>-5.25</v>
      </c>
      <c r="G2182">
        <v>21.86</v>
      </c>
      <c r="H2182">
        <v>-2.89</v>
      </c>
      <c r="I2182">
        <v>21.3</v>
      </c>
    </row>
    <row r="2183" spans="1:9" x14ac:dyDescent="0.25">
      <c r="A2183" s="2">
        <v>44767</v>
      </c>
      <c r="B2183">
        <v>14.47</v>
      </c>
      <c r="C2183">
        <v>2.74</v>
      </c>
      <c r="D2183">
        <v>25.96</v>
      </c>
      <c r="E2183">
        <v>27.79</v>
      </c>
      <c r="F2183">
        <v>-4.59</v>
      </c>
      <c r="G2183">
        <v>22.28</v>
      </c>
      <c r="H2183">
        <v>-2.74</v>
      </c>
      <c r="I2183">
        <v>21.96</v>
      </c>
    </row>
    <row r="2184" spans="1:9" x14ac:dyDescent="0.25">
      <c r="A2184" s="2">
        <v>44768</v>
      </c>
      <c r="B2184">
        <v>14.43</v>
      </c>
      <c r="C2184">
        <v>3.24</v>
      </c>
      <c r="D2184">
        <v>26.04</v>
      </c>
      <c r="E2184">
        <v>27.76</v>
      </c>
      <c r="F2184">
        <v>-4.37</v>
      </c>
      <c r="G2184">
        <v>22.94</v>
      </c>
      <c r="H2184">
        <v>-2.09</v>
      </c>
      <c r="I2184">
        <v>21.9</v>
      </c>
    </row>
    <row r="2185" spans="1:9" x14ac:dyDescent="0.25">
      <c r="A2185" s="2">
        <v>44769</v>
      </c>
      <c r="B2185">
        <v>14.42</v>
      </c>
      <c r="C2185">
        <v>3.39</v>
      </c>
      <c r="D2185">
        <v>26.24</v>
      </c>
      <c r="E2185">
        <v>28.04</v>
      </c>
      <c r="F2185">
        <v>-4.21</v>
      </c>
      <c r="G2185">
        <v>22.75</v>
      </c>
      <c r="H2185">
        <v>-1.91</v>
      </c>
      <c r="I2185">
        <v>22.12</v>
      </c>
    </row>
    <row r="2186" spans="1:9" x14ac:dyDescent="0.25">
      <c r="A2186" s="2">
        <v>44770</v>
      </c>
      <c r="B2186">
        <v>14.36</v>
      </c>
      <c r="C2186">
        <v>3.45</v>
      </c>
      <c r="D2186">
        <v>26.56</v>
      </c>
      <c r="E2186">
        <v>28.35</v>
      </c>
      <c r="F2186">
        <v>-4.1900000000000004</v>
      </c>
      <c r="G2186">
        <v>22.86</v>
      </c>
      <c r="H2186">
        <v>-1.7</v>
      </c>
      <c r="I2186">
        <v>22.55</v>
      </c>
    </row>
    <row r="2187" spans="1:9" x14ac:dyDescent="0.25">
      <c r="A2187" s="2">
        <v>44771</v>
      </c>
      <c r="B2187">
        <v>15.39</v>
      </c>
      <c r="C2187">
        <v>3.71</v>
      </c>
      <c r="D2187">
        <v>27.86</v>
      </c>
      <c r="E2187">
        <v>29.6</v>
      </c>
      <c r="F2187">
        <v>-3.5</v>
      </c>
      <c r="G2187">
        <v>23.16</v>
      </c>
      <c r="H2187">
        <v>-1.71</v>
      </c>
      <c r="I2187">
        <v>23.79</v>
      </c>
    </row>
    <row r="2188" spans="1:9" x14ac:dyDescent="0.25">
      <c r="A2188" s="2">
        <v>44774</v>
      </c>
      <c r="B2188">
        <v>16.12</v>
      </c>
      <c r="C2188">
        <v>4.04</v>
      </c>
      <c r="D2188">
        <v>28.83</v>
      </c>
      <c r="E2188">
        <v>30.21</v>
      </c>
      <c r="F2188">
        <v>-3.08</v>
      </c>
      <c r="G2188">
        <v>24.4</v>
      </c>
      <c r="H2188">
        <v>-1.1499999999999999</v>
      </c>
      <c r="I2188">
        <v>24.44</v>
      </c>
    </row>
    <row r="2189" spans="1:9" x14ac:dyDescent="0.25">
      <c r="A2189" s="2">
        <v>44775</v>
      </c>
      <c r="B2189">
        <v>16.54</v>
      </c>
      <c r="C2189">
        <v>4.33</v>
      </c>
      <c r="D2189">
        <v>29.22</v>
      </c>
      <c r="E2189">
        <v>30.43</v>
      </c>
      <c r="F2189">
        <v>-2.84</v>
      </c>
      <c r="G2189">
        <v>25.07</v>
      </c>
      <c r="H2189">
        <v>-0.92</v>
      </c>
      <c r="I2189">
        <v>24.72</v>
      </c>
    </row>
    <row r="2190" spans="1:9" x14ac:dyDescent="0.25">
      <c r="A2190" s="2">
        <v>44776</v>
      </c>
      <c r="B2190">
        <v>16.5</v>
      </c>
      <c r="C2190">
        <v>4.57</v>
      </c>
      <c r="D2190">
        <v>29.12</v>
      </c>
      <c r="E2190">
        <v>30.25</v>
      </c>
      <c r="F2190">
        <v>-2.9</v>
      </c>
      <c r="G2190">
        <v>25.28</v>
      </c>
      <c r="H2190">
        <v>-0.65</v>
      </c>
      <c r="I2190">
        <v>24.63</v>
      </c>
    </row>
    <row r="2191" spans="1:9" x14ac:dyDescent="0.25">
      <c r="A2191" s="2">
        <v>44777</v>
      </c>
      <c r="B2191">
        <v>16.46</v>
      </c>
      <c r="C2191">
        <v>4.3600000000000003</v>
      </c>
      <c r="D2191">
        <v>29.11</v>
      </c>
      <c r="E2191">
        <v>30.36</v>
      </c>
      <c r="F2191">
        <v>-2.99</v>
      </c>
      <c r="G2191">
        <v>25.06</v>
      </c>
      <c r="H2191">
        <v>-0.67</v>
      </c>
      <c r="I2191">
        <v>24.91</v>
      </c>
    </row>
    <row r="2192" spans="1:9" x14ac:dyDescent="0.25">
      <c r="A2192" s="2">
        <v>44778</v>
      </c>
      <c r="B2192">
        <v>17.04</v>
      </c>
      <c r="C2192">
        <v>4.4400000000000004</v>
      </c>
      <c r="D2192">
        <v>29.66</v>
      </c>
      <c r="E2192">
        <v>30.88</v>
      </c>
      <c r="F2192">
        <v>-2.65</v>
      </c>
      <c r="G2192">
        <v>25.34</v>
      </c>
      <c r="H2192">
        <v>-0.79</v>
      </c>
      <c r="I2192">
        <v>25.16</v>
      </c>
    </row>
    <row r="2193" spans="1:9" x14ac:dyDescent="0.25">
      <c r="A2193" s="2">
        <v>44781</v>
      </c>
      <c r="B2193">
        <v>16.739999999999998</v>
      </c>
      <c r="C2193">
        <v>4.3600000000000003</v>
      </c>
      <c r="D2193">
        <v>29.28</v>
      </c>
      <c r="E2193">
        <v>30.42</v>
      </c>
      <c r="F2193">
        <v>-2.89</v>
      </c>
      <c r="G2193">
        <v>25.86</v>
      </c>
      <c r="H2193">
        <v>-0.53</v>
      </c>
      <c r="I2193">
        <v>24.82</v>
      </c>
    </row>
    <row r="2194" spans="1:9" x14ac:dyDescent="0.25">
      <c r="A2194" s="2">
        <v>44782</v>
      </c>
      <c r="B2194">
        <v>16.75</v>
      </c>
      <c r="C2194">
        <v>4.18</v>
      </c>
      <c r="D2194">
        <v>29.32</v>
      </c>
      <c r="E2194">
        <v>30.79</v>
      </c>
      <c r="F2194">
        <v>-2.63</v>
      </c>
      <c r="G2194">
        <v>25.55</v>
      </c>
      <c r="H2194">
        <v>-0.83</v>
      </c>
      <c r="I2194">
        <v>25.37</v>
      </c>
    </row>
    <row r="2195" spans="1:9" x14ac:dyDescent="0.25">
      <c r="A2195" s="2">
        <v>44783</v>
      </c>
      <c r="B2195">
        <v>16.61</v>
      </c>
      <c r="C2195">
        <v>4.25</v>
      </c>
      <c r="D2195">
        <v>28.93</v>
      </c>
      <c r="E2195">
        <v>30.31</v>
      </c>
      <c r="F2195">
        <v>-2.78</v>
      </c>
      <c r="G2195">
        <v>25.96</v>
      </c>
      <c r="H2195">
        <v>-0.63</v>
      </c>
      <c r="I2195">
        <v>24.72</v>
      </c>
    </row>
    <row r="2196" spans="1:9" x14ac:dyDescent="0.25">
      <c r="A2196" s="2">
        <v>44784</v>
      </c>
      <c r="B2196">
        <v>16.73</v>
      </c>
      <c r="C2196">
        <v>4.3099999999999996</v>
      </c>
      <c r="D2196">
        <v>28.88</v>
      </c>
      <c r="E2196">
        <v>30.6</v>
      </c>
      <c r="F2196">
        <v>-2.62</v>
      </c>
      <c r="G2196">
        <v>25.49</v>
      </c>
      <c r="H2196">
        <v>-0.73</v>
      </c>
      <c r="I2196">
        <v>25.23</v>
      </c>
    </row>
    <row r="2197" spans="1:9" x14ac:dyDescent="0.25">
      <c r="A2197" s="2">
        <v>44785</v>
      </c>
      <c r="B2197">
        <v>16.940000000000001</v>
      </c>
      <c r="C2197">
        <v>4.3499999999999996</v>
      </c>
      <c r="D2197">
        <v>29.26</v>
      </c>
      <c r="E2197">
        <v>30.77</v>
      </c>
      <c r="F2197">
        <v>-2.56</v>
      </c>
      <c r="G2197">
        <v>25.73</v>
      </c>
      <c r="H2197">
        <v>-0.56999999999999995</v>
      </c>
      <c r="I2197">
        <v>25.44</v>
      </c>
    </row>
    <row r="2198" spans="1:9" x14ac:dyDescent="0.25">
      <c r="A2198" s="2">
        <v>44788</v>
      </c>
      <c r="B2198">
        <v>17.239999999999998</v>
      </c>
      <c r="C2198">
        <v>4.42</v>
      </c>
      <c r="D2198">
        <v>29.3</v>
      </c>
      <c r="E2198">
        <v>31.09</v>
      </c>
      <c r="F2198">
        <v>-2.6</v>
      </c>
      <c r="G2198">
        <v>26.25</v>
      </c>
      <c r="H2198">
        <v>-0.51</v>
      </c>
      <c r="I2198">
        <v>25.72</v>
      </c>
    </row>
    <row r="2199" spans="1:9" x14ac:dyDescent="0.25">
      <c r="A2199" s="2">
        <v>44789</v>
      </c>
      <c r="B2199">
        <v>17.89</v>
      </c>
      <c r="C2199">
        <v>4.6900000000000004</v>
      </c>
      <c r="D2199">
        <v>30.48</v>
      </c>
      <c r="E2199">
        <v>31.94</v>
      </c>
      <c r="F2199">
        <v>-2.39</v>
      </c>
      <c r="G2199">
        <v>26.68</v>
      </c>
      <c r="H2199">
        <v>-0.36</v>
      </c>
      <c r="I2199">
        <v>26.5</v>
      </c>
    </row>
    <row r="2200" spans="1:9" x14ac:dyDescent="0.25">
      <c r="A2200" s="2">
        <v>44790</v>
      </c>
      <c r="B2200">
        <v>18.329999999999998</v>
      </c>
      <c r="C2200">
        <v>4.75</v>
      </c>
      <c r="D2200">
        <v>31.21</v>
      </c>
      <c r="E2200">
        <v>32.06</v>
      </c>
      <c r="F2200">
        <v>-2.56</v>
      </c>
      <c r="G2200">
        <v>27.24</v>
      </c>
      <c r="H2200">
        <v>-0.14000000000000001</v>
      </c>
      <c r="I2200">
        <v>26.58</v>
      </c>
    </row>
    <row r="2201" spans="1:9" x14ac:dyDescent="0.25">
      <c r="A2201" s="2">
        <v>44791</v>
      </c>
      <c r="B2201">
        <v>18.03</v>
      </c>
      <c r="C2201">
        <v>4.43</v>
      </c>
      <c r="D2201">
        <v>30.76</v>
      </c>
      <c r="E2201">
        <v>31.45</v>
      </c>
      <c r="F2201">
        <v>-3.17</v>
      </c>
      <c r="G2201">
        <v>27.59</v>
      </c>
      <c r="H2201">
        <v>-0.31</v>
      </c>
      <c r="I2201">
        <v>25.87</v>
      </c>
    </row>
    <row r="2202" spans="1:9" x14ac:dyDescent="0.25">
      <c r="A2202" s="2">
        <v>44792</v>
      </c>
      <c r="B2202">
        <v>17.75</v>
      </c>
      <c r="C2202">
        <v>4.1500000000000004</v>
      </c>
      <c r="D2202">
        <v>30.45</v>
      </c>
      <c r="E2202">
        <v>31.42</v>
      </c>
      <c r="F2202">
        <v>-3.26</v>
      </c>
      <c r="G2202">
        <v>27.15</v>
      </c>
      <c r="H2202">
        <v>-0.78</v>
      </c>
      <c r="I2202">
        <v>26.06</v>
      </c>
    </row>
    <row r="2203" spans="1:9" x14ac:dyDescent="0.25">
      <c r="A2203" s="2">
        <v>44795</v>
      </c>
      <c r="B2203">
        <v>17.489999999999998</v>
      </c>
      <c r="C2203">
        <v>3.98</v>
      </c>
      <c r="D2203">
        <v>30.32</v>
      </c>
      <c r="E2203">
        <v>31.06</v>
      </c>
      <c r="F2203">
        <v>-3.66</v>
      </c>
      <c r="G2203">
        <v>27.09</v>
      </c>
      <c r="H2203">
        <v>-0.95</v>
      </c>
      <c r="I2203">
        <v>25.37</v>
      </c>
    </row>
    <row r="2204" spans="1:9" x14ac:dyDescent="0.25">
      <c r="A2204" s="2">
        <v>44796</v>
      </c>
      <c r="B2204">
        <v>16.62</v>
      </c>
      <c r="C2204">
        <v>3.56</v>
      </c>
      <c r="D2204">
        <v>29.61</v>
      </c>
      <c r="E2204">
        <v>30.35</v>
      </c>
      <c r="F2204">
        <v>-4.0999999999999996</v>
      </c>
      <c r="G2204">
        <v>26.75</v>
      </c>
      <c r="H2204">
        <v>-1.41</v>
      </c>
      <c r="I2204">
        <v>24.76</v>
      </c>
    </row>
    <row r="2205" spans="1:9" x14ac:dyDescent="0.25">
      <c r="A2205" s="2">
        <v>44797</v>
      </c>
      <c r="B2205">
        <v>16.13</v>
      </c>
      <c r="C2205">
        <v>3.31</v>
      </c>
      <c r="D2205">
        <v>28.78</v>
      </c>
      <c r="E2205">
        <v>30.04</v>
      </c>
      <c r="F2205">
        <v>-4.05</v>
      </c>
      <c r="G2205">
        <v>26</v>
      </c>
      <c r="H2205">
        <v>-1.82</v>
      </c>
      <c r="I2205">
        <v>24.16</v>
      </c>
    </row>
    <row r="2206" spans="1:9" x14ac:dyDescent="0.25">
      <c r="A2206" s="2">
        <v>44798</v>
      </c>
      <c r="B2206">
        <v>15.85</v>
      </c>
      <c r="C2206">
        <v>3.07</v>
      </c>
      <c r="D2206">
        <v>28.55</v>
      </c>
      <c r="E2206">
        <v>29.96</v>
      </c>
      <c r="F2206">
        <v>-4.0999999999999996</v>
      </c>
      <c r="G2206">
        <v>25.48</v>
      </c>
      <c r="H2206">
        <v>-1.98</v>
      </c>
      <c r="I2206">
        <v>24.19</v>
      </c>
    </row>
    <row r="2207" spans="1:9" x14ac:dyDescent="0.25">
      <c r="A2207" s="2">
        <v>44799</v>
      </c>
      <c r="B2207">
        <v>16.09</v>
      </c>
      <c r="C2207">
        <v>3.07</v>
      </c>
      <c r="D2207">
        <v>28.58</v>
      </c>
      <c r="E2207">
        <v>30.51</v>
      </c>
      <c r="F2207">
        <v>-3.93</v>
      </c>
      <c r="G2207">
        <v>25.47</v>
      </c>
      <c r="H2207">
        <v>-2.04</v>
      </c>
      <c r="I2207">
        <v>24.44</v>
      </c>
    </row>
    <row r="2208" spans="1:9" x14ac:dyDescent="0.25">
      <c r="A2208" s="2">
        <v>44802</v>
      </c>
      <c r="B2208">
        <v>16.04</v>
      </c>
      <c r="C2208">
        <v>3.09</v>
      </c>
      <c r="D2208">
        <v>28.86</v>
      </c>
      <c r="E2208">
        <v>30.11</v>
      </c>
      <c r="F2208">
        <v>-4.1399999999999997</v>
      </c>
      <c r="G2208">
        <v>25.84</v>
      </c>
      <c r="H2208">
        <v>-1.8</v>
      </c>
      <c r="I2208">
        <v>23.73</v>
      </c>
    </row>
    <row r="2209" spans="1:9" x14ac:dyDescent="0.25">
      <c r="A2209" s="2">
        <v>44803</v>
      </c>
      <c r="B2209">
        <v>15.09</v>
      </c>
      <c r="C2209">
        <v>3</v>
      </c>
      <c r="D2209">
        <v>26.97</v>
      </c>
      <c r="E2209">
        <v>28.61</v>
      </c>
      <c r="F2209">
        <v>-4.6399999999999997</v>
      </c>
      <c r="G2209">
        <v>25.54</v>
      </c>
      <c r="H2209">
        <v>-1.95</v>
      </c>
      <c r="I2209">
        <v>22.59</v>
      </c>
    </row>
    <row r="2210" spans="1:9" x14ac:dyDescent="0.25">
      <c r="A2210" s="2">
        <v>44804</v>
      </c>
      <c r="B2210">
        <v>14.48</v>
      </c>
      <c r="C2210">
        <v>2.5299999999999998</v>
      </c>
      <c r="D2210">
        <v>26.75</v>
      </c>
      <c r="E2210">
        <v>28</v>
      </c>
      <c r="F2210">
        <v>-4.99</v>
      </c>
      <c r="G2210">
        <v>24.41</v>
      </c>
      <c r="H2210">
        <v>-2.2200000000000002</v>
      </c>
      <c r="I2210">
        <v>22.08</v>
      </c>
    </row>
    <row r="2211" spans="1:9" x14ac:dyDescent="0.25">
      <c r="A2211" s="2">
        <v>44805</v>
      </c>
      <c r="B2211">
        <v>14.2</v>
      </c>
      <c r="C2211">
        <v>2.36</v>
      </c>
      <c r="D2211">
        <v>25.56</v>
      </c>
      <c r="E2211">
        <v>27.28</v>
      </c>
      <c r="F2211">
        <v>-5.39</v>
      </c>
      <c r="G2211">
        <v>23.48</v>
      </c>
      <c r="H2211">
        <v>-2.54</v>
      </c>
      <c r="I2211">
        <v>21.67</v>
      </c>
    </row>
    <row r="2212" spans="1:9" x14ac:dyDescent="0.25">
      <c r="A2212" s="2">
        <v>44806</v>
      </c>
      <c r="B2212">
        <v>13.53</v>
      </c>
      <c r="C2212">
        <v>1.92</v>
      </c>
      <c r="D2212">
        <v>24.56</v>
      </c>
      <c r="E2212">
        <v>26.71</v>
      </c>
      <c r="F2212">
        <v>-5.7</v>
      </c>
      <c r="G2212">
        <v>22.88</v>
      </c>
      <c r="H2212">
        <v>-2.86</v>
      </c>
      <c r="I2212">
        <v>20.95</v>
      </c>
    </row>
    <row r="2213" spans="1:9" x14ac:dyDescent="0.25">
      <c r="A2213" s="2">
        <v>44809</v>
      </c>
      <c r="B2213">
        <v>13.49</v>
      </c>
      <c r="C2213">
        <v>1.7</v>
      </c>
      <c r="D2213">
        <v>25.23</v>
      </c>
      <c r="E2213">
        <v>26.98</v>
      </c>
      <c r="F2213">
        <v>-5.44</v>
      </c>
      <c r="G2213">
        <v>22.21</v>
      </c>
      <c r="H2213">
        <v>-3.11</v>
      </c>
      <c r="I2213">
        <v>21.61</v>
      </c>
    </row>
    <row r="2214" spans="1:9" x14ac:dyDescent="0.25">
      <c r="A2214" s="2">
        <v>44810</v>
      </c>
      <c r="B2214">
        <v>13.24</v>
      </c>
      <c r="C2214">
        <v>1.78</v>
      </c>
      <c r="D2214">
        <v>24.57</v>
      </c>
      <c r="E2214">
        <v>26.68</v>
      </c>
      <c r="F2214">
        <v>-5.57</v>
      </c>
      <c r="G2214">
        <v>22.64</v>
      </c>
      <c r="H2214">
        <v>-3.01</v>
      </c>
      <c r="I2214">
        <v>21.13</v>
      </c>
    </row>
    <row r="2215" spans="1:9" x14ac:dyDescent="0.25">
      <c r="A2215" s="2">
        <v>44811</v>
      </c>
      <c r="B2215">
        <v>13.24</v>
      </c>
      <c r="C2215">
        <v>1.69</v>
      </c>
      <c r="D2215">
        <v>24.45</v>
      </c>
      <c r="E2215">
        <v>26.51</v>
      </c>
      <c r="F2215">
        <v>-5.67</v>
      </c>
      <c r="G2215">
        <v>22.38</v>
      </c>
      <c r="H2215">
        <v>-3.14</v>
      </c>
      <c r="I2215">
        <v>21.07</v>
      </c>
    </row>
    <row r="2216" spans="1:9" x14ac:dyDescent="0.25">
      <c r="A2216" s="2">
        <v>44812</v>
      </c>
      <c r="B2216">
        <v>13.28</v>
      </c>
      <c r="C2216">
        <v>1.53</v>
      </c>
      <c r="D2216">
        <v>24.54</v>
      </c>
      <c r="E2216">
        <v>26.72</v>
      </c>
      <c r="F2216">
        <v>-5.58</v>
      </c>
      <c r="G2216">
        <v>22.19</v>
      </c>
      <c r="H2216">
        <v>-3.29</v>
      </c>
      <c r="I2216">
        <v>21.01</v>
      </c>
    </row>
    <row r="2217" spans="1:9" x14ac:dyDescent="0.25">
      <c r="A2217" s="2">
        <v>44813</v>
      </c>
      <c r="B2217">
        <v>13.53</v>
      </c>
      <c r="C2217">
        <v>1.41</v>
      </c>
      <c r="D2217">
        <v>25.07</v>
      </c>
      <c r="E2217">
        <v>26.9</v>
      </c>
      <c r="F2217">
        <v>-5.64</v>
      </c>
      <c r="G2217">
        <v>22.16</v>
      </c>
      <c r="H2217">
        <v>-3.23</v>
      </c>
      <c r="I2217">
        <v>21.57</v>
      </c>
    </row>
    <row r="2218" spans="1:9" x14ac:dyDescent="0.25">
      <c r="A2218" s="2">
        <v>44816</v>
      </c>
      <c r="B2218">
        <v>14</v>
      </c>
      <c r="C2218">
        <v>1.54</v>
      </c>
      <c r="D2218">
        <v>25.29</v>
      </c>
      <c r="E2218">
        <v>27.35</v>
      </c>
      <c r="F2218">
        <v>-5.59</v>
      </c>
      <c r="G2218">
        <v>22.54</v>
      </c>
      <c r="H2218">
        <v>-3.33</v>
      </c>
      <c r="I2218">
        <v>21.84</v>
      </c>
    </row>
    <row r="2219" spans="1:9" x14ac:dyDescent="0.25">
      <c r="A2219" s="2">
        <v>44817</v>
      </c>
      <c r="B2219">
        <v>14.48</v>
      </c>
      <c r="C2219">
        <v>1.69</v>
      </c>
      <c r="D2219">
        <v>25.79</v>
      </c>
      <c r="E2219">
        <v>27.72</v>
      </c>
      <c r="F2219">
        <v>-5.49</v>
      </c>
      <c r="G2219">
        <v>23.19</v>
      </c>
      <c r="H2219">
        <v>-3.17</v>
      </c>
      <c r="I2219">
        <v>22.2</v>
      </c>
    </row>
    <row r="2220" spans="1:9" x14ac:dyDescent="0.25">
      <c r="A2220" s="2">
        <v>44818</v>
      </c>
      <c r="B2220">
        <v>14.05</v>
      </c>
      <c r="C2220">
        <v>1.53</v>
      </c>
      <c r="D2220">
        <v>25.61</v>
      </c>
      <c r="E2220">
        <v>26.96</v>
      </c>
      <c r="F2220">
        <v>-5.78</v>
      </c>
      <c r="G2220">
        <v>23.76</v>
      </c>
      <c r="H2220">
        <v>-3.01</v>
      </c>
      <c r="I2220">
        <v>21.32</v>
      </c>
    </row>
    <row r="2221" spans="1:9" x14ac:dyDescent="0.25">
      <c r="A2221" s="2">
        <v>44819</v>
      </c>
      <c r="B2221">
        <v>13.18</v>
      </c>
      <c r="C2221">
        <v>1.38</v>
      </c>
      <c r="D2221">
        <v>24.27</v>
      </c>
      <c r="E2221">
        <v>26.37</v>
      </c>
      <c r="F2221">
        <v>-5.9</v>
      </c>
      <c r="G2221">
        <v>23.1</v>
      </c>
      <c r="H2221">
        <v>-3.26</v>
      </c>
      <c r="I2221">
        <v>20.96</v>
      </c>
    </row>
    <row r="2222" spans="1:9" x14ac:dyDescent="0.25">
      <c r="A2222" s="2">
        <v>44820</v>
      </c>
      <c r="B2222">
        <v>12.94</v>
      </c>
      <c r="C2222">
        <v>1.1599999999999999</v>
      </c>
      <c r="D2222">
        <v>24.19</v>
      </c>
      <c r="E2222">
        <v>25.92</v>
      </c>
      <c r="F2222">
        <v>-6.16</v>
      </c>
      <c r="G2222">
        <v>22.22</v>
      </c>
      <c r="H2222">
        <v>-3.47</v>
      </c>
      <c r="I2222">
        <v>20.65</v>
      </c>
    </row>
    <row r="2223" spans="1:9" x14ac:dyDescent="0.25">
      <c r="A2223" s="2">
        <v>44823</v>
      </c>
      <c r="B2223">
        <v>12.44</v>
      </c>
      <c r="C2223">
        <v>1</v>
      </c>
      <c r="D2223">
        <v>23.29</v>
      </c>
      <c r="E2223">
        <v>25.11</v>
      </c>
      <c r="F2223">
        <v>-6.44</v>
      </c>
      <c r="G2223">
        <v>21.88</v>
      </c>
      <c r="H2223">
        <v>-3.62</v>
      </c>
      <c r="I2223">
        <v>19.690000000000001</v>
      </c>
    </row>
    <row r="2224" spans="1:9" x14ac:dyDescent="0.25">
      <c r="A2224" s="2">
        <v>44824</v>
      </c>
      <c r="B2224">
        <v>12.03</v>
      </c>
      <c r="C2224">
        <v>0.75</v>
      </c>
      <c r="D2224">
        <v>22.73</v>
      </c>
      <c r="E2224">
        <v>24.87</v>
      </c>
      <c r="F2224">
        <v>-6.47</v>
      </c>
      <c r="G2224">
        <v>20.88</v>
      </c>
      <c r="H2224">
        <v>-3.88</v>
      </c>
      <c r="I2224">
        <v>19.68</v>
      </c>
    </row>
    <row r="2225" spans="1:9" x14ac:dyDescent="0.25">
      <c r="A2225" s="2">
        <v>44825</v>
      </c>
      <c r="B2225">
        <v>11.68</v>
      </c>
      <c r="C2225">
        <v>0.38</v>
      </c>
      <c r="D2225">
        <v>22.52</v>
      </c>
      <c r="E2225">
        <v>24.49</v>
      </c>
      <c r="F2225">
        <v>-6.84</v>
      </c>
      <c r="G2225">
        <v>20.65</v>
      </c>
      <c r="H2225">
        <v>-3.94</v>
      </c>
      <c r="I2225">
        <v>19.09</v>
      </c>
    </row>
    <row r="2226" spans="1:9" x14ac:dyDescent="0.25">
      <c r="A2226" s="2">
        <v>44826</v>
      </c>
      <c r="B2226">
        <v>11.68</v>
      </c>
      <c r="C2226">
        <v>0.32</v>
      </c>
      <c r="D2226">
        <v>22.49</v>
      </c>
      <c r="E2226">
        <v>24.58</v>
      </c>
      <c r="F2226">
        <v>-6.79</v>
      </c>
      <c r="G2226">
        <v>20.49</v>
      </c>
      <c r="H2226">
        <v>-4.2699999999999996</v>
      </c>
      <c r="I2226">
        <v>19.53</v>
      </c>
    </row>
    <row r="2227" spans="1:9" x14ac:dyDescent="0.25">
      <c r="A2227" s="2">
        <v>44827</v>
      </c>
      <c r="B2227">
        <v>11.02</v>
      </c>
      <c r="C2227">
        <v>0.11</v>
      </c>
      <c r="D2227">
        <v>21.91</v>
      </c>
      <c r="E2227">
        <v>23.92</v>
      </c>
      <c r="F2227">
        <v>-7.12</v>
      </c>
      <c r="G2227">
        <v>20.65</v>
      </c>
      <c r="H2227">
        <v>-4.2300000000000004</v>
      </c>
      <c r="I2227">
        <v>18.43</v>
      </c>
    </row>
    <row r="2228" spans="1:9" x14ac:dyDescent="0.25">
      <c r="A2228" s="2">
        <v>44830</v>
      </c>
      <c r="B2228">
        <v>10.29</v>
      </c>
      <c r="C2228">
        <v>-0.23</v>
      </c>
      <c r="D2228">
        <v>21.36</v>
      </c>
      <c r="E2228">
        <v>23.25</v>
      </c>
      <c r="F2228">
        <v>-7.55</v>
      </c>
      <c r="G2228">
        <v>19.78</v>
      </c>
      <c r="H2228">
        <v>-4.5599999999999996</v>
      </c>
      <c r="I2228">
        <v>17.7</v>
      </c>
    </row>
    <row r="2229" spans="1:9" x14ac:dyDescent="0.25">
      <c r="A2229" s="2">
        <v>44831</v>
      </c>
      <c r="B2229">
        <v>9.82</v>
      </c>
      <c r="C2229">
        <v>-0.7</v>
      </c>
      <c r="D2229">
        <v>20.98</v>
      </c>
      <c r="E2229">
        <v>22.64</v>
      </c>
      <c r="F2229">
        <v>-8.09</v>
      </c>
      <c r="G2229">
        <v>18.98</v>
      </c>
      <c r="H2229">
        <v>-4.8899999999999997</v>
      </c>
      <c r="I2229">
        <v>17.41</v>
      </c>
    </row>
    <row r="2230" spans="1:9" x14ac:dyDescent="0.25">
      <c r="A2230" s="2">
        <v>44832</v>
      </c>
      <c r="B2230">
        <v>9.15</v>
      </c>
      <c r="C2230">
        <v>-1.45</v>
      </c>
      <c r="D2230">
        <v>20.350000000000001</v>
      </c>
      <c r="E2230">
        <v>22.12</v>
      </c>
      <c r="F2230">
        <v>-8.58</v>
      </c>
      <c r="G2230">
        <v>18.48</v>
      </c>
      <c r="H2230">
        <v>-5.6</v>
      </c>
      <c r="I2230">
        <v>17.02</v>
      </c>
    </row>
    <row r="2231" spans="1:9" x14ac:dyDescent="0.25">
      <c r="A2231" s="2">
        <v>44833</v>
      </c>
      <c r="B2231">
        <v>9.27</v>
      </c>
      <c r="C2231">
        <v>-1.71</v>
      </c>
      <c r="D2231">
        <v>20.21</v>
      </c>
      <c r="E2231">
        <v>22.04</v>
      </c>
      <c r="F2231">
        <v>-8.8000000000000007</v>
      </c>
      <c r="G2231">
        <v>18.16</v>
      </c>
      <c r="H2231">
        <v>-5.96</v>
      </c>
      <c r="I2231">
        <v>16.77</v>
      </c>
    </row>
    <row r="2232" spans="1:9" x14ac:dyDescent="0.25">
      <c r="A2232" s="2">
        <v>44834</v>
      </c>
      <c r="B2232">
        <v>8.9600000000000009</v>
      </c>
      <c r="C2232">
        <v>-1.96</v>
      </c>
      <c r="D2232">
        <v>20.149999999999999</v>
      </c>
      <c r="E2232">
        <v>21.1</v>
      </c>
      <c r="F2232">
        <v>-9.39</v>
      </c>
      <c r="G2232">
        <v>18.09</v>
      </c>
      <c r="H2232">
        <v>-6.13</v>
      </c>
      <c r="I2232">
        <v>15.56</v>
      </c>
    </row>
  </sheetData>
  <pageMargins left="0.75" right="0.75" top="1" bottom="1" header="0.5" footer="0.5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30511D-E0D9-4E5E-A60F-8AF3B376F5EA}">
  <dimension ref="A1:C9"/>
  <sheetViews>
    <sheetView workbookViewId="0">
      <selection activeCell="L20" sqref="L20"/>
    </sheetView>
  </sheetViews>
  <sheetFormatPr defaultRowHeight="15" x14ac:dyDescent="0.25"/>
  <cols>
    <col min="1" max="1" width="46.42578125" bestFit="1" customWidth="1"/>
    <col min="2" max="2" width="14.7109375" bestFit="1" customWidth="1"/>
    <col min="3" max="3" width="20.28515625" bestFit="1" customWidth="1"/>
  </cols>
  <sheetData>
    <row r="1" spans="1:3" ht="15.75" thickBot="1" x14ac:dyDescent="0.3">
      <c r="A1" s="3" t="s">
        <v>9</v>
      </c>
      <c r="B1" s="3" t="s">
        <v>10</v>
      </c>
      <c r="C1" s="3" t="s">
        <v>11</v>
      </c>
    </row>
    <row r="2" spans="1:3" ht="15.75" thickBot="1" x14ac:dyDescent="0.3">
      <c r="A2" s="4" t="s">
        <v>1</v>
      </c>
      <c r="B2" s="5">
        <v>6.1000000000000004E-3</v>
      </c>
      <c r="C2" s="4">
        <v>6.1000000000000004E-3</v>
      </c>
    </row>
    <row r="3" spans="1:3" ht="15.75" thickBot="1" x14ac:dyDescent="0.3">
      <c r="A3" s="4" t="s">
        <v>2</v>
      </c>
      <c r="B3" s="5">
        <v>6.0000000000000001E-3</v>
      </c>
      <c r="C3" s="4">
        <v>6.0000000000000001E-3</v>
      </c>
    </row>
    <row r="4" spans="1:3" ht="15.75" thickBot="1" x14ac:dyDescent="0.3">
      <c r="A4" s="4" t="s">
        <v>3</v>
      </c>
      <c r="B4" s="5">
        <v>4.13E-3</v>
      </c>
      <c r="C4" s="4">
        <v>4.13E-3</v>
      </c>
    </row>
    <row r="5" spans="1:3" ht="15.75" thickBot="1" x14ac:dyDescent="0.3">
      <c r="A5" s="4" t="s">
        <v>4</v>
      </c>
      <c r="B5" s="5">
        <v>1.12E-2</v>
      </c>
      <c r="C5" s="4">
        <v>1.12E-2</v>
      </c>
    </row>
    <row r="6" spans="1:3" ht="15.75" thickBot="1" x14ac:dyDescent="0.3">
      <c r="A6" s="4" t="s">
        <v>5</v>
      </c>
      <c r="B6" s="5">
        <v>4.7270000000000003E-3</v>
      </c>
      <c r="C6" s="4">
        <v>4.7270000000000003E-3</v>
      </c>
    </row>
    <row r="7" spans="1:3" ht="15.75" thickBot="1" x14ac:dyDescent="0.3">
      <c r="A7" s="4" t="s">
        <v>6</v>
      </c>
      <c r="B7" s="5">
        <v>4.1000000000000003E-3</v>
      </c>
      <c r="C7" s="4">
        <v>4.1000000000000003E-3</v>
      </c>
    </row>
    <row r="8" spans="1:3" ht="15.75" thickBot="1" x14ac:dyDescent="0.3">
      <c r="A8" s="4" t="s">
        <v>7</v>
      </c>
      <c r="B8" s="5">
        <v>3.3999999999999998E-3</v>
      </c>
      <c r="C8" s="4">
        <v>3.3999999999999998E-3</v>
      </c>
    </row>
    <row r="9" spans="1:3" ht="15.75" thickBot="1" x14ac:dyDescent="0.3">
      <c r="A9" s="4" t="s">
        <v>8</v>
      </c>
      <c r="B9" s="5">
        <v>3.47E-3</v>
      </c>
      <c r="C9" s="4">
        <v>3.47E-3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7741E1-F1BC-4A49-9509-C7D281C9C3C3}">
  <dimension ref="A1:C10"/>
  <sheetViews>
    <sheetView zoomScale="130" zoomScaleNormal="130" workbookViewId="0">
      <selection activeCell="T16" sqref="T16"/>
    </sheetView>
  </sheetViews>
  <sheetFormatPr defaultRowHeight="15" x14ac:dyDescent="0.25"/>
  <cols>
    <col min="1" max="1" width="45.85546875" bestFit="1" customWidth="1"/>
    <col min="2" max="2" width="44.85546875" bestFit="1" customWidth="1"/>
    <col min="3" max="3" width="5.42578125" bestFit="1" customWidth="1"/>
  </cols>
  <sheetData>
    <row r="1" spans="1:3" x14ac:dyDescent="0.25">
      <c r="A1" t="s">
        <v>12</v>
      </c>
    </row>
    <row r="2" spans="1:3" x14ac:dyDescent="0.25">
      <c r="A2" t="s">
        <v>13</v>
      </c>
      <c r="B2" t="s">
        <v>14</v>
      </c>
      <c r="C2" s="11" t="s">
        <v>15</v>
      </c>
    </row>
    <row r="3" spans="1:3" x14ac:dyDescent="0.25">
      <c r="A3" s="9">
        <f>DATE(2017,1,1)</f>
        <v>42736</v>
      </c>
      <c r="B3" s="9">
        <f>DATE(2019,8,1)</f>
        <v>43678</v>
      </c>
      <c r="C3">
        <v>800</v>
      </c>
    </row>
    <row r="4" spans="1:3" x14ac:dyDescent="0.25">
      <c r="A4" s="9">
        <f>DATE(2019,8,2)</f>
        <v>43679</v>
      </c>
      <c r="B4" s="9">
        <f>DATE(2019,12,31)</f>
        <v>43830</v>
      </c>
      <c r="C4">
        <v>1500</v>
      </c>
    </row>
    <row r="5" spans="1:3" x14ac:dyDescent="0.25">
      <c r="A5" s="9">
        <f>DATE(2020,1,1)</f>
        <v>43831</v>
      </c>
      <c r="B5" s="9">
        <f>DATE(2022,10,1)</f>
        <v>44835</v>
      </c>
      <c r="C5">
        <v>1000</v>
      </c>
    </row>
    <row r="7" spans="1:3" x14ac:dyDescent="0.25">
      <c r="A7" t="s">
        <v>16</v>
      </c>
      <c r="B7" t="s">
        <v>3</v>
      </c>
    </row>
    <row r="8" spans="1:3" x14ac:dyDescent="0.25">
      <c r="A8" t="s">
        <v>27</v>
      </c>
      <c r="B8" s="10">
        <f>INDEX(KIK!$B$2:$B$9,
       MATCH(Mani_Dati!$B$7, KIK!$A$2:$A$9, 0))</f>
        <v>4.13E-3</v>
      </c>
    </row>
    <row r="9" spans="1:3" x14ac:dyDescent="0.25">
      <c r="A9" t="s">
        <v>17</v>
      </c>
      <c r="B9" s="6" cm="1">
        <f t="array" ref="B9">INDEX(Dalu_Cenas!$A$2:$A$20000,
       MATCH(TRUE,
             INDEX(
                   INDEX(Dalu_Cenas!$B$2:$I$20000,0, MATCH(B7, Dalu_Cenas!$B$1:$I$1,0))&gt;0,
             0),
       0))</f>
        <v>42919</v>
      </c>
    </row>
    <row r="10" spans="1:3" x14ac:dyDescent="0.25">
      <c r="A10" t="s">
        <v>18</v>
      </c>
      <c r="B10">
        <v>2000</v>
      </c>
    </row>
  </sheetData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3DB5CE8-B082-40C7-B5C2-2F8F261E4E41}">
          <x14:formula1>
            <xm:f>KIK!$A$2:$A$9</xm:f>
          </x14:formula1>
          <xm:sqref>B7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9F1D40-346E-4EE4-8D1E-45F861C9EF42}">
  <dimension ref="A1:U184"/>
  <sheetViews>
    <sheetView tabSelected="1" zoomScale="85" zoomScaleNormal="85" workbookViewId="0">
      <selection activeCell="Q29" sqref="Q29"/>
    </sheetView>
  </sheetViews>
  <sheetFormatPr defaultRowHeight="20.25" customHeight="1" x14ac:dyDescent="0.25"/>
  <cols>
    <col min="1" max="1" width="9.7109375" bestFit="1" customWidth="1"/>
    <col min="2" max="2" width="18.7109375" customWidth="1"/>
    <col min="3" max="3" width="19.28515625" bestFit="1" customWidth="1"/>
    <col min="4" max="4" width="12" bestFit="1" customWidth="1"/>
    <col min="5" max="5" width="16.7109375" bestFit="1" customWidth="1"/>
    <col min="6" max="6" width="12" bestFit="1" customWidth="1"/>
    <col min="7" max="7" width="36.140625" bestFit="1" customWidth="1"/>
    <col min="8" max="8" width="24" bestFit="1" customWidth="1"/>
    <col min="9" max="9" width="26.7109375" bestFit="1" customWidth="1"/>
    <col min="10" max="10" width="12.85546875" bestFit="1" customWidth="1"/>
    <col min="12" max="12" width="19.5703125" bestFit="1" customWidth="1"/>
    <col min="13" max="13" width="12.5703125" customWidth="1"/>
    <col min="14" max="14" width="12.85546875" bestFit="1" customWidth="1"/>
    <col min="15" max="15" width="13.7109375" bestFit="1" customWidth="1"/>
    <col min="16" max="16" width="26.140625" bestFit="1" customWidth="1"/>
    <col min="17" max="17" width="19.140625" bestFit="1" customWidth="1"/>
    <col min="18" max="18" width="24.140625" bestFit="1" customWidth="1"/>
    <col min="19" max="19" width="16.7109375" customWidth="1"/>
    <col min="20" max="21" width="13.42578125" customWidth="1"/>
  </cols>
  <sheetData>
    <row r="1" spans="1:9" ht="15.75" thickBot="1" x14ac:dyDescent="0.3">
      <c r="A1" s="13" t="s">
        <v>28</v>
      </c>
      <c r="C1" s="14">
        <f>Mani_Dati!B10</f>
        <v>2000</v>
      </c>
      <c r="D1">
        <f>D3</f>
        <v>101.682</v>
      </c>
      <c r="E1">
        <f>IF(D1=0,0,C1/D1)</f>
        <v>19.66916465057729</v>
      </c>
      <c r="F1">
        <f>SUM($E1:E$2)</f>
        <v>19.66916465057729</v>
      </c>
      <c r="G1" s="10">
        <f>Mani_Dati!B8</f>
        <v>4.13E-3</v>
      </c>
    </row>
    <row r="2" spans="1:9" ht="30.75" thickBot="1" x14ac:dyDescent="0.3">
      <c r="A2" s="3" t="s">
        <v>0</v>
      </c>
      <c r="B2" s="3" t="s">
        <v>19</v>
      </c>
      <c r="C2" s="3" t="s">
        <v>20</v>
      </c>
      <c r="D2" s="3" t="s">
        <v>21</v>
      </c>
      <c r="E2" s="3" t="s">
        <v>22</v>
      </c>
      <c r="F2" s="3" t="s">
        <v>23</v>
      </c>
      <c r="G2" s="3" t="s">
        <v>24</v>
      </c>
      <c r="H2" s="3" t="s">
        <v>25</v>
      </c>
      <c r="I2" s="3" t="s">
        <v>26</v>
      </c>
    </row>
    <row r="3" spans="1:9" ht="20.25" customHeight="1" x14ac:dyDescent="0.3">
      <c r="A3" s="9">
        <f>DATE(2018,1,1)</f>
        <v>43101</v>
      </c>
      <c r="B3" cm="1">
        <f t="array" ref="B3">INDEX(Mani_Dati!$C$3:$C$5,
       MATCH(1,
             (A3&gt;=Mani_Dati!$A$3:$A$5)*(A3&lt;=Mani_Dati!$B$3:$B$5),
             0))</f>
        <v>800</v>
      </c>
      <c r="C3">
        <f>B3*0.06</f>
        <v>48</v>
      </c>
      <c r="D3" s="7">
        <f>INDEX(Dalu_Cenas!$A:$I,
       MATCH(A3, Dalu_Cenas!$A:$A, 1),
       MATCH(Mani_Dati!$B$7, Dalu_Cenas!$1:$1, 0))</f>
        <v>101.682</v>
      </c>
      <c r="E3" s="8">
        <f>IF(D3=0,0,C3/D3)</f>
        <v>0.47205995161385494</v>
      </c>
      <c r="F3">
        <f>F$1 + SUM($E$2:E3)</f>
        <v>20.141224602191144</v>
      </c>
      <c r="G3" s="10">
        <f>F3 * ($G$1/12)</f>
        <v>6.9319381339207854E-3</v>
      </c>
      <c r="H3">
        <f>F3 - G3</f>
        <v>20.134292664057224</v>
      </c>
      <c r="I3">
        <f>H3 * D3</f>
        <v>2047.2951466666666</v>
      </c>
    </row>
    <row r="4" spans="1:9" ht="20.25" customHeight="1" x14ac:dyDescent="0.3">
      <c r="A4" s="9">
        <f>EDATE(A3,1)</f>
        <v>43132</v>
      </c>
      <c r="B4" cm="1">
        <f t="array" ref="B4">INDEX(Mani_Dati!$C$3:$C$5,
       MATCH(1,
             (A4&gt;=Mani_Dati!$A$3:$A$5)*(A4&lt;=Mani_Dati!$B$3:$B$5),
             0))</f>
        <v>800</v>
      </c>
      <c r="C4">
        <f t="shared" ref="C4:C60" si="0">B4*0.06</f>
        <v>48</v>
      </c>
      <c r="D4" s="7">
        <f>INDEX(Dalu_Cenas!$A:$I,
       MATCH(A4, Dalu_Cenas!$A:$A, 1),
       MATCH(Mani_Dati!$B$7, Dalu_Cenas!$1:$1, 0))</f>
        <v>101.447</v>
      </c>
      <c r="E4" s="8">
        <f t="shared" ref="E4:E32" si="1">IF(D4=0,0,C4/D4)</f>
        <v>0.47315346929923996</v>
      </c>
      <c r="F4">
        <f>F$1 + SUM($E$2:E4)</f>
        <v>20.614378071490385</v>
      </c>
      <c r="G4" s="10">
        <f t="shared" ref="G4:G60" si="2">F4 * ($G$1/12)</f>
        <v>7.0947817862712743E-3</v>
      </c>
      <c r="H4">
        <f t="shared" ref="H4:H32" si="3">F4 - G4</f>
        <v>20.607283289704114</v>
      </c>
      <c r="I4">
        <f t="shared" ref="I4:I32" si="4">H4 * D4</f>
        <v>2090.5470678906131</v>
      </c>
    </row>
    <row r="5" spans="1:9" ht="20.25" customHeight="1" x14ac:dyDescent="0.3">
      <c r="A5" s="9">
        <f>EDATE(A4,1)</f>
        <v>43160</v>
      </c>
      <c r="B5" cm="1">
        <f t="array" ref="B5">INDEX(Mani_Dati!$C$3:$C$5,
       MATCH(1,
             (A5&gt;=Mani_Dati!$A$3:$A$5)*(A5&lt;=Mani_Dati!$B$3:$B$5),
             0))</f>
        <v>800</v>
      </c>
      <c r="C5">
        <f t="shared" si="0"/>
        <v>48</v>
      </c>
      <c r="D5" s="7">
        <f>INDEX(Dalu_Cenas!$A:$I,
       MATCH(A5, Dalu_Cenas!$A:$A, 1),
       MATCH(Mani_Dati!$B$7, Dalu_Cenas!$1:$1, 0))</f>
        <v>100.801</v>
      </c>
      <c r="E5" s="8">
        <f t="shared" si="1"/>
        <v>0.47618575212547493</v>
      </c>
      <c r="F5">
        <f>F$1 + SUM($E$2:E5)</f>
        <v>21.090563823615859</v>
      </c>
      <c r="G5" s="10">
        <f t="shared" si="2"/>
        <v>7.258669049294458E-3</v>
      </c>
      <c r="H5">
        <f t="shared" si="3"/>
        <v>21.083305154566563</v>
      </c>
      <c r="I5">
        <f t="shared" si="4"/>
        <v>2125.2182428854644</v>
      </c>
    </row>
    <row r="6" spans="1:9" ht="20.25" customHeight="1" x14ac:dyDescent="0.3">
      <c r="A6" s="9">
        <f t="shared" ref="A6:A32" si="5">EDATE(A5,1)</f>
        <v>43191</v>
      </c>
      <c r="B6" cm="1">
        <f t="array" ref="B6">INDEX(Mani_Dati!$C$3:$C$5,
       MATCH(1,
             (A6&gt;=Mani_Dati!$A$3:$A$5)*(A6&lt;=Mani_Dati!$B$3:$B$5),
             0))</f>
        <v>800</v>
      </c>
      <c r="C6">
        <f t="shared" si="0"/>
        <v>48</v>
      </c>
      <c r="D6" s="7">
        <f>INDEX(Dalu_Cenas!$A:$I,
       MATCH(A6, Dalu_Cenas!$A:$A, 1),
       MATCH(Mani_Dati!$B$7, Dalu_Cenas!$1:$1, 0))</f>
        <v>98.54</v>
      </c>
      <c r="E6" s="8">
        <f t="shared" si="1"/>
        <v>0.48711183275827075</v>
      </c>
      <c r="F6">
        <f>F$1 + SUM($E$2:E6)</f>
        <v>21.577675656374129</v>
      </c>
      <c r="G6" s="10">
        <f t="shared" si="2"/>
        <v>7.4263167050687626E-3</v>
      </c>
      <c r="H6">
        <f t="shared" si="3"/>
        <v>21.570249339669061</v>
      </c>
      <c r="I6">
        <f t="shared" si="4"/>
        <v>2125.5323699309893</v>
      </c>
    </row>
    <row r="7" spans="1:9" ht="20.25" customHeight="1" x14ac:dyDescent="0.3">
      <c r="A7" s="9">
        <f t="shared" si="5"/>
        <v>43221</v>
      </c>
      <c r="B7" cm="1">
        <f t="array" ref="B7">INDEX(Mani_Dati!$C$3:$C$5,
       MATCH(1,
             (A7&gt;=Mani_Dati!$A$3:$A$5)*(A7&lt;=Mani_Dati!$B$3:$B$5),
             0))</f>
        <v>800</v>
      </c>
      <c r="C7">
        <f t="shared" si="0"/>
        <v>48</v>
      </c>
      <c r="D7" s="7">
        <f>INDEX(Dalu_Cenas!$A:$I,
       MATCH(A7, Dalu_Cenas!$A:$A, 1),
       MATCH(Mani_Dati!$B$7, Dalu_Cenas!$1:$1, 0))</f>
        <v>99.902999999999992</v>
      </c>
      <c r="E7" s="8">
        <f t="shared" si="1"/>
        <v>0.48046605207050841</v>
      </c>
      <c r="F7">
        <f>F$1 + SUM($E$2:E7)</f>
        <v>22.058141708444637</v>
      </c>
      <c r="G7" s="10">
        <f t="shared" si="2"/>
        <v>7.5916771046563624E-3</v>
      </c>
      <c r="H7">
        <f t="shared" si="3"/>
        <v>22.050550031339981</v>
      </c>
      <c r="I7">
        <f t="shared" si="4"/>
        <v>2202.9160997809581</v>
      </c>
    </row>
    <row r="8" spans="1:9" ht="20.25" customHeight="1" x14ac:dyDescent="0.3">
      <c r="A8" s="9">
        <f t="shared" si="5"/>
        <v>43252</v>
      </c>
      <c r="B8" cm="1">
        <f t="array" ref="B8">INDEX(Mani_Dati!$C$3:$C$5,
       MATCH(1,
             (A8&gt;=Mani_Dati!$A$3:$A$5)*(A8&lt;=Mani_Dati!$B$3:$B$5),
             0))</f>
        <v>800</v>
      </c>
      <c r="C8">
        <f t="shared" si="0"/>
        <v>48</v>
      </c>
      <c r="D8" s="7">
        <f>INDEX(Dalu_Cenas!$A:$I,
       MATCH(A8, Dalu_Cenas!$A:$A, 1),
       MATCH(Mani_Dati!$B$7, Dalu_Cenas!$1:$1, 0))</f>
        <v>103.13200000000001</v>
      </c>
      <c r="E8" s="8">
        <f t="shared" si="1"/>
        <v>0.46542295310863746</v>
      </c>
      <c r="F8">
        <f>F$1 + SUM($E$2:E8)</f>
        <v>22.523564661553277</v>
      </c>
      <c r="G8" s="10">
        <f t="shared" si="2"/>
        <v>7.7518601710179196E-3</v>
      </c>
      <c r="H8">
        <f t="shared" si="3"/>
        <v>22.515812801382257</v>
      </c>
      <c r="I8">
        <f t="shared" si="4"/>
        <v>2322.1008058321549</v>
      </c>
    </row>
    <row r="9" spans="1:9" ht="20.25" customHeight="1" x14ac:dyDescent="0.3">
      <c r="A9" s="9">
        <f t="shared" si="5"/>
        <v>43282</v>
      </c>
      <c r="B9" cm="1">
        <f t="array" ref="B9">INDEX(Mani_Dati!$C$3:$C$5,
       MATCH(1,
             (A9&gt;=Mani_Dati!$A$3:$A$5)*(A9&lt;=Mani_Dati!$B$3:$B$5),
             0))</f>
        <v>800</v>
      </c>
      <c r="C9">
        <f t="shared" si="0"/>
        <v>48</v>
      </c>
      <c r="D9" s="7">
        <f>INDEX(Dalu_Cenas!$A:$I,
       MATCH(A9, Dalu_Cenas!$A:$A, 1),
       MATCH(Mani_Dati!$B$7, Dalu_Cenas!$1:$1, 0))</f>
        <v>102.84099999999999</v>
      </c>
      <c r="E9" s="8">
        <f t="shared" si="1"/>
        <v>0.46673991890393912</v>
      </c>
      <c r="F9">
        <f>F$1 + SUM($E$2:E9)</f>
        <v>22.990304580457217</v>
      </c>
      <c r="G9" s="10">
        <f t="shared" si="2"/>
        <v>7.9124964931073585E-3</v>
      </c>
      <c r="H9">
        <f t="shared" si="3"/>
        <v>22.982392083964108</v>
      </c>
      <c r="I9">
        <f t="shared" si="4"/>
        <v>2363.5321843069528</v>
      </c>
    </row>
    <row r="10" spans="1:9" ht="20.25" customHeight="1" x14ac:dyDescent="0.3">
      <c r="A10" s="9">
        <f t="shared" si="5"/>
        <v>43313</v>
      </c>
      <c r="B10" cm="1">
        <f t="array" ref="B10">INDEX(Mani_Dati!$C$3:$C$5,
       MATCH(1,
             (A10&gt;=Mani_Dati!$A$3:$A$5)*(A10&lt;=Mani_Dati!$B$3:$B$5),
             0))</f>
        <v>800</v>
      </c>
      <c r="C10">
        <f t="shared" si="0"/>
        <v>48</v>
      </c>
      <c r="D10" s="7">
        <f>INDEX(Dalu_Cenas!$A:$I,
       MATCH(A10, Dalu_Cenas!$A:$A, 1),
       MATCH(Mani_Dati!$B$7, Dalu_Cenas!$1:$1, 0))</f>
        <v>103.815</v>
      </c>
      <c r="E10" s="8">
        <f t="shared" si="1"/>
        <v>0.46236093050137267</v>
      </c>
      <c r="F10">
        <f>F$1 + SUM($E$2:E10)</f>
        <v>23.452665510958589</v>
      </c>
      <c r="G10" s="10">
        <f t="shared" si="2"/>
        <v>8.071625713354914E-3</v>
      </c>
      <c r="H10">
        <f t="shared" si="3"/>
        <v>23.444593885245233</v>
      </c>
      <c r="I10">
        <f t="shared" si="4"/>
        <v>2433.9005141967336</v>
      </c>
    </row>
    <row r="11" spans="1:9" ht="20.25" customHeight="1" x14ac:dyDescent="0.3">
      <c r="A11" s="9">
        <f t="shared" si="5"/>
        <v>43344</v>
      </c>
      <c r="B11" cm="1">
        <f t="array" ref="B11">INDEX(Mani_Dati!$C$3:$C$5,
       MATCH(1,
             (A11&gt;=Mani_Dati!$A$3:$A$5)*(A11&lt;=Mani_Dati!$B$3:$B$5),
             0))</f>
        <v>800</v>
      </c>
      <c r="C11">
        <f t="shared" si="0"/>
        <v>48</v>
      </c>
      <c r="D11" s="7">
        <f>INDEX(Dalu_Cenas!$A:$I,
       MATCH(A11, Dalu_Cenas!$A:$A, 1),
       MATCH(Mani_Dati!$B$7, Dalu_Cenas!$1:$1, 0))</f>
        <v>104.843</v>
      </c>
      <c r="E11" s="8">
        <f t="shared" si="1"/>
        <v>0.45782741813950384</v>
      </c>
      <c r="F11">
        <f>F$1 + SUM($E$2:E11)</f>
        <v>23.910492929098091</v>
      </c>
      <c r="G11" s="10">
        <f t="shared" si="2"/>
        <v>8.2291946497645933E-3</v>
      </c>
      <c r="H11">
        <f t="shared" si="3"/>
        <v>23.902263734448326</v>
      </c>
      <c r="I11">
        <f t="shared" si="4"/>
        <v>2505.9850367107661</v>
      </c>
    </row>
    <row r="12" spans="1:9" ht="20.25" customHeight="1" x14ac:dyDescent="0.3">
      <c r="A12" s="9">
        <f>EDATE(A11,1)</f>
        <v>43374</v>
      </c>
      <c r="B12" cm="1">
        <f t="array" ref="B12">INDEX(Mani_Dati!$C$3:$C$5,
       MATCH(1,
             (A12&gt;=Mani_Dati!$A$3:$A$5)*(A12&lt;=Mani_Dati!$B$3:$B$5),
             0))</f>
        <v>800</v>
      </c>
      <c r="C12">
        <f t="shared" si="0"/>
        <v>48</v>
      </c>
      <c r="D12" s="7">
        <f>INDEX(Dalu_Cenas!$A:$I,
       MATCH(A12, Dalu_Cenas!$A:$A, 1),
       MATCH(Mani_Dati!$B$7, Dalu_Cenas!$1:$1, 0))</f>
        <v>104.82899999999999</v>
      </c>
      <c r="E12" s="8">
        <f t="shared" si="1"/>
        <v>0.45788856137137629</v>
      </c>
      <c r="F12">
        <f>F$1 + SUM($E$2:E12)</f>
        <v>24.368381490469467</v>
      </c>
      <c r="G12" s="10">
        <f t="shared" si="2"/>
        <v>8.3867846296365751E-3</v>
      </c>
      <c r="H12">
        <f t="shared" si="3"/>
        <v>24.359994705839831</v>
      </c>
      <c r="I12">
        <f t="shared" si="4"/>
        <v>2553.6338850184834</v>
      </c>
    </row>
    <row r="13" spans="1:9" ht="20.25" customHeight="1" x14ac:dyDescent="0.3">
      <c r="A13" s="9">
        <f t="shared" si="5"/>
        <v>43405</v>
      </c>
      <c r="B13" cm="1">
        <f t="array" ref="B13">INDEX(Mani_Dati!$C$3:$C$5,
       MATCH(1,
             (A13&gt;=Mani_Dati!$A$3:$A$5)*(A13&lt;=Mani_Dati!$B$3:$B$5),
             0))</f>
        <v>800</v>
      </c>
      <c r="C13">
        <f t="shared" si="0"/>
        <v>48</v>
      </c>
      <c r="D13" s="7">
        <f>INDEX(Dalu_Cenas!$A:$I,
       MATCH(A13, Dalu_Cenas!$A:$A, 1),
       MATCH(Mani_Dati!$B$7, Dalu_Cenas!$1:$1, 0))</f>
        <v>102.15600000000001</v>
      </c>
      <c r="E13" s="8">
        <f t="shared" si="1"/>
        <v>0.46986961118289672</v>
      </c>
      <c r="F13">
        <f>F$1 + SUM($E$2:E13)</f>
        <v>24.838251101652364</v>
      </c>
      <c r="G13" s="10">
        <f t="shared" si="2"/>
        <v>8.5484980874853556E-3</v>
      </c>
      <c r="H13">
        <f t="shared" si="3"/>
        <v>24.829702603564879</v>
      </c>
      <c r="I13">
        <f t="shared" si="4"/>
        <v>2536.503099169774</v>
      </c>
    </row>
    <row r="14" spans="1:9" ht="20.25" customHeight="1" x14ac:dyDescent="0.3">
      <c r="A14" s="9">
        <f t="shared" si="5"/>
        <v>43435</v>
      </c>
      <c r="B14" cm="1">
        <f t="array" ref="B14">INDEX(Mani_Dati!$C$3:$C$5,
       MATCH(1,
             (A14&gt;=Mani_Dati!$A$3:$A$5)*(A14&lt;=Mani_Dati!$B$3:$B$5),
             0))</f>
        <v>800</v>
      </c>
      <c r="C14">
        <f t="shared" si="0"/>
        <v>48</v>
      </c>
      <c r="D14" s="7">
        <f>INDEX(Dalu_Cenas!$A:$I,
       MATCH(A14, Dalu_Cenas!$A:$A, 1),
       MATCH(Mani_Dati!$B$7, Dalu_Cenas!$1:$1, 0))</f>
        <v>102.92400000000001</v>
      </c>
      <c r="E14" s="8">
        <f t="shared" si="1"/>
        <v>0.46636353037192491</v>
      </c>
      <c r="F14">
        <f>F$1 + SUM($E$2:E14)</f>
        <v>25.30461463202429</v>
      </c>
      <c r="G14" s="10">
        <f t="shared" si="2"/>
        <v>8.7090048691883595E-3</v>
      </c>
      <c r="H14">
        <f t="shared" si="3"/>
        <v>25.295905627155101</v>
      </c>
      <c r="I14">
        <f t="shared" si="4"/>
        <v>2603.5557907693119</v>
      </c>
    </row>
    <row r="15" spans="1:9" ht="20.25" customHeight="1" x14ac:dyDescent="0.3">
      <c r="A15" s="9">
        <f t="shared" si="5"/>
        <v>43466</v>
      </c>
      <c r="B15" cm="1">
        <f t="array" ref="B15">INDEX(Mani_Dati!$C$3:$C$5,
       MATCH(1,
             (A15&gt;=Mani_Dati!$A$3:$A$5)*(A15&lt;=Mani_Dati!$B$3:$B$5),
             0))</f>
        <v>800</v>
      </c>
      <c r="C15">
        <f t="shared" si="0"/>
        <v>48</v>
      </c>
      <c r="D15" s="7">
        <f>INDEX(Dalu_Cenas!$A:$I,
       MATCH(A15, Dalu_Cenas!$A:$A, 1),
       MATCH(Mani_Dati!$B$7, Dalu_Cenas!$1:$1, 0))</f>
        <v>99.114000000000004</v>
      </c>
      <c r="E15" s="8">
        <f t="shared" si="1"/>
        <v>0.48429081663538953</v>
      </c>
      <c r="F15">
        <f>F$1 + SUM($E$2:E15)</f>
        <v>25.78890544865968</v>
      </c>
      <c r="G15" s="10">
        <f t="shared" si="2"/>
        <v>8.8756816252470398E-3</v>
      </c>
      <c r="H15">
        <f t="shared" si="3"/>
        <v>25.780029767034431</v>
      </c>
      <c r="I15">
        <f t="shared" si="4"/>
        <v>2555.1618703298509</v>
      </c>
    </row>
    <row r="16" spans="1:9" ht="20.25" customHeight="1" x14ac:dyDescent="0.3">
      <c r="A16" s="9">
        <f t="shared" si="5"/>
        <v>43497</v>
      </c>
      <c r="B16" cm="1">
        <f t="array" ref="B16">INDEX(Mani_Dati!$C$3:$C$5,
       MATCH(1,
             (A16&gt;=Mani_Dati!$A$3:$A$5)*(A16&lt;=Mani_Dati!$B$3:$B$5),
             0))</f>
        <v>800</v>
      </c>
      <c r="C16">
        <f t="shared" si="0"/>
        <v>48</v>
      </c>
      <c r="D16" s="7">
        <f>INDEX(Dalu_Cenas!$A:$I,
       MATCH(A16, Dalu_Cenas!$A:$A, 1),
       MATCH(Mani_Dati!$B$7, Dalu_Cenas!$1:$1, 0))</f>
        <v>102.8</v>
      </c>
      <c r="E16" s="8">
        <f t="shared" si="1"/>
        <v>0.46692607003891051</v>
      </c>
      <c r="F16">
        <f>F$1 + SUM($E$2:E16)</f>
        <v>26.255831518698589</v>
      </c>
      <c r="G16" s="10">
        <f t="shared" si="2"/>
        <v>9.0363820143520984E-3</v>
      </c>
      <c r="H16">
        <f t="shared" si="3"/>
        <v>26.246795136684238</v>
      </c>
      <c r="I16">
        <f t="shared" si="4"/>
        <v>2698.1705400511396</v>
      </c>
    </row>
    <row r="17" spans="1:9" ht="20.25" customHeight="1" x14ac:dyDescent="0.3">
      <c r="A17" s="9">
        <f t="shared" si="5"/>
        <v>43525</v>
      </c>
      <c r="B17" cm="1">
        <f t="array" ref="B17">INDEX(Mani_Dati!$C$3:$C$5,
       MATCH(1,
             (A17&gt;=Mani_Dati!$A$3:$A$5)*(A17&lt;=Mani_Dati!$B$3:$B$5),
             0))</f>
        <v>800</v>
      </c>
      <c r="C17">
        <f t="shared" si="0"/>
        <v>48</v>
      </c>
      <c r="D17" s="7">
        <f>INDEX(Dalu_Cenas!$A:$I,
       MATCH(A17, Dalu_Cenas!$A:$A, 1),
       MATCH(Mani_Dati!$B$7, Dalu_Cenas!$1:$1, 0))</f>
        <v>105.143</v>
      </c>
      <c r="E17" s="8">
        <f t="shared" si="1"/>
        <v>0.45652111885717545</v>
      </c>
      <c r="F17">
        <f>F$1 + SUM($E$2:E17)</f>
        <v>26.712352637555764</v>
      </c>
      <c r="G17" s="10">
        <f t="shared" si="2"/>
        <v>9.1935013660921095E-3</v>
      </c>
      <c r="H17">
        <f t="shared" si="3"/>
        <v>26.703159136189672</v>
      </c>
      <c r="I17">
        <f t="shared" si="4"/>
        <v>2807.6502610563907</v>
      </c>
    </row>
    <row r="18" spans="1:9" ht="20.25" customHeight="1" x14ac:dyDescent="0.3">
      <c r="A18" s="9">
        <f t="shared" si="5"/>
        <v>43556</v>
      </c>
      <c r="B18" cm="1">
        <f t="array" ref="B18">INDEX(Mani_Dati!$C$3:$C$5,
       MATCH(1,
             (A18&gt;=Mani_Dati!$A$3:$A$5)*(A18&lt;=Mani_Dati!$B$3:$B$5),
             0))</f>
        <v>800</v>
      </c>
      <c r="C18">
        <f t="shared" si="0"/>
        <v>48</v>
      </c>
      <c r="D18" s="7">
        <f>INDEX(Dalu_Cenas!$A:$I,
       MATCH(A18, Dalu_Cenas!$A:$A, 1),
       MATCH(Mani_Dati!$B$7, Dalu_Cenas!$1:$1, 0))</f>
        <v>107.057</v>
      </c>
      <c r="E18" s="8">
        <f t="shared" si="1"/>
        <v>0.44835928524057278</v>
      </c>
      <c r="F18">
        <f>F$1 + SUM($E$2:E18)</f>
        <v>27.160711922796338</v>
      </c>
      <c r="G18" s="10">
        <f t="shared" si="2"/>
        <v>9.3478116867624066E-3</v>
      </c>
      <c r="H18">
        <f t="shared" si="3"/>
        <v>27.151364111109576</v>
      </c>
      <c r="I18">
        <f t="shared" si="4"/>
        <v>2906.7435876430577</v>
      </c>
    </row>
    <row r="19" spans="1:9" ht="20.25" customHeight="1" x14ac:dyDescent="0.3">
      <c r="A19" s="9">
        <f t="shared" si="5"/>
        <v>43586</v>
      </c>
      <c r="B19" cm="1">
        <f t="array" ref="B19">INDEX(Mani_Dati!$C$3:$C$5,
       MATCH(1,
             (A19&gt;=Mani_Dati!$A$3:$A$5)*(A19&lt;=Mani_Dati!$B$3:$B$5),
             0))</f>
        <v>800</v>
      </c>
      <c r="C19">
        <f t="shared" si="0"/>
        <v>48</v>
      </c>
      <c r="D19" s="7">
        <f>INDEX(Dalu_Cenas!$A:$I,
       MATCH(A19, Dalu_Cenas!$A:$A, 1),
       MATCH(Mani_Dati!$B$7, Dalu_Cenas!$1:$1, 0))</f>
        <v>109.408</v>
      </c>
      <c r="E19" s="8">
        <f t="shared" si="1"/>
        <v>0.43872477332553378</v>
      </c>
      <c r="F19">
        <f>F$1 + SUM($E$2:E19)</f>
        <v>27.59943669612187</v>
      </c>
      <c r="G19" s="10">
        <f t="shared" si="2"/>
        <v>9.4988061295819444E-3</v>
      </c>
      <c r="H19">
        <f t="shared" si="3"/>
        <v>27.589937889992289</v>
      </c>
      <c r="I19">
        <f t="shared" si="4"/>
        <v>3018.5599246682764</v>
      </c>
    </row>
    <row r="20" spans="1:9" ht="20.25" customHeight="1" x14ac:dyDescent="0.3">
      <c r="A20" s="9">
        <f t="shared" si="5"/>
        <v>43617</v>
      </c>
      <c r="B20" cm="1">
        <f t="array" ref="B20">INDEX(Mani_Dati!$C$3:$C$5,
       MATCH(1,
             (A20&gt;=Mani_Dati!$A$3:$A$5)*(A20&lt;=Mani_Dati!$B$3:$B$5),
             0))</f>
        <v>800</v>
      </c>
      <c r="C20">
        <f t="shared" si="0"/>
        <v>48</v>
      </c>
      <c r="D20" s="7">
        <f>INDEX(Dalu_Cenas!$A:$I,
       MATCH(A20, Dalu_Cenas!$A:$A, 1),
       MATCH(Mani_Dati!$B$7, Dalu_Cenas!$1:$1, 0))</f>
        <v>107.38</v>
      </c>
      <c r="E20" s="8">
        <f t="shared" si="1"/>
        <v>0.44701061650214197</v>
      </c>
      <c r="F20">
        <f>F$1 + SUM($E$2:E20)</f>
        <v>28.046447312624011</v>
      </c>
      <c r="G20" s="10">
        <f t="shared" si="2"/>
        <v>9.6526522834280964E-3</v>
      </c>
      <c r="H20">
        <f t="shared" si="3"/>
        <v>28.036794660340583</v>
      </c>
      <c r="I20">
        <f t="shared" si="4"/>
        <v>3010.5910106273718</v>
      </c>
    </row>
    <row r="21" spans="1:9" ht="20.25" customHeight="1" x14ac:dyDescent="0.3">
      <c r="A21" s="9">
        <f t="shared" si="5"/>
        <v>43647</v>
      </c>
      <c r="B21" cm="1">
        <f t="array" ref="B21">INDEX(Mani_Dati!$C$3:$C$5,
       MATCH(1,
             (A21&gt;=Mani_Dati!$A$3:$A$5)*(A21&lt;=Mani_Dati!$B$3:$B$5),
             0))</f>
        <v>800</v>
      </c>
      <c r="C21">
        <f t="shared" si="0"/>
        <v>48</v>
      </c>
      <c r="D21" s="7">
        <f>INDEX(Dalu_Cenas!$A:$I,
       MATCH(A21, Dalu_Cenas!$A:$A, 1),
       MATCH(Mani_Dati!$B$7, Dalu_Cenas!$1:$1, 0))</f>
        <v>109.619</v>
      </c>
      <c r="E21" s="8">
        <f t="shared" si="1"/>
        <v>0.43788029447449806</v>
      </c>
      <c r="F21">
        <f>F$1 + SUM($E$2:E21)</f>
        <v>28.484327607098511</v>
      </c>
      <c r="G21" s="10">
        <f t="shared" si="2"/>
        <v>9.8033560847764038E-3</v>
      </c>
      <c r="H21">
        <f t="shared" si="3"/>
        <v>28.474524251013733</v>
      </c>
      <c r="I21">
        <f t="shared" si="4"/>
        <v>3121.3488738718743</v>
      </c>
    </row>
    <row r="22" spans="1:9" ht="20.25" customHeight="1" x14ac:dyDescent="0.3">
      <c r="A22" s="9">
        <f t="shared" si="5"/>
        <v>43678</v>
      </c>
      <c r="B22" cm="1">
        <f t="array" ref="B22">INDEX(Mani_Dati!$C$3:$C$5,
       MATCH(1,
             (A22&gt;=Mani_Dati!$A$3:$A$5)*(A22&lt;=Mani_Dati!$B$3:$B$5),
             0))</f>
        <v>800</v>
      </c>
      <c r="C22">
        <f t="shared" si="0"/>
        <v>48</v>
      </c>
      <c r="D22" s="7">
        <f>INDEX(Dalu_Cenas!$A:$I,
       MATCH(A22, Dalu_Cenas!$A:$A, 1),
       MATCH(Mani_Dati!$B$7, Dalu_Cenas!$1:$1, 0))</f>
        <v>112.373</v>
      </c>
      <c r="E22" s="8">
        <f t="shared" si="1"/>
        <v>0.42714887028022747</v>
      </c>
      <c r="F22">
        <f>F$1 + SUM($E$2:E22)</f>
        <v>28.911476477378738</v>
      </c>
      <c r="G22" s="10">
        <f t="shared" si="2"/>
        <v>9.9503664876311824E-3</v>
      </c>
      <c r="H22">
        <f t="shared" si="3"/>
        <v>28.901526110891108</v>
      </c>
      <c r="I22">
        <f t="shared" si="4"/>
        <v>3247.7511936591668</v>
      </c>
    </row>
    <row r="23" spans="1:9" ht="20.25" customHeight="1" x14ac:dyDescent="0.3">
      <c r="A23" s="9">
        <f t="shared" si="5"/>
        <v>43709</v>
      </c>
      <c r="B23" cm="1">
        <f t="array" ref="B23">INDEX(Mani_Dati!$C$3:$C$5,
       MATCH(1,
             (A23&gt;=Mani_Dati!$A$3:$A$5)*(A23&lt;=Mani_Dati!$B$3:$B$5),
             0))</f>
        <v>1500</v>
      </c>
      <c r="C23">
        <f t="shared" si="0"/>
        <v>90</v>
      </c>
      <c r="D23" s="7">
        <f>INDEX(Dalu_Cenas!$A:$I,
       MATCH(A23, Dalu_Cenas!$A:$A, 1),
       MATCH(Mani_Dati!$B$7, Dalu_Cenas!$1:$1, 0))</f>
        <v>112.06100000000001</v>
      </c>
      <c r="E23" s="8">
        <f t="shared" si="1"/>
        <v>0.80313400737098539</v>
      </c>
      <c r="F23">
        <f>F$1 + SUM($E$2:E23)</f>
        <v>29.714610484749723</v>
      </c>
      <c r="G23" s="10">
        <f t="shared" si="2"/>
        <v>1.0226778441834696E-2</v>
      </c>
      <c r="H23">
        <f t="shared" si="3"/>
        <v>29.70438370630789</v>
      </c>
      <c r="I23">
        <f t="shared" si="4"/>
        <v>3328.7029425125688</v>
      </c>
    </row>
    <row r="24" spans="1:9" ht="20.25" customHeight="1" x14ac:dyDescent="0.3">
      <c r="A24" s="9">
        <f t="shared" si="5"/>
        <v>43739</v>
      </c>
      <c r="B24" cm="1">
        <f t="array" ref="B24">INDEX(Mani_Dati!$C$3:$C$5,
       MATCH(1,
             (A24&gt;=Mani_Dati!$A$3:$A$5)*(A24&lt;=Mani_Dati!$B$3:$B$5),
             0))</f>
        <v>1500</v>
      </c>
      <c r="C24">
        <f t="shared" si="0"/>
        <v>90</v>
      </c>
      <c r="D24" s="7">
        <f>INDEX(Dalu_Cenas!$A:$I,
       MATCH(A24, Dalu_Cenas!$A:$A, 1),
       MATCH(Mani_Dati!$B$7, Dalu_Cenas!$1:$1, 0))</f>
        <v>114.006</v>
      </c>
      <c r="E24" s="8">
        <f t="shared" si="1"/>
        <v>0.78943213515078159</v>
      </c>
      <c r="F24">
        <f>F$1 + SUM($E$2:E24)</f>
        <v>30.504042619900503</v>
      </c>
      <c r="G24" s="10">
        <f t="shared" si="2"/>
        <v>1.049847466834909E-2</v>
      </c>
      <c r="H24">
        <f t="shared" si="3"/>
        <v>30.493544145232153</v>
      </c>
      <c r="I24">
        <f t="shared" si="4"/>
        <v>3476.4469938213369</v>
      </c>
    </row>
    <row r="25" spans="1:9" ht="20.25" customHeight="1" x14ac:dyDescent="0.3">
      <c r="A25" s="9">
        <f t="shared" si="5"/>
        <v>43770</v>
      </c>
      <c r="B25" cm="1">
        <f t="array" ref="B25">INDEX(Mani_Dati!$C$3:$C$5,
       MATCH(1,
             (A25&gt;=Mani_Dati!$A$3:$A$5)*(A25&lt;=Mani_Dati!$B$3:$B$5),
             0))</f>
        <v>1500</v>
      </c>
      <c r="C25">
        <f t="shared" si="0"/>
        <v>90</v>
      </c>
      <c r="D25" s="7">
        <f>INDEX(Dalu_Cenas!$A:$I,
       MATCH(A25, Dalu_Cenas!$A:$A, 1),
       MATCH(Mani_Dati!$B$7, Dalu_Cenas!$1:$1, 0))</f>
        <v>113.74299999999999</v>
      </c>
      <c r="E25" s="8">
        <f t="shared" si="1"/>
        <v>0.79125748397703599</v>
      </c>
      <c r="F25">
        <f>F$1 + SUM($E$2:E25)</f>
        <v>31.29530010387754</v>
      </c>
      <c r="G25" s="10">
        <f t="shared" si="2"/>
        <v>1.0770799119084519E-2</v>
      </c>
      <c r="H25">
        <f t="shared" si="3"/>
        <v>31.284529304758458</v>
      </c>
      <c r="I25">
        <f t="shared" si="4"/>
        <v>3558.3962167111413</v>
      </c>
    </row>
    <row r="26" spans="1:9" ht="20.25" customHeight="1" x14ac:dyDescent="0.3">
      <c r="A26" s="9">
        <f t="shared" si="5"/>
        <v>43800</v>
      </c>
      <c r="B26" cm="1">
        <f t="array" ref="B26">INDEX(Mani_Dati!$C$3:$C$5,
       MATCH(1,
             (A26&gt;=Mani_Dati!$A$3:$A$5)*(A26&lt;=Mani_Dati!$B$3:$B$5),
             0))</f>
        <v>1500</v>
      </c>
      <c r="C26">
        <f t="shared" si="0"/>
        <v>90</v>
      </c>
      <c r="D26" s="7">
        <f>INDEX(Dalu_Cenas!$A:$I,
       MATCH(A26, Dalu_Cenas!$A:$A, 1),
       MATCH(Mani_Dati!$B$7, Dalu_Cenas!$1:$1, 0))</f>
        <v>116.10299999999999</v>
      </c>
      <c r="E26" s="8">
        <f t="shared" si="1"/>
        <v>0.77517376811968686</v>
      </c>
      <c r="F26">
        <f>F$1 + SUM($E$2:E26)</f>
        <v>32.07047387199723</v>
      </c>
      <c r="G26" s="10">
        <f t="shared" si="2"/>
        <v>1.1037588090945714E-2</v>
      </c>
      <c r="H26">
        <f t="shared" si="3"/>
        <v>32.059436283906287</v>
      </c>
      <c r="I26">
        <f t="shared" si="4"/>
        <v>3722.1967308703715</v>
      </c>
    </row>
    <row r="27" spans="1:9" ht="20.25" customHeight="1" x14ac:dyDescent="0.3">
      <c r="A27" s="9">
        <f t="shared" si="5"/>
        <v>43831</v>
      </c>
      <c r="B27" cm="1">
        <f t="array" ref="B27">INDEX(Mani_Dati!$C$3:$C$5,
       MATCH(1,
             (A27&gt;=Mani_Dati!$A$3:$A$5)*(A27&lt;=Mani_Dati!$B$3:$B$5),
             0))</f>
        <v>1000</v>
      </c>
      <c r="C27">
        <f t="shared" si="0"/>
        <v>60</v>
      </c>
      <c r="D27" s="7">
        <f>INDEX(Dalu_Cenas!$A:$I,
       MATCH(A27, Dalu_Cenas!$A:$A, 1),
       MATCH(Mani_Dati!$B$7, Dalu_Cenas!$1:$1, 0))</f>
        <v>115.726</v>
      </c>
      <c r="E27" s="8">
        <f t="shared" si="1"/>
        <v>0.51846603183381434</v>
      </c>
      <c r="F27">
        <f>F$1 + SUM($E$2:E27)</f>
        <v>32.58893990383104</v>
      </c>
      <c r="G27" s="10">
        <f t="shared" si="2"/>
        <v>1.121602681690185E-2</v>
      </c>
      <c r="H27">
        <f t="shared" si="3"/>
        <v>32.577723877014137</v>
      </c>
      <c r="I27">
        <f t="shared" si="4"/>
        <v>3770.0896733913378</v>
      </c>
    </row>
    <row r="28" spans="1:9" ht="20.25" customHeight="1" x14ac:dyDescent="0.3">
      <c r="A28" s="9">
        <f t="shared" si="5"/>
        <v>43862</v>
      </c>
      <c r="B28" cm="1">
        <f t="array" ref="B28">INDEX(Mani_Dati!$C$3:$C$5,
       MATCH(1,
             (A28&gt;=Mani_Dati!$A$3:$A$5)*(A28&lt;=Mani_Dati!$B$3:$B$5),
             0))</f>
        <v>1000</v>
      </c>
      <c r="C28">
        <f t="shared" si="0"/>
        <v>60</v>
      </c>
      <c r="D28" s="7">
        <f>INDEX(Dalu_Cenas!$A:$I,
       MATCH(A28, Dalu_Cenas!$A:$A, 1),
       MATCH(Mani_Dati!$B$7, Dalu_Cenas!$1:$1, 0))</f>
        <v>118.202</v>
      </c>
      <c r="E28" s="8">
        <f t="shared" si="1"/>
        <v>0.50760562427031697</v>
      </c>
      <c r="F28">
        <f>F$1 + SUM($E$2:E28)</f>
        <v>33.096545528101359</v>
      </c>
      <c r="G28" s="10">
        <f t="shared" si="2"/>
        <v>1.1390727752588217E-2</v>
      </c>
      <c r="H28">
        <f t="shared" si="3"/>
        <v>33.085154800348768</v>
      </c>
      <c r="I28">
        <f t="shared" si="4"/>
        <v>3910.7314677108252</v>
      </c>
    </row>
    <row r="29" spans="1:9" ht="20.25" customHeight="1" x14ac:dyDescent="0.3">
      <c r="A29" s="9">
        <f t="shared" si="5"/>
        <v>43891</v>
      </c>
      <c r="B29" cm="1">
        <f t="array" ref="B29">INDEX(Mani_Dati!$C$3:$C$5,
       MATCH(1,
             (A29&gt;=Mani_Dati!$A$3:$A$5)*(A29&lt;=Mani_Dati!$B$3:$B$5),
             0))</f>
        <v>1000</v>
      </c>
      <c r="C29">
        <f t="shared" si="0"/>
        <v>60</v>
      </c>
      <c r="D29" s="7">
        <f>INDEX(Dalu_Cenas!$A:$I,
       MATCH(A29, Dalu_Cenas!$A:$A, 1),
       MATCH(Mani_Dati!$B$7, Dalu_Cenas!$1:$1, 0))</f>
        <v>116.271</v>
      </c>
      <c r="E29" s="8">
        <f t="shared" si="1"/>
        <v>0.51603581288541422</v>
      </c>
      <c r="F29">
        <f>F$1 + SUM($E$2:E29)</f>
        <v>33.612581340986772</v>
      </c>
      <c r="G29" s="10">
        <f t="shared" si="2"/>
        <v>1.1568330078189614E-2</v>
      </c>
      <c r="H29">
        <f t="shared" si="3"/>
        <v>33.601013010908581</v>
      </c>
      <c r="I29">
        <f t="shared" si="4"/>
        <v>3906.8233837913517</v>
      </c>
    </row>
    <row r="30" spans="1:9" ht="20.25" customHeight="1" x14ac:dyDescent="0.3">
      <c r="A30" s="9">
        <f t="shared" si="5"/>
        <v>43922</v>
      </c>
      <c r="B30" cm="1">
        <f t="array" ref="B30">INDEX(Mani_Dati!$C$3:$C$5,
       MATCH(1,
             (A30&gt;=Mani_Dati!$A$3:$A$5)*(A30&lt;=Mani_Dati!$B$3:$B$5),
             0))</f>
        <v>1000</v>
      </c>
      <c r="C30">
        <f t="shared" si="0"/>
        <v>60</v>
      </c>
      <c r="D30" s="7">
        <f>INDEX(Dalu_Cenas!$A:$I,
       MATCH(A30, Dalu_Cenas!$A:$A, 1),
       MATCH(Mani_Dati!$B$7, Dalu_Cenas!$1:$1, 0))</f>
        <v>105.16200000000001</v>
      </c>
      <c r="E30" s="8">
        <f t="shared" si="1"/>
        <v>0.57054829691333364</v>
      </c>
      <c r="F30">
        <f>F$1 + SUM($E$2:E30)</f>
        <v>34.183129637900109</v>
      </c>
      <c r="G30" s="10">
        <f t="shared" si="2"/>
        <v>1.176469378371062E-2</v>
      </c>
      <c r="H30">
        <f t="shared" si="3"/>
        <v>34.171364944116398</v>
      </c>
      <c r="I30">
        <f t="shared" si="4"/>
        <v>3593.529080253169</v>
      </c>
    </row>
    <row r="31" spans="1:9" ht="20.25" customHeight="1" x14ac:dyDescent="0.3">
      <c r="A31" s="9">
        <f t="shared" si="5"/>
        <v>43952</v>
      </c>
      <c r="B31" cm="1">
        <f t="array" ref="B31">INDEX(Mani_Dati!$C$3:$C$5,
       MATCH(1,
             (A31&gt;=Mani_Dati!$A$3:$A$5)*(A31&lt;=Mani_Dati!$B$3:$B$5),
             0))</f>
        <v>1000</v>
      </c>
      <c r="C31">
        <f t="shared" si="0"/>
        <v>60</v>
      </c>
      <c r="D31" s="7">
        <f>INDEX(Dalu_Cenas!$A:$I,
       MATCH(A31, Dalu_Cenas!$A:$A, 1),
       MATCH(Mani_Dati!$B$7, Dalu_Cenas!$1:$1, 0))</f>
        <v>110.861</v>
      </c>
      <c r="E31" s="8">
        <f t="shared" si="1"/>
        <v>0.54121828235357783</v>
      </c>
      <c r="F31">
        <f>F$1 + SUM($E$2:E31)</f>
        <v>34.724347920253685</v>
      </c>
      <c r="G31" s="10">
        <f t="shared" si="2"/>
        <v>1.1950963075887311E-2</v>
      </c>
      <c r="H31">
        <f t="shared" si="3"/>
        <v>34.712396957177795</v>
      </c>
      <c r="I31">
        <f t="shared" si="4"/>
        <v>3848.2510390696875</v>
      </c>
    </row>
    <row r="32" spans="1:9" ht="20.25" customHeight="1" x14ac:dyDescent="0.3">
      <c r="A32" s="9">
        <f t="shared" si="5"/>
        <v>43983</v>
      </c>
      <c r="B32" cm="1">
        <f t="array" ref="B32">INDEX(Mani_Dati!$C$3:$C$5,
       MATCH(1,
             (A32&gt;=Mani_Dati!$A$3:$A$5)*(A32&lt;=Mani_Dati!$B$3:$B$5),
             0))</f>
        <v>1000</v>
      </c>
      <c r="C32">
        <f t="shared" si="0"/>
        <v>60</v>
      </c>
      <c r="D32" s="7">
        <f>INDEX(Dalu_Cenas!$A:$I,
       MATCH(A32, Dalu_Cenas!$A:$A, 1),
       MATCH(Mani_Dati!$B$7, Dalu_Cenas!$1:$1, 0))</f>
        <v>112.485</v>
      </c>
      <c r="E32" s="8">
        <f t="shared" si="1"/>
        <v>0.53340445392719027</v>
      </c>
      <c r="F32">
        <f>F$1 + SUM($E$2:E32)</f>
        <v>35.257752374180875</v>
      </c>
      <c r="G32" s="10">
        <f t="shared" si="2"/>
        <v>1.2134543108780585E-2</v>
      </c>
      <c r="H32">
        <f t="shared" si="3"/>
        <v>35.245617831072096</v>
      </c>
      <c r="I32">
        <f t="shared" si="4"/>
        <v>3964.6033217281447</v>
      </c>
    </row>
    <row r="33" spans="1:9" ht="20.25" customHeight="1" x14ac:dyDescent="0.3">
      <c r="A33" s="9">
        <f t="shared" ref="A33:A57" si="6">EDATE(A32,1)</f>
        <v>44013</v>
      </c>
      <c r="B33" cm="1">
        <f t="array" ref="B33">INDEX(Mani_Dati!$C$3:$C$5,
       MATCH(1,
             (A33&gt;=Mani_Dati!$A$3:$A$5)*(A33&lt;=Mani_Dati!$B$3:$B$5),
             0))</f>
        <v>1000</v>
      </c>
      <c r="C33">
        <f t="shared" si="0"/>
        <v>60</v>
      </c>
      <c r="D33" s="7">
        <f>INDEX(Dalu_Cenas!$A:$I,
       MATCH(A33, Dalu_Cenas!$A:$A, 1),
       MATCH(Mani_Dati!$B$7, Dalu_Cenas!$1:$1, 0))</f>
        <v>113.05800000000001</v>
      </c>
      <c r="E33" s="8">
        <f t="shared" ref="E33:E57" si="7">IF(D33=0,0,C33/D33)</f>
        <v>0.53070105609510154</v>
      </c>
      <c r="F33">
        <f>F$1 + SUM($E$2:E33)</f>
        <v>35.788453430275979</v>
      </c>
      <c r="G33" s="10">
        <f t="shared" si="2"/>
        <v>1.2317192722253316E-2</v>
      </c>
      <c r="H33">
        <f t="shared" ref="H33:H57" si="8">F33 - G33</f>
        <v>35.776136237553729</v>
      </c>
      <c r="I33">
        <f t="shared" ref="I33:I57" si="9">H33 * D33</f>
        <v>4044.7784107453499</v>
      </c>
    </row>
    <row r="34" spans="1:9" ht="20.25" customHeight="1" x14ac:dyDescent="0.3">
      <c r="A34" s="9">
        <f t="shared" si="6"/>
        <v>44044</v>
      </c>
      <c r="B34" cm="1">
        <f t="array" ref="B34">INDEX(Mani_Dati!$C$3:$C$5,
       MATCH(1,
             (A34&gt;=Mani_Dati!$A$3:$A$5)*(A34&lt;=Mani_Dati!$B$3:$B$5),
             0))</f>
        <v>1000</v>
      </c>
      <c r="C34">
        <f t="shared" si="0"/>
        <v>60</v>
      </c>
      <c r="D34" s="7">
        <f>INDEX(Dalu_Cenas!$A:$I,
       MATCH(A34, Dalu_Cenas!$A:$A, 1),
       MATCH(Mani_Dati!$B$7, Dalu_Cenas!$1:$1, 0))</f>
        <v>113.79300000000001</v>
      </c>
      <c r="E34" s="8">
        <f t="shared" si="7"/>
        <v>0.52727320661200594</v>
      </c>
      <c r="F34">
        <f>F$1 + SUM($E$2:E34)</f>
        <v>36.31572663688798</v>
      </c>
      <c r="G34" s="10">
        <f t="shared" si="2"/>
        <v>1.2498662584195613E-2</v>
      </c>
      <c r="H34">
        <f t="shared" si="8"/>
        <v>36.303227974303788</v>
      </c>
      <c r="I34">
        <f t="shared" si="9"/>
        <v>4131.0532208799514</v>
      </c>
    </row>
    <row r="35" spans="1:9" ht="20.25" customHeight="1" x14ac:dyDescent="0.3">
      <c r="A35" s="9">
        <f t="shared" si="6"/>
        <v>44075</v>
      </c>
      <c r="B35" cm="1">
        <f t="array" ref="B35">INDEX(Mani_Dati!$C$3:$C$5,
       MATCH(1,
             (A35&gt;=Mani_Dati!$A$3:$A$5)*(A35&lt;=Mani_Dati!$B$3:$B$5),
             0))</f>
        <v>1000</v>
      </c>
      <c r="C35">
        <f t="shared" si="0"/>
        <v>60</v>
      </c>
      <c r="D35" s="7">
        <f>INDEX(Dalu_Cenas!$A:$I,
       MATCH(A35, Dalu_Cenas!$A:$A, 1),
       MATCH(Mani_Dati!$B$7, Dalu_Cenas!$1:$1, 0))</f>
        <v>116.09399999999999</v>
      </c>
      <c r="E35" s="8">
        <f t="shared" si="7"/>
        <v>0.51682257481006777</v>
      </c>
      <c r="F35">
        <f>F$1 + SUM($E$2:E35)</f>
        <v>36.832549211698051</v>
      </c>
      <c r="G35" s="10">
        <f t="shared" si="2"/>
        <v>1.2676535687026079E-2</v>
      </c>
      <c r="H35">
        <f t="shared" si="8"/>
        <v>36.819872676011023</v>
      </c>
      <c r="I35">
        <f t="shared" si="9"/>
        <v>4274.5662984488235</v>
      </c>
    </row>
    <row r="36" spans="1:9" ht="20.25" customHeight="1" x14ac:dyDescent="0.3">
      <c r="A36" s="9">
        <f t="shared" si="6"/>
        <v>44105</v>
      </c>
      <c r="B36" cm="1">
        <f t="array" ref="B36">INDEX(Mani_Dati!$C$3:$C$5,
       MATCH(1,
             (A36&gt;=Mani_Dati!$A$3:$A$5)*(A36&lt;=Mani_Dati!$B$3:$B$5),
             0))</f>
        <v>1000</v>
      </c>
      <c r="C36">
        <f t="shared" si="0"/>
        <v>60</v>
      </c>
      <c r="D36" s="7">
        <f>INDEX(Dalu_Cenas!$A:$I,
       MATCH(A36, Dalu_Cenas!$A:$A, 1),
       MATCH(Mani_Dati!$B$7, Dalu_Cenas!$1:$1, 0))</f>
        <v>115.444</v>
      </c>
      <c r="E36" s="8">
        <f t="shared" si="7"/>
        <v>0.51973251100100482</v>
      </c>
      <c r="F36">
        <f>F$1 + SUM($E$2:E36)</f>
        <v>37.352281722699054</v>
      </c>
      <c r="G36" s="10">
        <f t="shared" si="2"/>
        <v>1.2855410292895591E-2</v>
      </c>
      <c r="H36">
        <f t="shared" si="8"/>
        <v>37.339426312406161</v>
      </c>
      <c r="I36">
        <f t="shared" si="9"/>
        <v>4310.6127312094168</v>
      </c>
    </row>
    <row r="37" spans="1:9" ht="20.25" customHeight="1" x14ac:dyDescent="0.3">
      <c r="A37" s="9">
        <f t="shared" si="6"/>
        <v>44136</v>
      </c>
      <c r="B37" cm="1">
        <f t="array" ref="B37">INDEX(Mani_Dati!$C$3:$C$5,
       MATCH(1,
             (A37&gt;=Mani_Dati!$A$3:$A$5)*(A37&lt;=Mani_Dati!$B$3:$B$5),
             0))</f>
        <v>1000</v>
      </c>
      <c r="C37">
        <f t="shared" si="0"/>
        <v>60</v>
      </c>
      <c r="D37" s="7">
        <f>INDEX(Dalu_Cenas!$A:$I,
       MATCH(A37, Dalu_Cenas!$A:$A, 1),
       MATCH(Mani_Dati!$B$7, Dalu_Cenas!$1:$1, 0))</f>
        <v>114.532</v>
      </c>
      <c r="E37" s="8">
        <f t="shared" si="7"/>
        <v>0.52387105787028954</v>
      </c>
      <c r="F37">
        <f>F$1 + SUM($E$2:E37)</f>
        <v>37.876152780569342</v>
      </c>
      <c r="G37" s="10">
        <f t="shared" si="2"/>
        <v>1.3035709248645949E-2</v>
      </c>
      <c r="H37">
        <f t="shared" si="8"/>
        <v>37.863117071320694</v>
      </c>
      <c r="I37">
        <f t="shared" si="9"/>
        <v>4336.5385244125018</v>
      </c>
    </row>
    <row r="38" spans="1:9" ht="20.25" customHeight="1" x14ac:dyDescent="0.3">
      <c r="A38" s="9">
        <f t="shared" si="6"/>
        <v>44166</v>
      </c>
      <c r="B38" cm="1">
        <f t="array" ref="B38">INDEX(Mani_Dati!$C$3:$C$5,
       MATCH(1,
             (A38&gt;=Mani_Dati!$A$3:$A$5)*(A38&lt;=Mani_Dati!$B$3:$B$5),
             0))</f>
        <v>1000</v>
      </c>
      <c r="C38">
        <f t="shared" si="0"/>
        <v>60</v>
      </c>
      <c r="D38" s="7">
        <f>INDEX(Dalu_Cenas!$A:$I,
       MATCH(A38, Dalu_Cenas!$A:$A, 1),
       MATCH(Mani_Dati!$B$7, Dalu_Cenas!$1:$1, 0))</f>
        <v>120</v>
      </c>
      <c r="E38" s="8">
        <f t="shared" si="7"/>
        <v>0.5</v>
      </c>
      <c r="F38">
        <f>F$1 + SUM($E$2:E38)</f>
        <v>38.376152780569342</v>
      </c>
      <c r="G38" s="10">
        <f t="shared" si="2"/>
        <v>1.3207792581979282E-2</v>
      </c>
      <c r="H38">
        <f t="shared" si="8"/>
        <v>38.362944987987362</v>
      </c>
      <c r="I38">
        <f t="shared" si="9"/>
        <v>4603.5533985584834</v>
      </c>
    </row>
    <row r="39" spans="1:9" ht="20.25" customHeight="1" x14ac:dyDescent="0.3">
      <c r="A39" s="9">
        <f t="shared" si="6"/>
        <v>44197</v>
      </c>
      <c r="B39" cm="1">
        <f t="array" ref="B39">INDEX(Mani_Dati!$C$3:$C$5,
       MATCH(1,
             (A39&gt;=Mani_Dati!$A$3:$A$5)*(A39&lt;=Mani_Dati!$B$3:$B$5),
             0))</f>
        <v>1000</v>
      </c>
      <c r="C39">
        <f t="shared" si="0"/>
        <v>60</v>
      </c>
      <c r="D39" s="7">
        <f>INDEX(Dalu_Cenas!$A:$I,
       MATCH(A39, Dalu_Cenas!$A:$A, 1),
       MATCH(Mani_Dati!$B$7, Dalu_Cenas!$1:$1, 0))</f>
        <v>120.063</v>
      </c>
      <c r="E39" s="8">
        <f t="shared" si="7"/>
        <v>0.49973763774018637</v>
      </c>
      <c r="F39">
        <f>F$1 + SUM($E$2:E39)</f>
        <v>38.875890418309524</v>
      </c>
      <c r="G39" s="10">
        <f t="shared" si="2"/>
        <v>1.3379785618968194E-2</v>
      </c>
      <c r="H39">
        <f t="shared" si="8"/>
        <v>38.862510632690558</v>
      </c>
      <c r="I39">
        <f t="shared" si="9"/>
        <v>4665.9496140927267</v>
      </c>
    </row>
    <row r="40" spans="1:9" ht="20.25" customHeight="1" x14ac:dyDescent="0.3">
      <c r="A40" s="9">
        <f t="shared" si="6"/>
        <v>44228</v>
      </c>
      <c r="B40" cm="1">
        <f t="array" ref="B40">INDEX(Mani_Dati!$C$3:$C$5,
       MATCH(1,
             (A40&gt;=Mani_Dati!$A$3:$A$5)*(A40&lt;=Mani_Dati!$B$3:$B$5),
             0))</f>
        <v>1000</v>
      </c>
      <c r="C40">
        <f t="shared" si="0"/>
        <v>60</v>
      </c>
      <c r="D40" s="7">
        <f>INDEX(Dalu_Cenas!$A:$I,
       MATCH(A40, Dalu_Cenas!$A:$A, 1),
       MATCH(Mani_Dati!$B$7, Dalu_Cenas!$1:$1, 0))</f>
        <v>120.977</v>
      </c>
      <c r="E40" s="8">
        <f t="shared" si="7"/>
        <v>0.49596204237169045</v>
      </c>
      <c r="F40">
        <f>F$1 + SUM($E$2:E40)</f>
        <v>39.371852460681218</v>
      </c>
      <c r="G40" s="10">
        <f t="shared" si="2"/>
        <v>1.3550479221884452E-2</v>
      </c>
      <c r="H40">
        <f t="shared" si="8"/>
        <v>39.358301981459334</v>
      </c>
      <c r="I40">
        <f t="shared" si="9"/>
        <v>4761.449298811006</v>
      </c>
    </row>
    <row r="41" spans="1:9" ht="20.25" customHeight="1" x14ac:dyDescent="0.3">
      <c r="A41" s="9">
        <f t="shared" si="6"/>
        <v>44256</v>
      </c>
      <c r="B41" cm="1">
        <f t="array" ref="B41">INDEX(Mani_Dati!$C$3:$C$5,
       MATCH(1,
             (A41&gt;=Mani_Dati!$A$3:$A$5)*(A41&lt;=Mani_Dati!$B$3:$B$5),
             0))</f>
        <v>1000</v>
      </c>
      <c r="C41">
        <f t="shared" si="0"/>
        <v>60</v>
      </c>
      <c r="D41" s="7">
        <f>INDEX(Dalu_Cenas!$A:$I,
       MATCH(A41, Dalu_Cenas!$A:$A, 1),
       MATCH(Mani_Dati!$B$7, Dalu_Cenas!$1:$1, 0))</f>
        <v>120.738</v>
      </c>
      <c r="E41" s="8">
        <f t="shared" si="7"/>
        <v>0.49694379565671121</v>
      </c>
      <c r="F41">
        <f>F$1 + SUM($E$2:E41)</f>
        <v>39.86879625633793</v>
      </c>
      <c r="G41" s="10">
        <f t="shared" si="2"/>
        <v>1.3721510711556304E-2</v>
      </c>
      <c r="H41">
        <f t="shared" si="8"/>
        <v>39.855074745626375</v>
      </c>
      <c r="I41">
        <f t="shared" si="9"/>
        <v>4812.0220146374377</v>
      </c>
    </row>
    <row r="42" spans="1:9" ht="20.25" customHeight="1" x14ac:dyDescent="0.3">
      <c r="A42" s="9">
        <f t="shared" si="6"/>
        <v>44287</v>
      </c>
      <c r="B42" cm="1">
        <f t="array" ref="B42">INDEX(Mani_Dati!$C$3:$C$5,
       MATCH(1,
             (A42&gt;=Mani_Dati!$A$3:$A$5)*(A42&lt;=Mani_Dati!$B$3:$B$5),
             0))</f>
        <v>1000</v>
      </c>
      <c r="C42">
        <f t="shared" si="0"/>
        <v>60</v>
      </c>
      <c r="D42" s="7">
        <f>INDEX(Dalu_Cenas!$A:$I,
       MATCH(A42, Dalu_Cenas!$A:$A, 1),
       MATCH(Mani_Dati!$B$7, Dalu_Cenas!$1:$1, 0))</f>
        <v>124.571</v>
      </c>
      <c r="E42" s="8">
        <f t="shared" si="7"/>
        <v>0.48165303320997666</v>
      </c>
      <c r="F42">
        <f>F$1 + SUM($E$2:E42)</f>
        <v>40.35044928954791</v>
      </c>
      <c r="G42" s="10">
        <f t="shared" si="2"/>
        <v>1.3887279630486072E-2</v>
      </c>
      <c r="H42">
        <f t="shared" si="8"/>
        <v>40.336562009917422</v>
      </c>
      <c r="I42">
        <f t="shared" si="9"/>
        <v>5024.7658661374235</v>
      </c>
    </row>
    <row r="43" spans="1:9" ht="20.25" customHeight="1" x14ac:dyDescent="0.3">
      <c r="A43" s="9">
        <f t="shared" si="6"/>
        <v>44317</v>
      </c>
      <c r="B43" cm="1">
        <f t="array" ref="B43">INDEX(Mani_Dati!$C$3:$C$5,
       MATCH(1,
             (A43&gt;=Mani_Dati!$A$3:$A$5)*(A43&lt;=Mani_Dati!$B$3:$B$5),
             0))</f>
        <v>1000</v>
      </c>
      <c r="C43">
        <f t="shared" si="0"/>
        <v>60</v>
      </c>
      <c r="D43" s="7">
        <f>INDEX(Dalu_Cenas!$A:$I,
       MATCH(A43, Dalu_Cenas!$A:$A, 1),
       MATCH(Mani_Dati!$B$7, Dalu_Cenas!$1:$1, 0))</f>
        <v>125.289</v>
      </c>
      <c r="E43" s="8">
        <f t="shared" si="7"/>
        <v>0.47889279984675431</v>
      </c>
      <c r="F43">
        <f>F$1 + SUM($E$2:E43)</f>
        <v>40.829342089394657</v>
      </c>
      <c r="G43" s="10">
        <f t="shared" si="2"/>
        <v>1.4052098569099995E-2</v>
      </c>
      <c r="H43">
        <f t="shared" si="8"/>
        <v>40.815289990825555</v>
      </c>
      <c r="I43">
        <f t="shared" si="9"/>
        <v>5113.7068676605431</v>
      </c>
    </row>
    <row r="44" spans="1:9" ht="20.25" customHeight="1" x14ac:dyDescent="0.3">
      <c r="A44" s="9">
        <f t="shared" si="6"/>
        <v>44348</v>
      </c>
      <c r="B44" cm="1">
        <f t="array" ref="B44">INDEX(Mani_Dati!$C$3:$C$5,
       MATCH(1,
             (A44&gt;=Mani_Dati!$A$3:$A$5)*(A44&lt;=Mani_Dati!$B$3:$B$5),
             0))</f>
        <v>1000</v>
      </c>
      <c r="C44">
        <f t="shared" si="0"/>
        <v>60</v>
      </c>
      <c r="D44" s="7">
        <f>INDEX(Dalu_Cenas!$A:$I,
       MATCH(A44, Dalu_Cenas!$A:$A, 1),
       MATCH(Mani_Dati!$B$7, Dalu_Cenas!$1:$1, 0))</f>
        <v>125.04900000000001</v>
      </c>
      <c r="E44" s="8">
        <f t="shared" si="7"/>
        <v>0.47981191372981791</v>
      </c>
      <c r="F44">
        <f>F$1 + SUM($E$2:E44)</f>
        <v>41.309154003124476</v>
      </c>
      <c r="G44" s="10">
        <f t="shared" si="2"/>
        <v>1.421723383607534E-2</v>
      </c>
      <c r="H44">
        <f t="shared" si="8"/>
        <v>41.294936769288398</v>
      </c>
      <c r="I44">
        <f t="shared" si="9"/>
        <v>5163.8905480627454</v>
      </c>
    </row>
    <row r="45" spans="1:9" ht="20.25" customHeight="1" x14ac:dyDescent="0.3">
      <c r="A45" s="9">
        <f t="shared" si="6"/>
        <v>44378</v>
      </c>
      <c r="B45" cm="1">
        <f t="array" ref="B45">INDEX(Mani_Dati!$C$3:$C$5,
       MATCH(1,
             (A45&gt;=Mani_Dati!$A$3:$A$5)*(A45&lt;=Mani_Dati!$B$3:$B$5),
             0))</f>
        <v>1000</v>
      </c>
      <c r="C45">
        <f t="shared" si="0"/>
        <v>60</v>
      </c>
      <c r="D45" s="7">
        <f>INDEX(Dalu_Cenas!$A:$I,
       MATCH(A45, Dalu_Cenas!$A:$A, 1),
       MATCH(Mani_Dati!$B$7, Dalu_Cenas!$1:$1, 0))</f>
        <v>128.17099999999999</v>
      </c>
      <c r="E45" s="8">
        <f t="shared" si="7"/>
        <v>0.46812461477245243</v>
      </c>
      <c r="F45">
        <f>F$1 + SUM($E$2:E45)</f>
        <v>41.777278617896933</v>
      </c>
      <c r="G45" s="10">
        <f t="shared" si="2"/>
        <v>1.4378346724326195E-2</v>
      </c>
      <c r="H45">
        <f t="shared" si="8"/>
        <v>41.762900271172605</v>
      </c>
      <c r="I45">
        <f t="shared" si="9"/>
        <v>5352.7926906564635</v>
      </c>
    </row>
    <row r="46" spans="1:9" ht="20.25" customHeight="1" x14ac:dyDescent="0.3">
      <c r="A46" s="9">
        <f t="shared" si="6"/>
        <v>44409</v>
      </c>
      <c r="B46" cm="1">
        <f t="array" ref="B46">INDEX(Mani_Dati!$C$3:$C$5,
       MATCH(1,
             (A46&gt;=Mani_Dati!$A$3:$A$5)*(A46&lt;=Mani_Dati!$B$3:$B$5),
             0))</f>
        <v>1000</v>
      </c>
      <c r="C46">
        <f t="shared" si="0"/>
        <v>60</v>
      </c>
      <c r="D46" s="7">
        <f>INDEX(Dalu_Cenas!$A:$I,
       MATCH(A46, Dalu_Cenas!$A:$A, 1),
       MATCH(Mani_Dati!$B$7, Dalu_Cenas!$1:$1, 0))</f>
        <v>130.69800000000001</v>
      </c>
      <c r="E46" s="8">
        <f t="shared" si="7"/>
        <v>0.45907358949639626</v>
      </c>
      <c r="F46">
        <f>F$1 + SUM($E$2:E46)</f>
        <v>42.236352207393324</v>
      </c>
      <c r="G46" s="10">
        <f t="shared" si="2"/>
        <v>1.4536344551377868E-2</v>
      </c>
      <c r="H46">
        <f t="shared" si="8"/>
        <v>42.221815862841943</v>
      </c>
      <c r="I46">
        <f t="shared" si="9"/>
        <v>5518.3068896417162</v>
      </c>
    </row>
    <row r="47" spans="1:9" ht="20.25" customHeight="1" x14ac:dyDescent="0.3">
      <c r="A47" s="9">
        <f t="shared" si="6"/>
        <v>44440</v>
      </c>
      <c r="B47" cm="1">
        <f t="array" ref="B47">INDEX(Mani_Dati!$C$3:$C$5,
       MATCH(1,
             (A47&gt;=Mani_Dati!$A$3:$A$5)*(A47&lt;=Mani_Dati!$B$3:$B$5),
             0))</f>
        <v>1000</v>
      </c>
      <c r="C47">
        <f t="shared" si="0"/>
        <v>60</v>
      </c>
      <c r="D47" s="7">
        <f>INDEX(Dalu_Cenas!$A:$I,
       MATCH(A47, Dalu_Cenas!$A:$A, 1),
       MATCH(Mani_Dati!$B$7, Dalu_Cenas!$1:$1, 0))</f>
        <v>132.06399999999999</v>
      </c>
      <c r="E47" s="8">
        <f t="shared" si="7"/>
        <v>0.45432517567240127</v>
      </c>
      <c r="F47">
        <f>F$1 + SUM($E$2:E47)</f>
        <v>42.690677383065733</v>
      </c>
      <c r="G47" s="10">
        <f t="shared" si="2"/>
        <v>1.4692708132671789E-2</v>
      </c>
      <c r="H47">
        <f t="shared" si="8"/>
        <v>42.675984674933062</v>
      </c>
      <c r="I47">
        <f t="shared" si="9"/>
        <v>5635.9612401103595</v>
      </c>
    </row>
    <row r="48" spans="1:9" ht="20.25" customHeight="1" x14ac:dyDescent="0.3">
      <c r="A48" s="9">
        <f t="shared" si="6"/>
        <v>44470</v>
      </c>
      <c r="B48" cm="1">
        <f t="array" ref="B48">INDEX(Mani_Dati!$C$3:$C$5,
       MATCH(1,
             (A48&gt;=Mani_Dati!$A$3:$A$5)*(A48&lt;=Mani_Dati!$B$3:$B$5),
             0))</f>
        <v>1000</v>
      </c>
      <c r="C48">
        <f t="shared" si="0"/>
        <v>60</v>
      </c>
      <c r="D48" s="7">
        <f>INDEX(Dalu_Cenas!$A:$I,
       MATCH(A48, Dalu_Cenas!$A:$A, 1),
       MATCH(Mani_Dati!$B$7, Dalu_Cenas!$1:$1, 0))</f>
        <v>130.429</v>
      </c>
      <c r="E48" s="8">
        <f t="shared" si="7"/>
        <v>0.46002039423747787</v>
      </c>
      <c r="F48">
        <f>F$1 + SUM($E$2:E48)</f>
        <v>43.150697777303208</v>
      </c>
      <c r="G48" s="10">
        <f t="shared" si="2"/>
        <v>1.4851031818355188E-2</v>
      </c>
      <c r="H48">
        <f t="shared" si="8"/>
        <v>43.135846745484855</v>
      </c>
      <c r="I48">
        <f t="shared" si="9"/>
        <v>5626.1653551668442</v>
      </c>
    </row>
    <row r="49" spans="1:21" ht="20.25" customHeight="1" x14ac:dyDescent="0.3">
      <c r="A49" s="9">
        <f t="shared" si="6"/>
        <v>44501</v>
      </c>
      <c r="B49" cm="1">
        <f t="array" ref="B49">INDEX(Mani_Dati!$C$3:$C$5,
       MATCH(1,
             (A49&gt;=Mani_Dati!$A$3:$A$5)*(A49&lt;=Mani_Dati!$B$3:$B$5),
             0))</f>
        <v>1000</v>
      </c>
      <c r="C49">
        <f t="shared" si="0"/>
        <v>60</v>
      </c>
      <c r="D49" s="7">
        <f>INDEX(Dalu_Cenas!$A:$I,
       MATCH(A49, Dalu_Cenas!$A:$A, 1),
       MATCH(Mani_Dati!$B$7, Dalu_Cenas!$1:$1, 0))</f>
        <v>132.91900000000001</v>
      </c>
      <c r="E49" s="8">
        <f t="shared" si="7"/>
        <v>0.4514027339958922</v>
      </c>
      <c r="F49">
        <f>F$1 + SUM($E$2:E49)</f>
        <v>43.602100511299099</v>
      </c>
      <c r="G49" s="10">
        <f t="shared" si="2"/>
        <v>1.5006389592638773E-2</v>
      </c>
      <c r="H49">
        <f t="shared" si="8"/>
        <v>43.587094121706457</v>
      </c>
      <c r="I49">
        <f t="shared" si="9"/>
        <v>5793.552963563101</v>
      </c>
    </row>
    <row r="50" spans="1:21" ht="56.25" x14ac:dyDescent="0.3">
      <c r="A50" s="9">
        <f t="shared" si="6"/>
        <v>44531</v>
      </c>
      <c r="B50" cm="1">
        <f t="array" ref="B50">INDEX(Mani_Dati!$C$3:$C$5,
       MATCH(1,
             (A50&gt;=Mani_Dati!$A$3:$A$5)*(A50&lt;=Mani_Dati!$B$3:$B$5),
             0))</f>
        <v>1000</v>
      </c>
      <c r="C50">
        <f t="shared" si="0"/>
        <v>60</v>
      </c>
      <c r="D50" s="7">
        <f>INDEX(Dalu_Cenas!$A:$I,
       MATCH(A50, Dalu_Cenas!$A:$A, 1),
       MATCH(Mani_Dati!$B$7, Dalu_Cenas!$1:$1, 0))</f>
        <v>134.74799999999999</v>
      </c>
      <c r="E50" s="8">
        <f t="shared" si="7"/>
        <v>0.44527562561225403</v>
      </c>
      <c r="F50">
        <f>F$1 + SUM($E$2:E50)</f>
        <v>44.047376136911353</v>
      </c>
      <c r="G50" s="10">
        <f t="shared" si="2"/>
        <v>1.5159638620453657E-2</v>
      </c>
      <c r="H50">
        <f t="shared" si="8"/>
        <v>44.0322164982909</v>
      </c>
      <c r="I50">
        <f t="shared" si="9"/>
        <v>5933.2531087117022</v>
      </c>
      <c r="L50" s="29" t="s">
        <v>29</v>
      </c>
      <c r="M50" s="25" t="s">
        <v>35</v>
      </c>
      <c r="N50" s="25" t="s">
        <v>38</v>
      </c>
      <c r="O50" s="25" t="s">
        <v>39</v>
      </c>
      <c r="P50" s="25" t="s">
        <v>37</v>
      </c>
      <c r="Q50" s="25" t="s">
        <v>23</v>
      </c>
      <c r="R50" s="25" t="s">
        <v>33</v>
      </c>
      <c r="S50" s="25" t="s">
        <v>34</v>
      </c>
      <c r="T50" s="25" t="s">
        <v>32</v>
      </c>
      <c r="U50" s="25" t="s">
        <v>41</v>
      </c>
    </row>
    <row r="51" spans="1:21" ht="20.25" customHeight="1" x14ac:dyDescent="0.3">
      <c r="A51" s="18">
        <f t="shared" si="6"/>
        <v>44562</v>
      </c>
      <c r="B51" s="19" cm="1">
        <f t="array" ref="B51">INDEX(Mani_Dati!$C$3:$C$5,
       MATCH(1,
             (A51&gt;=Mani_Dati!$A$3:$A$5)*(A51&lt;=Mani_Dati!$B$3:$B$5),
             0))</f>
        <v>1000</v>
      </c>
      <c r="C51" s="19">
        <f t="shared" si="0"/>
        <v>60</v>
      </c>
      <c r="D51" s="20">
        <f>INDEX(Dalu_Cenas!$A:$I,
       MATCH(A51, Dalu_Cenas!$A:$A, 1),
       MATCH(Mani_Dati!$B$7, Dalu_Cenas!$1:$1, 0))</f>
        <v>136.398</v>
      </c>
      <c r="E51" s="21">
        <f t="shared" si="7"/>
        <v>0.43988914793472045</v>
      </c>
      <c r="F51" s="19">
        <f>F$1 + SUM($E$2:E51)</f>
        <v>44.487265284846075</v>
      </c>
      <c r="G51" s="22">
        <f t="shared" si="2"/>
        <v>1.5311033802201191E-2</v>
      </c>
      <c r="H51" s="19">
        <f t="shared" si="8"/>
        <v>44.471954251043876</v>
      </c>
      <c r="I51" s="19">
        <f t="shared" si="9"/>
        <v>6065.885615933882</v>
      </c>
      <c r="L51" s="26" t="s">
        <v>30</v>
      </c>
      <c r="M51" s="26">
        <f>A61</f>
        <v>58</v>
      </c>
      <c r="N51" s="26">
        <f>SUM(C1:C60)</f>
        <v>5360</v>
      </c>
      <c r="O51" s="27">
        <f>AVERAGE(C3:C60)</f>
        <v>57.931034482758619</v>
      </c>
      <c r="P51" s="26">
        <f>(SUM(H2:H60)-SUM(F3:F60))*D60</f>
        <v>-82.929410438657897</v>
      </c>
      <c r="Q51" s="26">
        <f>H60</f>
        <v>48.725813857296181</v>
      </c>
      <c r="R51" s="26">
        <f>E61</f>
        <v>48.74258943182565</v>
      </c>
      <c r="S51" s="26">
        <f>Q51-R51</f>
        <v>-1.6775574529468429E-2</v>
      </c>
      <c r="T51" s="27">
        <f>I60 - SUM(C1:C60)</f>
        <v>494.60143820956546</v>
      </c>
      <c r="U51" s="28">
        <f>XIRR(B75:B133, A75:A133)</f>
        <v>2.6915809512138369E-2</v>
      </c>
    </row>
    <row r="52" spans="1:21" ht="20.25" customHeight="1" x14ac:dyDescent="0.3">
      <c r="A52" s="9">
        <f t="shared" si="6"/>
        <v>44593</v>
      </c>
      <c r="B52" cm="1">
        <f t="array" ref="B52">INDEX(Mani_Dati!$C$3:$C$5,
       MATCH(1,
             (A52&gt;=Mani_Dati!$A$3:$A$5)*(A52&lt;=Mani_Dati!$B$3:$B$5),
             0))</f>
        <v>1000</v>
      </c>
      <c r="C52">
        <f t="shared" si="0"/>
        <v>60</v>
      </c>
      <c r="D52" s="7">
        <f>INDEX(Dalu_Cenas!$A:$I,
       MATCH(A52, Dalu_Cenas!$A:$A, 1),
       MATCH(Mani_Dati!$B$7, Dalu_Cenas!$1:$1, 0))</f>
        <v>132.16399999999999</v>
      </c>
      <c r="E52" s="8">
        <f t="shared" si="7"/>
        <v>0.45398141702732975</v>
      </c>
      <c r="F52">
        <f>F$1 + SUM($E$2:E52)</f>
        <v>44.941246701873403</v>
      </c>
      <c r="G52" s="10">
        <f t="shared" si="2"/>
        <v>1.5467279073228096E-2</v>
      </c>
      <c r="H52">
        <f t="shared" si="8"/>
        <v>44.925779422800176</v>
      </c>
      <c r="I52">
        <f t="shared" si="9"/>
        <v>5937.5707116349622</v>
      </c>
      <c r="L52" s="26"/>
      <c r="M52" s="26"/>
      <c r="N52" s="26"/>
      <c r="O52" s="26"/>
      <c r="P52" s="26" t="s">
        <v>36</v>
      </c>
      <c r="Q52" s="26"/>
      <c r="R52" s="26"/>
      <c r="S52" s="26"/>
      <c r="T52" s="26"/>
      <c r="U52" s="26"/>
    </row>
    <row r="53" spans="1:21" ht="20.25" customHeight="1" x14ac:dyDescent="0.3">
      <c r="A53" s="9">
        <f t="shared" si="6"/>
        <v>44621</v>
      </c>
      <c r="B53" cm="1">
        <f t="array" ref="B53">INDEX(Mani_Dati!$C$3:$C$5,
       MATCH(1,
             (A53&gt;=Mani_Dati!$A$3:$A$5)*(A53&lt;=Mani_Dati!$B$3:$B$5),
             0))</f>
        <v>1000</v>
      </c>
      <c r="C53">
        <f t="shared" si="0"/>
        <v>60</v>
      </c>
      <c r="D53" s="7">
        <f>INDEX(Dalu_Cenas!$A:$I,
       MATCH(A53, Dalu_Cenas!$A:$A, 1),
       MATCH(Mani_Dati!$B$7, Dalu_Cenas!$1:$1, 0))</f>
        <v>129.404</v>
      </c>
      <c r="E53" s="8">
        <f t="shared" si="7"/>
        <v>0.46366418348737287</v>
      </c>
      <c r="F53">
        <f>F$1 + SUM($E$2:E53)</f>
        <v>45.404910885360778</v>
      </c>
      <c r="G53" s="10">
        <f t="shared" si="2"/>
        <v>1.5626856829711669E-2</v>
      </c>
      <c r="H53">
        <f t="shared" si="8"/>
        <v>45.389284028531065</v>
      </c>
      <c r="I53">
        <f t="shared" si="9"/>
        <v>5873.5549104280335</v>
      </c>
      <c r="L53" s="26"/>
      <c r="M53" s="26"/>
      <c r="N53" s="26">
        <f>SUM(C3:C60)</f>
        <v>3360</v>
      </c>
      <c r="O53" s="26"/>
      <c r="P53" s="26">
        <f>C133</f>
        <v>-81.596568919573656</v>
      </c>
      <c r="Q53" s="26"/>
      <c r="R53" s="26"/>
      <c r="S53" s="26"/>
      <c r="T53" s="26"/>
      <c r="U53" s="26"/>
    </row>
    <row r="54" spans="1:21" ht="20.25" customHeight="1" x14ac:dyDescent="0.3">
      <c r="A54" s="9">
        <f t="shared" si="6"/>
        <v>44652</v>
      </c>
      <c r="B54" cm="1">
        <f t="array" ref="B54">INDEX(Mani_Dati!$C$3:$C$5,
       MATCH(1,
             (A54&gt;=Mani_Dati!$A$3:$A$5)*(A54&lt;=Mani_Dati!$B$3:$B$5),
             0))</f>
        <v>1000</v>
      </c>
      <c r="C54">
        <f t="shared" si="0"/>
        <v>60</v>
      </c>
      <c r="D54" s="7">
        <f>INDEX(Dalu_Cenas!$A:$I,
       MATCH(A54, Dalu_Cenas!$A:$A, 1),
       MATCH(Mani_Dati!$B$7, Dalu_Cenas!$1:$1, 0))</f>
        <v>131.58000000000001</v>
      </c>
      <c r="E54" s="8">
        <f t="shared" si="7"/>
        <v>0.4559963520291837</v>
      </c>
      <c r="F54">
        <f>F$1 + SUM($E$2:E54)</f>
        <v>45.860907237389966</v>
      </c>
      <c r="G54" s="10">
        <f t="shared" si="2"/>
        <v>1.5783795574201714E-2</v>
      </c>
      <c r="H54">
        <f t="shared" si="8"/>
        <v>45.845123441815765</v>
      </c>
      <c r="I54">
        <f t="shared" si="9"/>
        <v>6032.3013424741193</v>
      </c>
    </row>
    <row r="55" spans="1:21" ht="20.25" customHeight="1" x14ac:dyDescent="0.3">
      <c r="A55" s="9">
        <f t="shared" si="6"/>
        <v>44682</v>
      </c>
      <c r="B55" cm="1">
        <f t="array" ref="B55">INDEX(Mani_Dati!$C$3:$C$5,
       MATCH(1,
             (A55&gt;=Mani_Dati!$A$3:$A$5)*(A55&lt;=Mani_Dati!$B$3:$B$5),
             0))</f>
        <v>1000</v>
      </c>
      <c r="C55">
        <f t="shared" si="0"/>
        <v>60</v>
      </c>
      <c r="D55" s="7">
        <f>INDEX(Dalu_Cenas!$A:$I,
       MATCH(A55, Dalu_Cenas!$A:$A, 1),
       MATCH(Mani_Dati!$B$7, Dalu_Cenas!$1:$1, 0))</f>
        <v>128.72300000000001</v>
      </c>
      <c r="E55" s="8">
        <f t="shared" si="7"/>
        <v>0.46611716631837352</v>
      </c>
      <c r="F55">
        <f>F$1 + SUM($E$2:E55)</f>
        <v>46.327024403708336</v>
      </c>
      <c r="G55" s="10">
        <f t="shared" si="2"/>
        <v>1.5944217565609618E-2</v>
      </c>
      <c r="H55">
        <f t="shared" si="8"/>
        <v>46.311080186142725</v>
      </c>
      <c r="I55">
        <f t="shared" si="9"/>
        <v>5961.3011748008503</v>
      </c>
    </row>
    <row r="56" spans="1:21" ht="20.25" customHeight="1" x14ac:dyDescent="0.3">
      <c r="A56" s="9">
        <f t="shared" si="6"/>
        <v>44713</v>
      </c>
      <c r="B56" cm="1">
        <f t="array" ref="B56">INDEX(Mani_Dati!$C$3:$C$5,
       MATCH(1,
             (A56&gt;=Mani_Dati!$A$3:$A$5)*(A56&lt;=Mani_Dati!$B$3:$B$5),
             0))</f>
        <v>1000</v>
      </c>
      <c r="C56">
        <f t="shared" si="0"/>
        <v>60</v>
      </c>
      <c r="D56" s="7">
        <f>INDEX(Dalu_Cenas!$A:$I,
       MATCH(A56, Dalu_Cenas!$A:$A, 1),
       MATCH(Mani_Dati!$B$7, Dalu_Cenas!$1:$1, 0))</f>
        <v>126.45399999999999</v>
      </c>
      <c r="E56" s="8">
        <f t="shared" si="7"/>
        <v>0.47448083888212317</v>
      </c>
      <c r="F56">
        <f>F$1 + SUM($E$2:E56)</f>
        <v>46.801505242590459</v>
      </c>
      <c r="G56" s="10">
        <f t="shared" si="2"/>
        <v>1.6107518054324883E-2</v>
      </c>
      <c r="H56">
        <f t="shared" si="8"/>
        <v>46.785397724536132</v>
      </c>
      <c r="I56">
        <f t="shared" si="9"/>
        <v>5916.2006838584921</v>
      </c>
    </row>
    <row r="57" spans="1:21" ht="20.25" customHeight="1" x14ac:dyDescent="0.3">
      <c r="A57" s="9">
        <f t="shared" si="6"/>
        <v>44743</v>
      </c>
      <c r="B57" cm="1">
        <f t="array" ref="B57">INDEX(Mani_Dati!$C$3:$C$5,
       MATCH(1,
             (A57&gt;=Mani_Dati!$A$3:$A$5)*(A57&lt;=Mani_Dati!$B$3:$B$5),
             0))</f>
        <v>1000</v>
      </c>
      <c r="C57">
        <f t="shared" si="0"/>
        <v>60</v>
      </c>
      <c r="D57" s="7">
        <f>INDEX(Dalu_Cenas!$A:$I,
       MATCH(A57, Dalu_Cenas!$A:$A, 1),
       MATCH(Mani_Dati!$B$7, Dalu_Cenas!$1:$1, 0))</f>
        <v>120.45</v>
      </c>
      <c r="E57" s="8">
        <f t="shared" si="7"/>
        <v>0.49813200498132004</v>
      </c>
      <c r="F57">
        <f>F$1 + SUM($E$2:E57)</f>
        <v>47.299637247571781</v>
      </c>
      <c r="G57" s="10">
        <f t="shared" si="2"/>
        <v>1.6278958486039288E-2</v>
      </c>
      <c r="H57">
        <f t="shared" si="8"/>
        <v>47.28335828908574</v>
      </c>
      <c r="I57">
        <f t="shared" si="9"/>
        <v>5695.2805059203774</v>
      </c>
    </row>
    <row r="58" spans="1:21" ht="20.25" customHeight="1" x14ac:dyDescent="0.3">
      <c r="A58" s="9">
        <f t="shared" ref="A58:A60" si="10">EDATE(A57,1)</f>
        <v>44774</v>
      </c>
      <c r="B58" cm="1">
        <f t="array" ref="B58">INDEX(Mani_Dati!$C$3:$C$5,
       MATCH(1,
             (A58&gt;=Mani_Dati!$A$3:$A$5)*(A58&lt;=Mani_Dati!$B$3:$B$5),
             0))</f>
        <v>1000</v>
      </c>
      <c r="C58">
        <f t="shared" si="0"/>
        <v>60</v>
      </c>
      <c r="D58" s="7">
        <f>INDEX(Dalu_Cenas!$A:$I,
       MATCH(A58, Dalu_Cenas!$A:$A, 1),
       MATCH(Mani_Dati!$B$7, Dalu_Cenas!$1:$1, 0))</f>
        <v>128.83000000000001</v>
      </c>
      <c r="E58" s="8">
        <f t="shared" ref="E58:E60" si="11">IF(D58=0,0,C58/D58)</f>
        <v>0.46573003182488548</v>
      </c>
      <c r="F58">
        <f>F$1 + SUM($E$2:E58)</f>
        <v>47.765367279396663</v>
      </c>
      <c r="G58" s="10">
        <f t="shared" si="2"/>
        <v>1.6439247238659017E-2</v>
      </c>
      <c r="H58">
        <f t="shared" ref="H58:H60" si="12">F58 - G58</f>
        <v>47.748928032158005</v>
      </c>
      <c r="I58">
        <f t="shared" ref="I58:I60" si="13">H58 * D58</f>
        <v>6151.4943983829162</v>
      </c>
    </row>
    <row r="59" spans="1:21" ht="20.25" customHeight="1" x14ac:dyDescent="0.3">
      <c r="A59" s="9">
        <f t="shared" si="10"/>
        <v>44805</v>
      </c>
      <c r="B59" cm="1">
        <f t="array" ref="B59">INDEX(Mani_Dati!$C$3:$C$5,
       MATCH(1,
             (A59&gt;=Mani_Dati!$A$3:$A$5)*(A59&lt;=Mani_Dati!$B$3:$B$5),
             0))</f>
        <v>1000</v>
      </c>
      <c r="C59">
        <f t="shared" si="0"/>
        <v>60</v>
      </c>
      <c r="D59" s="7">
        <f>INDEX(Dalu_Cenas!$A:$I,
       MATCH(A59, Dalu_Cenas!$A:$A, 1),
       MATCH(Mani_Dati!$B$7, Dalu_Cenas!$1:$1, 0))</f>
        <v>125.559</v>
      </c>
      <c r="E59" s="8">
        <f t="shared" si="11"/>
        <v>0.47786299667885218</v>
      </c>
      <c r="F59">
        <f>F$1 + SUM($E$2:E59)</f>
        <v>48.243230276075515</v>
      </c>
      <c r="G59" s="10">
        <f t="shared" si="2"/>
        <v>1.6603711753349324E-2</v>
      </c>
      <c r="H59">
        <f t="shared" si="12"/>
        <v>48.226626564322167</v>
      </c>
      <c r="I59">
        <f t="shared" si="13"/>
        <v>6055.2870047897268</v>
      </c>
    </row>
    <row r="60" spans="1:21" ht="20.25" customHeight="1" x14ac:dyDescent="0.3">
      <c r="A60" s="9">
        <f t="shared" si="10"/>
        <v>44835</v>
      </c>
      <c r="B60" cm="1">
        <f t="array" ref="B60">INDEX(Mani_Dati!$C$3:$C$5,
       MATCH(1,
             (A60&gt;=Mani_Dati!$A$3:$A$5)*(A60&lt;=Mani_Dati!$B$3:$B$5),
             0))</f>
        <v>1000</v>
      </c>
      <c r="C60">
        <f t="shared" si="0"/>
        <v>60</v>
      </c>
      <c r="D60" s="7">
        <f>INDEX(Dalu_Cenas!$A:$I,
       MATCH(A60, Dalu_Cenas!$A:$A, 1),
       MATCH(Mani_Dati!$B$7, Dalu_Cenas!$1:$1, 0))</f>
        <v>120.154</v>
      </c>
      <c r="E60" s="8">
        <f t="shared" si="11"/>
        <v>0.49935915575012069</v>
      </c>
      <c r="F60">
        <f>F$1 + SUM($E$2:E60)</f>
        <v>48.742589431825635</v>
      </c>
      <c r="G60" s="10">
        <f t="shared" si="2"/>
        <v>1.6775574529453323E-2</v>
      </c>
      <c r="H60">
        <f t="shared" si="12"/>
        <v>48.725813857296181</v>
      </c>
      <c r="I60">
        <f t="shared" si="13"/>
        <v>5854.6014382095655</v>
      </c>
    </row>
    <row r="61" spans="1:21" ht="20.25" customHeight="1" x14ac:dyDescent="0.3">
      <c r="A61" s="11">
        <f>COUNTA(A3:A60)</f>
        <v>58</v>
      </c>
      <c r="B61" s="11">
        <f>AVERAGE(B3:B60)</f>
        <v>965.51724137931035</v>
      </c>
      <c r="C61" s="23">
        <f>SUM(C1:C60)</f>
        <v>5360</v>
      </c>
      <c r="D61" s="15">
        <f>AVERAGE(D1:D60)</f>
        <v>115.49935593220339</v>
      </c>
      <c r="E61" s="16">
        <f>SUM(E1:E60)</f>
        <v>48.74258943182565</v>
      </c>
      <c r="F61" s="11">
        <f>F60</f>
        <v>48.742589431825635</v>
      </c>
      <c r="G61" s="17">
        <f>AVERAGE(G3:G60)</f>
        <v>1.1899873673423756E-2</v>
      </c>
      <c r="H61" s="11">
        <f>H60</f>
        <v>48.725813857296181</v>
      </c>
      <c r="I61" s="23">
        <f>I60</f>
        <v>5854.6014382095655</v>
      </c>
    </row>
    <row r="62" spans="1:21" ht="20.25" customHeight="1" x14ac:dyDescent="0.25">
      <c r="A62" s="9"/>
    </row>
    <row r="63" spans="1:21" ht="20.25" customHeight="1" x14ac:dyDescent="0.25">
      <c r="A63" s="9"/>
    </row>
    <row r="64" spans="1:21" ht="20.25" customHeight="1" x14ac:dyDescent="0.25">
      <c r="A64" s="9"/>
    </row>
    <row r="65" spans="1:3" ht="20.25" customHeight="1" x14ac:dyDescent="0.25">
      <c r="A65" s="9"/>
    </row>
    <row r="66" spans="1:3" ht="20.25" customHeight="1" x14ac:dyDescent="0.25">
      <c r="A66" s="9"/>
    </row>
    <row r="67" spans="1:3" ht="20.25" customHeight="1" x14ac:dyDescent="0.25">
      <c r="A67" s="9"/>
    </row>
    <row r="68" spans="1:3" ht="20.25" customHeight="1" x14ac:dyDescent="0.25">
      <c r="A68" s="9"/>
    </row>
    <row r="69" spans="1:3" ht="20.25" customHeight="1" x14ac:dyDescent="0.25">
      <c r="A69" s="9"/>
    </row>
    <row r="70" spans="1:3" ht="20.25" customHeight="1" x14ac:dyDescent="0.25">
      <c r="A70" s="9"/>
    </row>
    <row r="71" spans="1:3" ht="20.25" customHeight="1" x14ac:dyDescent="0.25">
      <c r="A71" s="9"/>
    </row>
    <row r="72" spans="1:3" ht="20.25" customHeight="1" x14ac:dyDescent="0.25">
      <c r="A72" s="9"/>
    </row>
    <row r="73" spans="1:3" ht="20.25" customHeight="1" thickBot="1" x14ac:dyDescent="0.3">
      <c r="A73" s="9"/>
    </row>
    <row r="74" spans="1:3" ht="20.25" customHeight="1" thickBot="1" x14ac:dyDescent="0.3">
      <c r="A74" s="3" t="s">
        <v>0</v>
      </c>
      <c r="B74" t="s">
        <v>40</v>
      </c>
      <c r="C74" s="24" t="s">
        <v>31</v>
      </c>
    </row>
    <row r="75" spans="1:3" ht="20.25" customHeight="1" x14ac:dyDescent="0.25">
      <c r="A75" s="9">
        <f>DATE(2018,1,1)</f>
        <v>43101</v>
      </c>
      <c r="B75">
        <f>-C1-C3</f>
        <v>-2048</v>
      </c>
      <c r="C75">
        <f t="shared" ref="C75:C106" si="14">(H3-F3)*D3</f>
        <v>-0.70485333333331113</v>
      </c>
    </row>
    <row r="76" spans="1:3" ht="20.25" customHeight="1" x14ac:dyDescent="0.25">
      <c r="A76" s="9">
        <f>EDATE(A75,1)</f>
        <v>43132</v>
      </c>
      <c r="B76">
        <f>-C4</f>
        <v>-48</v>
      </c>
      <c r="C76">
        <f t="shared" si="14"/>
        <v>-0.71974432787190046</v>
      </c>
    </row>
    <row r="77" spans="1:3" ht="20.25" customHeight="1" x14ac:dyDescent="0.25">
      <c r="A77" s="9">
        <f>EDATE(A76,1)</f>
        <v>43160</v>
      </c>
      <c r="B77">
        <f t="shared" ref="B77:B132" si="15">-C5</f>
        <v>-48</v>
      </c>
      <c r="C77">
        <f t="shared" si="14"/>
        <v>-0.73168109883810362</v>
      </c>
    </row>
    <row r="78" spans="1:3" ht="20.25" customHeight="1" x14ac:dyDescent="0.25">
      <c r="A78" s="9">
        <f t="shared" ref="A78:A133" si="16">EDATE(A77,1)</f>
        <v>43191</v>
      </c>
      <c r="B78">
        <f t="shared" si="15"/>
        <v>-48</v>
      </c>
      <c r="C78">
        <f t="shared" si="14"/>
        <v>-0.73178924811741097</v>
      </c>
    </row>
    <row r="79" spans="1:3" ht="20.25" customHeight="1" x14ac:dyDescent="0.25">
      <c r="A79" s="9">
        <f t="shared" si="16"/>
        <v>43221</v>
      </c>
      <c r="B79">
        <f t="shared" si="15"/>
        <v>-48</v>
      </c>
      <c r="C79">
        <f t="shared" si="14"/>
        <v>-0.7584313177864952</v>
      </c>
    </row>
    <row r="80" spans="1:3" ht="20.25" customHeight="1" x14ac:dyDescent="0.25">
      <c r="A80" s="9">
        <f t="shared" si="16"/>
        <v>43252</v>
      </c>
      <c r="B80">
        <f t="shared" si="15"/>
        <v>-48</v>
      </c>
      <c r="C80">
        <f t="shared" si="14"/>
        <v>-0.79946484315759203</v>
      </c>
    </row>
    <row r="81" spans="1:3" ht="20.25" customHeight="1" x14ac:dyDescent="0.25">
      <c r="A81" s="9">
        <f t="shared" si="16"/>
        <v>43282</v>
      </c>
      <c r="B81">
        <f t="shared" si="15"/>
        <v>-48</v>
      </c>
      <c r="C81">
        <f t="shared" si="14"/>
        <v>-0.81372905184782152</v>
      </c>
    </row>
    <row r="82" spans="1:3" ht="20.25" customHeight="1" x14ac:dyDescent="0.25">
      <c r="A82" s="9">
        <f t="shared" si="16"/>
        <v>43313</v>
      </c>
      <c r="B82">
        <f t="shared" si="15"/>
        <v>-48</v>
      </c>
      <c r="C82">
        <f t="shared" si="14"/>
        <v>-0.83795582343204866</v>
      </c>
    </row>
    <row r="83" spans="1:3" ht="20.25" customHeight="1" x14ac:dyDescent="0.25">
      <c r="A83" s="9">
        <f t="shared" si="16"/>
        <v>43344</v>
      </c>
      <c r="B83">
        <f t="shared" si="15"/>
        <v>-48</v>
      </c>
      <c r="C83">
        <f t="shared" si="14"/>
        <v>-0.86277345466529021</v>
      </c>
    </row>
    <row r="84" spans="1:3" ht="20.25" customHeight="1" x14ac:dyDescent="0.25">
      <c r="A84" s="9">
        <f>EDATE(A83,1)</f>
        <v>43374</v>
      </c>
      <c r="B84">
        <f t="shared" si="15"/>
        <v>-48</v>
      </c>
      <c r="C84">
        <f t="shared" si="14"/>
        <v>-0.87917824594008209</v>
      </c>
    </row>
    <row r="85" spans="1:3" ht="20.25" customHeight="1" x14ac:dyDescent="0.25">
      <c r="A85" s="9">
        <f t="shared" si="16"/>
        <v>43405</v>
      </c>
      <c r="B85">
        <f t="shared" si="15"/>
        <v>-48</v>
      </c>
      <c r="C85">
        <f t="shared" si="14"/>
        <v>-0.87328037062514396</v>
      </c>
    </row>
    <row r="86" spans="1:3" ht="20.25" customHeight="1" x14ac:dyDescent="0.25">
      <c r="A86" s="9">
        <f t="shared" si="16"/>
        <v>43435</v>
      </c>
      <c r="B86">
        <f t="shared" si="15"/>
        <v>-48</v>
      </c>
      <c r="C86">
        <f t="shared" si="14"/>
        <v>-0.89636561715642205</v>
      </c>
    </row>
    <row r="87" spans="1:3" ht="20.25" customHeight="1" x14ac:dyDescent="0.25">
      <c r="A87" s="9">
        <f t="shared" si="16"/>
        <v>43466</v>
      </c>
      <c r="B87">
        <f t="shared" si="15"/>
        <v>-48</v>
      </c>
      <c r="C87">
        <f t="shared" si="14"/>
        <v>-0.87970430860487325</v>
      </c>
    </row>
    <row r="88" spans="1:3" ht="20.25" customHeight="1" x14ac:dyDescent="0.25">
      <c r="A88" s="9">
        <f t="shared" si="16"/>
        <v>43497</v>
      </c>
      <c r="B88">
        <f t="shared" si="15"/>
        <v>-48</v>
      </c>
      <c r="C88">
        <f t="shared" si="14"/>
        <v>-0.92894007107526877</v>
      </c>
    </row>
    <row r="89" spans="1:3" ht="20.25" customHeight="1" x14ac:dyDescent="0.25">
      <c r="A89" s="9">
        <f t="shared" si="16"/>
        <v>43525</v>
      </c>
      <c r="B89">
        <f t="shared" si="15"/>
        <v>-48</v>
      </c>
      <c r="C89">
        <f t="shared" si="14"/>
        <v>-0.96663231413496264</v>
      </c>
    </row>
    <row r="90" spans="1:3" ht="20.25" customHeight="1" x14ac:dyDescent="0.25">
      <c r="A90" s="9">
        <f t="shared" si="16"/>
        <v>43556</v>
      </c>
      <c r="B90">
        <f t="shared" si="15"/>
        <v>-48</v>
      </c>
      <c r="C90">
        <f t="shared" si="14"/>
        <v>-1.0007486757497053</v>
      </c>
    </row>
    <row r="91" spans="1:3" ht="20.25" customHeight="1" x14ac:dyDescent="0.25">
      <c r="A91" s="9">
        <f t="shared" si="16"/>
        <v>43586</v>
      </c>
      <c r="B91">
        <f t="shared" si="15"/>
        <v>-48</v>
      </c>
      <c r="C91">
        <f t="shared" si="14"/>
        <v>-1.0392453810252569</v>
      </c>
    </row>
    <row r="92" spans="1:3" ht="20.25" customHeight="1" x14ac:dyDescent="0.25">
      <c r="A92" s="9">
        <f t="shared" si="16"/>
        <v>43617</v>
      </c>
      <c r="B92">
        <f t="shared" si="15"/>
        <v>-48</v>
      </c>
      <c r="C92">
        <f t="shared" si="14"/>
        <v>-1.0365018021945152</v>
      </c>
    </row>
    <row r="93" spans="1:3" ht="20.25" customHeight="1" x14ac:dyDescent="0.25">
      <c r="A93" s="9">
        <f t="shared" si="16"/>
        <v>43647</v>
      </c>
      <c r="B93">
        <f t="shared" si="15"/>
        <v>-48</v>
      </c>
      <c r="C93">
        <f t="shared" si="14"/>
        <v>-1.0746340906572192</v>
      </c>
    </row>
    <row r="94" spans="1:3" ht="20.25" customHeight="1" x14ac:dyDescent="0.25">
      <c r="A94" s="9">
        <f t="shared" si="16"/>
        <v>43678</v>
      </c>
      <c r="B94">
        <f t="shared" si="15"/>
        <v>-48</v>
      </c>
      <c r="C94">
        <f t="shared" si="14"/>
        <v>-1.1181525333143876</v>
      </c>
    </row>
    <row r="95" spans="1:3" ht="20.25" customHeight="1" x14ac:dyDescent="0.25">
      <c r="A95" s="9">
        <f t="shared" si="16"/>
        <v>43709</v>
      </c>
      <c r="B95">
        <f t="shared" si="15"/>
        <v>-90</v>
      </c>
      <c r="C95">
        <f t="shared" si="14"/>
        <v>-1.1460230189702549</v>
      </c>
    </row>
    <row r="96" spans="1:3" ht="20.25" customHeight="1" x14ac:dyDescent="0.25">
      <c r="A96" s="9">
        <f t="shared" si="16"/>
        <v>43739</v>
      </c>
      <c r="B96">
        <f t="shared" si="15"/>
        <v>-90</v>
      </c>
      <c r="C96">
        <f t="shared" si="14"/>
        <v>-1.1968891030398177</v>
      </c>
    </row>
    <row r="97" spans="1:18" ht="20.25" customHeight="1" x14ac:dyDescent="0.25">
      <c r="A97" s="9">
        <f t="shared" si="16"/>
        <v>43770</v>
      </c>
      <c r="B97">
        <f t="shared" si="15"/>
        <v>-90</v>
      </c>
      <c r="C97">
        <f t="shared" si="14"/>
        <v>-1.2251030042018407</v>
      </c>
    </row>
    <row r="98" spans="1:18" ht="20.25" customHeight="1" x14ac:dyDescent="0.25">
      <c r="A98" s="9">
        <f t="shared" si="16"/>
        <v>43800</v>
      </c>
      <c r="B98">
        <f t="shared" si="15"/>
        <v>-90</v>
      </c>
      <c r="C98">
        <f t="shared" si="14"/>
        <v>-1.2814970901227571</v>
      </c>
    </row>
    <row r="99" spans="1:18" ht="20.25" customHeight="1" x14ac:dyDescent="0.25">
      <c r="A99" s="9">
        <f t="shared" si="16"/>
        <v>43831</v>
      </c>
      <c r="B99">
        <f t="shared" si="15"/>
        <v>-60</v>
      </c>
      <c r="C99">
        <f t="shared" si="14"/>
        <v>-1.2979859194129721</v>
      </c>
    </row>
    <row r="100" spans="1:18" ht="20.25" customHeight="1" x14ac:dyDescent="0.25">
      <c r="A100" s="9">
        <f t="shared" si="16"/>
        <v>43862</v>
      </c>
      <c r="B100">
        <f t="shared" si="15"/>
        <v>-60</v>
      </c>
      <c r="C100">
        <f t="shared" si="14"/>
        <v>-1.3464068018117721</v>
      </c>
    </row>
    <row r="101" spans="1:18" ht="20.25" customHeight="1" x14ac:dyDescent="0.25">
      <c r="A101" s="9">
        <f t="shared" si="16"/>
        <v>43891</v>
      </c>
      <c r="B101">
        <f t="shared" si="15"/>
        <v>-60</v>
      </c>
      <c r="C101">
        <f t="shared" si="14"/>
        <v>-1.3450613065213486</v>
      </c>
    </row>
    <row r="102" spans="1:18" ht="20.25" customHeight="1" x14ac:dyDescent="0.25">
      <c r="A102" s="9">
        <f t="shared" si="16"/>
        <v>43922</v>
      </c>
      <c r="B102">
        <f t="shared" si="15"/>
        <v>-60</v>
      </c>
      <c r="C102">
        <f t="shared" si="14"/>
        <v>-1.2371987276825964</v>
      </c>
    </row>
    <row r="103" spans="1:18" ht="20.25" customHeight="1" x14ac:dyDescent="0.25">
      <c r="A103" s="9">
        <f t="shared" si="16"/>
        <v>43952</v>
      </c>
      <c r="B103">
        <f t="shared" si="15"/>
        <v>-60</v>
      </c>
      <c r="C103">
        <f t="shared" si="14"/>
        <v>-1.3248957175562226</v>
      </c>
    </row>
    <row r="104" spans="1:18" ht="20.25" customHeight="1" x14ac:dyDescent="0.25">
      <c r="A104" s="9">
        <f t="shared" si="16"/>
        <v>43983</v>
      </c>
      <c r="B104">
        <f t="shared" si="15"/>
        <v>-60</v>
      </c>
      <c r="C104">
        <f t="shared" si="14"/>
        <v>-1.3649540815909977</v>
      </c>
    </row>
    <row r="105" spans="1:18" ht="20.25" customHeight="1" x14ac:dyDescent="0.25">
      <c r="A105" s="9">
        <f t="shared" si="16"/>
        <v>44013</v>
      </c>
      <c r="B105">
        <f t="shared" si="15"/>
        <v>-60</v>
      </c>
      <c r="C105">
        <f t="shared" si="14"/>
        <v>-1.3925571747921486</v>
      </c>
    </row>
    <row r="106" spans="1:18" ht="20.25" customHeight="1" x14ac:dyDescent="0.25">
      <c r="A106" s="9">
        <f t="shared" si="16"/>
        <v>44044</v>
      </c>
      <c r="B106">
        <f t="shared" si="15"/>
        <v>-60</v>
      </c>
      <c r="C106">
        <f t="shared" si="14"/>
        <v>-1.422260311443045</v>
      </c>
    </row>
    <row r="107" spans="1:18" ht="20.25" customHeight="1" x14ac:dyDescent="0.25">
      <c r="A107" s="9">
        <f t="shared" si="16"/>
        <v>44075</v>
      </c>
      <c r="B107">
        <f t="shared" si="15"/>
        <v>-60</v>
      </c>
      <c r="C107">
        <f t="shared" ref="C107:C132" si="17">(H35-F35)*D35</f>
        <v>-1.4716697340498262</v>
      </c>
      <c r="R107" t="s">
        <v>44</v>
      </c>
    </row>
    <row r="108" spans="1:18" ht="20.25" customHeight="1" x14ac:dyDescent="0.25">
      <c r="A108" s="9">
        <f t="shared" si="16"/>
        <v>44105</v>
      </c>
      <c r="B108">
        <f t="shared" si="15"/>
        <v>-60</v>
      </c>
      <c r="C108">
        <f t="shared" si="17"/>
        <v>-1.4840799858527458</v>
      </c>
    </row>
    <row r="109" spans="1:18" ht="20.25" customHeight="1" x14ac:dyDescent="0.25">
      <c r="A109" s="9">
        <f t="shared" si="16"/>
        <v>44136</v>
      </c>
      <c r="B109">
        <f t="shared" si="15"/>
        <v>-60</v>
      </c>
      <c r="C109">
        <f t="shared" si="17"/>
        <v>-1.4930058516661207</v>
      </c>
      <c r="R109" s="31"/>
    </row>
    <row r="110" spans="1:18" ht="20.25" customHeight="1" x14ac:dyDescent="0.25">
      <c r="A110" s="9">
        <f t="shared" si="16"/>
        <v>44166</v>
      </c>
      <c r="B110">
        <f t="shared" si="15"/>
        <v>-60</v>
      </c>
      <c r="C110">
        <f t="shared" si="17"/>
        <v>-1.5849351098376019</v>
      </c>
    </row>
    <row r="111" spans="1:18" ht="20.25" customHeight="1" x14ac:dyDescent="0.25">
      <c r="A111" s="9">
        <f t="shared" si="16"/>
        <v>44197</v>
      </c>
      <c r="B111">
        <f t="shared" si="15"/>
        <v>-60</v>
      </c>
      <c r="C111">
        <f t="shared" si="17"/>
        <v>-1.6064172007699042</v>
      </c>
    </row>
    <row r="112" spans="1:18" ht="20.25" customHeight="1" x14ac:dyDescent="0.25">
      <c r="A112" s="9">
        <f t="shared" si="16"/>
        <v>44228</v>
      </c>
      <c r="B112">
        <f t="shared" si="15"/>
        <v>-60</v>
      </c>
      <c r="C112">
        <f t="shared" si="17"/>
        <v>-1.6392963248258492</v>
      </c>
    </row>
    <row r="113" spans="1:3" ht="20.25" customHeight="1" x14ac:dyDescent="0.25">
      <c r="A113" s="9">
        <f t="shared" si="16"/>
        <v>44256</v>
      </c>
      <c r="B113">
        <f t="shared" si="15"/>
        <v>-60</v>
      </c>
      <c r="C113">
        <f t="shared" si="17"/>
        <v>-1.6567077602917446</v>
      </c>
    </row>
    <row r="114" spans="1:3" ht="20.25" customHeight="1" x14ac:dyDescent="0.25">
      <c r="A114" s="9">
        <f t="shared" si="16"/>
        <v>44287</v>
      </c>
      <c r="B114">
        <f t="shared" si="15"/>
        <v>-60</v>
      </c>
      <c r="C114">
        <f t="shared" si="17"/>
        <v>-1.7299523108495307</v>
      </c>
    </row>
    <row r="115" spans="1:3" ht="20.25" customHeight="1" x14ac:dyDescent="0.25">
      <c r="A115" s="9">
        <f t="shared" si="16"/>
        <v>44317</v>
      </c>
      <c r="B115">
        <f t="shared" si="15"/>
        <v>-60</v>
      </c>
      <c r="C115">
        <f t="shared" si="17"/>
        <v>-1.7605733776242971</v>
      </c>
    </row>
    <row r="116" spans="1:3" ht="20.25" customHeight="1" x14ac:dyDescent="0.25">
      <c r="A116" s="9">
        <f t="shared" si="16"/>
        <v>44348</v>
      </c>
      <c r="B116">
        <f t="shared" si="15"/>
        <v>-60</v>
      </c>
      <c r="C116">
        <f t="shared" si="17"/>
        <v>-1.7778508739677155</v>
      </c>
    </row>
    <row r="117" spans="1:3" ht="20.25" customHeight="1" x14ac:dyDescent="0.25">
      <c r="A117" s="9">
        <f t="shared" si="16"/>
        <v>44378</v>
      </c>
      <c r="B117">
        <f t="shared" si="15"/>
        <v>-60</v>
      </c>
      <c r="C117">
        <f t="shared" si="17"/>
        <v>-1.8428870780038618</v>
      </c>
    </row>
    <row r="118" spans="1:3" ht="20.25" customHeight="1" x14ac:dyDescent="0.25">
      <c r="A118" s="9">
        <f t="shared" si="16"/>
        <v>44409</v>
      </c>
      <c r="B118">
        <f t="shared" si="15"/>
        <v>-60</v>
      </c>
      <c r="C118">
        <f t="shared" si="17"/>
        <v>-1.8998711601763763</v>
      </c>
    </row>
    <row r="119" spans="1:3" ht="20.25" customHeight="1" x14ac:dyDescent="0.25">
      <c r="A119" s="9">
        <f t="shared" si="16"/>
        <v>44440</v>
      </c>
      <c r="B119">
        <f t="shared" si="15"/>
        <v>-60</v>
      </c>
      <c r="C119">
        <f t="shared" si="17"/>
        <v>-1.9403778068330462</v>
      </c>
    </row>
    <row r="120" spans="1:3" ht="20.25" customHeight="1" x14ac:dyDescent="0.25">
      <c r="A120" s="9">
        <f t="shared" si="16"/>
        <v>44470</v>
      </c>
      <c r="B120">
        <f t="shared" si="15"/>
        <v>-60</v>
      </c>
      <c r="C120">
        <f t="shared" si="17"/>
        <v>-1.937005229035907</v>
      </c>
    </row>
    <row r="121" spans="1:3" ht="20.25" customHeight="1" x14ac:dyDescent="0.25">
      <c r="A121" s="9">
        <f t="shared" si="16"/>
        <v>44501</v>
      </c>
      <c r="B121">
        <f t="shared" si="15"/>
        <v>-60</v>
      </c>
      <c r="C121">
        <f t="shared" si="17"/>
        <v>-1.9946342982644116</v>
      </c>
    </row>
    <row r="122" spans="1:3" ht="20.25" customHeight="1" x14ac:dyDescent="0.25">
      <c r="A122" s="9">
        <f t="shared" si="16"/>
        <v>44531</v>
      </c>
      <c r="B122">
        <f t="shared" si="15"/>
        <v>-60</v>
      </c>
      <c r="C122">
        <f t="shared" si="17"/>
        <v>-2.0427309848288155</v>
      </c>
    </row>
    <row r="123" spans="1:3" ht="20.25" customHeight="1" x14ac:dyDescent="0.25">
      <c r="A123" s="18">
        <f t="shared" si="16"/>
        <v>44562</v>
      </c>
      <c r="B123">
        <f>-C51</f>
        <v>-60</v>
      </c>
      <c r="C123">
        <f t="shared" si="17"/>
        <v>-2.0883943885523246</v>
      </c>
    </row>
    <row r="124" spans="1:3" ht="20.25" customHeight="1" x14ac:dyDescent="0.25">
      <c r="A124" s="9">
        <f t="shared" si="16"/>
        <v>44593</v>
      </c>
      <c r="B124">
        <f t="shared" si="15"/>
        <v>-60</v>
      </c>
      <c r="C124">
        <f t="shared" si="17"/>
        <v>-2.0442174714340733</v>
      </c>
    </row>
    <row r="125" spans="1:3" ht="20.25" customHeight="1" x14ac:dyDescent="0.25">
      <c r="A125" s="9">
        <f t="shared" si="16"/>
        <v>44621</v>
      </c>
      <c r="B125">
        <f t="shared" si="15"/>
        <v>-60</v>
      </c>
      <c r="C125">
        <f t="shared" si="17"/>
        <v>-2.0221777811920787</v>
      </c>
    </row>
    <row r="126" spans="1:3" ht="20.25" customHeight="1" x14ac:dyDescent="0.25">
      <c r="A126" s="9">
        <f t="shared" si="16"/>
        <v>44652</v>
      </c>
      <c r="B126">
        <f t="shared" si="15"/>
        <v>-60</v>
      </c>
      <c r="C126">
        <f t="shared" si="17"/>
        <v>-2.0768318216533763</v>
      </c>
    </row>
    <row r="127" spans="1:3" ht="20.25" customHeight="1" x14ac:dyDescent="0.25">
      <c r="A127" s="9">
        <f t="shared" si="16"/>
        <v>44682</v>
      </c>
      <c r="B127">
        <f t="shared" si="15"/>
        <v>-60</v>
      </c>
      <c r="C127">
        <f t="shared" si="17"/>
        <v>-2.0523875176981501</v>
      </c>
    </row>
    <row r="128" spans="1:3" ht="20.25" customHeight="1" x14ac:dyDescent="0.25">
      <c r="A128" s="9">
        <f t="shared" si="16"/>
        <v>44713</v>
      </c>
      <c r="B128">
        <f t="shared" si="15"/>
        <v>-60</v>
      </c>
      <c r="C128">
        <f t="shared" si="17"/>
        <v>-2.0368600880417929</v>
      </c>
    </row>
    <row r="129" spans="1:3" ht="20.25" customHeight="1" x14ac:dyDescent="0.25">
      <c r="A129" s="9">
        <f t="shared" si="16"/>
        <v>44743</v>
      </c>
      <c r="B129">
        <f t="shared" si="15"/>
        <v>-60</v>
      </c>
      <c r="C129">
        <f t="shared" si="17"/>
        <v>-1.9608005496435845</v>
      </c>
    </row>
    <row r="130" spans="1:3" ht="20.25" customHeight="1" x14ac:dyDescent="0.25">
      <c r="A130" s="9">
        <f t="shared" si="16"/>
        <v>44774</v>
      </c>
      <c r="B130">
        <f t="shared" si="15"/>
        <v>-60</v>
      </c>
      <c r="C130">
        <f t="shared" si="17"/>
        <v>-2.1178682217563209</v>
      </c>
    </row>
    <row r="131" spans="1:3" ht="20.25" customHeight="1" x14ac:dyDescent="0.25">
      <c r="A131" s="9">
        <f t="shared" si="16"/>
        <v>44805</v>
      </c>
      <c r="B131">
        <f t="shared" si="15"/>
        <v>-60</v>
      </c>
      <c r="C131">
        <f t="shared" si="17"/>
        <v>-2.0847454440385889</v>
      </c>
    </row>
    <row r="132" spans="1:3" ht="20.25" customHeight="1" x14ac:dyDescent="0.25">
      <c r="A132" s="9">
        <f t="shared" si="16"/>
        <v>44835</v>
      </c>
      <c r="B132">
        <f t="shared" si="15"/>
        <v>-60</v>
      </c>
      <c r="C132">
        <f t="shared" si="17"/>
        <v>-2.0156523820120422</v>
      </c>
    </row>
    <row r="133" spans="1:3" ht="20.25" customHeight="1" x14ac:dyDescent="0.25">
      <c r="A133" s="9">
        <f t="shared" si="16"/>
        <v>44866</v>
      </c>
      <c r="B133">
        <f>I60</f>
        <v>5854.6014382095655</v>
      </c>
      <c r="C133">
        <f>SUM(C75:C132)</f>
        <v>-81.596568919573656</v>
      </c>
    </row>
    <row r="134" spans="1:3" ht="20.25" customHeight="1" x14ac:dyDescent="0.25">
      <c r="A134" s="9"/>
    </row>
    <row r="135" spans="1:3" ht="20.25" customHeight="1" x14ac:dyDescent="0.25">
      <c r="A135" s="9"/>
    </row>
    <row r="136" spans="1:3" ht="20.25" customHeight="1" x14ac:dyDescent="0.25">
      <c r="A136" s="9"/>
    </row>
    <row r="137" spans="1:3" ht="20.25" customHeight="1" x14ac:dyDescent="0.25">
      <c r="A137" s="9"/>
    </row>
    <row r="138" spans="1:3" ht="20.25" customHeight="1" x14ac:dyDescent="0.25">
      <c r="A138" s="9"/>
    </row>
    <row r="139" spans="1:3" ht="20.25" customHeight="1" x14ac:dyDescent="0.25">
      <c r="A139" s="9"/>
    </row>
    <row r="140" spans="1:3" ht="20.25" customHeight="1" x14ac:dyDescent="0.25">
      <c r="A140" s="9"/>
    </row>
    <row r="141" spans="1:3" ht="20.25" customHeight="1" x14ac:dyDescent="0.25">
      <c r="A141" s="9"/>
    </row>
    <row r="142" spans="1:3" ht="20.25" customHeight="1" x14ac:dyDescent="0.25">
      <c r="A142" s="9"/>
    </row>
    <row r="143" spans="1:3" ht="20.25" customHeight="1" x14ac:dyDescent="0.25">
      <c r="A143" s="9"/>
    </row>
    <row r="144" spans="1:3" ht="20.25" customHeight="1" x14ac:dyDescent="0.25">
      <c r="A144" s="9"/>
    </row>
    <row r="145" spans="1:1" ht="20.25" customHeight="1" x14ac:dyDescent="0.25">
      <c r="A145" s="9"/>
    </row>
    <row r="146" spans="1:1" ht="20.25" customHeight="1" x14ac:dyDescent="0.25">
      <c r="A146" s="9"/>
    </row>
    <row r="147" spans="1:1" ht="20.25" customHeight="1" x14ac:dyDescent="0.25">
      <c r="A147" s="9"/>
    </row>
    <row r="148" spans="1:1" ht="20.25" customHeight="1" x14ac:dyDescent="0.25">
      <c r="A148" s="9"/>
    </row>
    <row r="149" spans="1:1" ht="20.25" customHeight="1" x14ac:dyDescent="0.25">
      <c r="A149" s="9"/>
    </row>
    <row r="150" spans="1:1" ht="20.25" customHeight="1" x14ac:dyDescent="0.25">
      <c r="A150" s="9"/>
    </row>
    <row r="151" spans="1:1" ht="20.25" customHeight="1" x14ac:dyDescent="0.25">
      <c r="A151" s="9"/>
    </row>
    <row r="152" spans="1:1" ht="20.25" customHeight="1" x14ac:dyDescent="0.25">
      <c r="A152" s="9"/>
    </row>
    <row r="153" spans="1:1" ht="20.25" customHeight="1" x14ac:dyDescent="0.25">
      <c r="A153" s="9"/>
    </row>
    <row r="154" spans="1:1" ht="20.25" customHeight="1" x14ac:dyDescent="0.25">
      <c r="A154" s="9"/>
    </row>
    <row r="155" spans="1:1" ht="20.25" customHeight="1" x14ac:dyDescent="0.25">
      <c r="A155" s="9"/>
    </row>
    <row r="156" spans="1:1" ht="20.25" customHeight="1" x14ac:dyDescent="0.25">
      <c r="A156" s="9"/>
    </row>
    <row r="157" spans="1:1" ht="20.25" customHeight="1" x14ac:dyDescent="0.25">
      <c r="A157" s="9"/>
    </row>
    <row r="158" spans="1:1" ht="20.25" customHeight="1" x14ac:dyDescent="0.25">
      <c r="A158" s="9"/>
    </row>
    <row r="159" spans="1:1" ht="20.25" customHeight="1" x14ac:dyDescent="0.25">
      <c r="A159" s="9"/>
    </row>
    <row r="160" spans="1:1" ht="20.25" customHeight="1" x14ac:dyDescent="0.25">
      <c r="A160" s="9"/>
    </row>
    <row r="161" spans="1:1" ht="20.25" customHeight="1" x14ac:dyDescent="0.25">
      <c r="A161" s="9"/>
    </row>
    <row r="162" spans="1:1" ht="20.25" customHeight="1" x14ac:dyDescent="0.25">
      <c r="A162" s="9"/>
    </row>
    <row r="163" spans="1:1" ht="20.25" customHeight="1" x14ac:dyDescent="0.25">
      <c r="A163" s="9"/>
    </row>
    <row r="164" spans="1:1" ht="20.25" customHeight="1" x14ac:dyDescent="0.25">
      <c r="A164" s="9"/>
    </row>
    <row r="165" spans="1:1" ht="20.25" customHeight="1" x14ac:dyDescent="0.25">
      <c r="A165" s="9"/>
    </row>
    <row r="166" spans="1:1" ht="20.25" customHeight="1" x14ac:dyDescent="0.25">
      <c r="A166" s="9"/>
    </row>
    <row r="167" spans="1:1" ht="20.25" customHeight="1" x14ac:dyDescent="0.25">
      <c r="A167" s="9"/>
    </row>
    <row r="168" spans="1:1" ht="20.25" customHeight="1" x14ac:dyDescent="0.25">
      <c r="A168" s="9"/>
    </row>
    <row r="169" spans="1:1" ht="20.25" customHeight="1" x14ac:dyDescent="0.25">
      <c r="A169" s="9"/>
    </row>
    <row r="170" spans="1:1" ht="20.25" customHeight="1" x14ac:dyDescent="0.25">
      <c r="A170" s="9"/>
    </row>
    <row r="171" spans="1:1" ht="20.25" customHeight="1" x14ac:dyDescent="0.25">
      <c r="A171" s="9"/>
    </row>
    <row r="172" spans="1:1" ht="20.25" customHeight="1" x14ac:dyDescent="0.25">
      <c r="A172" s="9"/>
    </row>
    <row r="173" spans="1:1" ht="20.25" customHeight="1" x14ac:dyDescent="0.25">
      <c r="A173" s="9"/>
    </row>
    <row r="174" spans="1:1" ht="20.25" customHeight="1" x14ac:dyDescent="0.25">
      <c r="A174" s="9"/>
    </row>
    <row r="175" spans="1:1" ht="20.25" customHeight="1" x14ac:dyDescent="0.25">
      <c r="A175" s="9"/>
    </row>
    <row r="176" spans="1:1" ht="20.25" customHeight="1" x14ac:dyDescent="0.25">
      <c r="A176" s="9"/>
    </row>
    <row r="177" spans="1:1" ht="20.25" customHeight="1" x14ac:dyDescent="0.25">
      <c r="A177" s="9"/>
    </row>
    <row r="178" spans="1:1" ht="20.25" customHeight="1" x14ac:dyDescent="0.25">
      <c r="A178" s="9"/>
    </row>
    <row r="179" spans="1:1" ht="20.25" customHeight="1" x14ac:dyDescent="0.25">
      <c r="A179" s="9"/>
    </row>
    <row r="180" spans="1:1" ht="20.25" customHeight="1" x14ac:dyDescent="0.25">
      <c r="A180" s="9"/>
    </row>
    <row r="181" spans="1:1" ht="20.25" customHeight="1" x14ac:dyDescent="0.25">
      <c r="A181" s="9"/>
    </row>
    <row r="182" spans="1:1" ht="20.25" customHeight="1" x14ac:dyDescent="0.25">
      <c r="A182" s="9"/>
    </row>
    <row r="183" spans="1:1" ht="20.25" customHeight="1" x14ac:dyDescent="0.25">
      <c r="A183" s="9"/>
    </row>
    <row r="184" spans="1:1" ht="20.25" customHeight="1" x14ac:dyDescent="0.25">
      <c r="A184" s="9"/>
    </row>
  </sheetData>
  <pageMargins left="0.7" right="0.7" top="0.75" bottom="0.75" header="0.3" footer="0.3"/>
  <pageSetup orientation="portrait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Dalu_Cenas</vt:lpstr>
      <vt:lpstr>Izmainas</vt:lpstr>
      <vt:lpstr>KIK</vt:lpstr>
      <vt:lpstr>Mani_Dati</vt:lpstr>
      <vt:lpstr>Kalkulators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2026-04-02T08:51:07Z</dcterms:created>
  <dcterms:modified xsi:type="dcterms:W3CDTF">2026-04-02T08:54:41Z</dcterms:modified>
</cp:coreProperties>
</file>